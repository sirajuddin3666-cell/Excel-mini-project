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RAJ\Downloads\"/>
    </mc:Choice>
  </mc:AlternateContent>
  <xr:revisionPtr revIDLastSave="0" documentId="13_ncr:1_{075A7A7E-979A-4A20-8F23-BDE0D212ECC8}" xr6:coauthVersionLast="47" xr6:coauthVersionMax="47" xr10:uidLastSave="{00000000-0000-0000-0000-000000000000}"/>
  <bookViews>
    <workbookView xWindow="-110" yWindow="-110" windowWidth="19420" windowHeight="12220" firstSheet="5" activeTab="8" xr2:uid="{C23CF639-2E87-4758-AAC2-79027B56AB3C}"/>
  </bookViews>
  <sheets>
    <sheet name="Raw_Orders " sheetId="1" r:id="rId1"/>
    <sheet name="KPI'S" sheetId="2" r:id="rId2"/>
    <sheet name="Daily_MIS" sheetId="4" r:id="rId3"/>
    <sheet name="Employee_Performance" sheetId="5" r:id="rId4"/>
    <sheet name="Exception_Report" sheetId="6" r:id="rId5"/>
    <sheet name="Monthly MIS" sheetId="7" r:id="rId6"/>
    <sheet name="Category  wise sales" sheetId="10" r:id="rId7"/>
    <sheet name="City wise performance" sheetId="11" r:id="rId8"/>
    <sheet name="Dashboard" sheetId="8" r:id="rId9"/>
  </sheets>
  <calcPr calcId="191029"/>
  <pivotCaches>
    <pivotCache cacheId="17" r:id="rId10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5" i="8" l="1"/>
  <c r="L5" i="8"/>
  <c r="J5" i="8"/>
  <c r="H5" i="8"/>
  <c r="F5" i="8"/>
  <c r="D5" i="8"/>
  <c r="B5" i="8"/>
  <c r="W2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W509" i="1"/>
  <c r="W510" i="1"/>
  <c r="W511" i="1"/>
  <c r="W512" i="1"/>
  <c r="W513" i="1"/>
  <c r="W514" i="1"/>
  <c r="W515" i="1"/>
  <c r="W516" i="1"/>
  <c r="W517" i="1"/>
  <c r="W518" i="1"/>
  <c r="W519" i="1"/>
  <c r="W520" i="1"/>
  <c r="W521" i="1"/>
  <c r="W522" i="1"/>
  <c r="W523" i="1"/>
  <c r="W524" i="1"/>
  <c r="W525" i="1"/>
  <c r="W526" i="1"/>
  <c r="W527" i="1"/>
  <c r="W528" i="1"/>
  <c r="W529" i="1"/>
  <c r="W530" i="1"/>
  <c r="W531" i="1"/>
  <c r="W532" i="1"/>
  <c r="W533" i="1"/>
  <c r="W534" i="1"/>
  <c r="W535" i="1"/>
  <c r="W536" i="1"/>
  <c r="W537" i="1"/>
  <c r="W538" i="1"/>
  <c r="W539" i="1"/>
  <c r="W540" i="1"/>
  <c r="W541" i="1"/>
  <c r="W542" i="1"/>
  <c r="W543" i="1"/>
  <c r="W544" i="1"/>
  <c r="W545" i="1"/>
  <c r="W546" i="1"/>
  <c r="W547" i="1"/>
  <c r="W548" i="1"/>
  <c r="W549" i="1"/>
  <c r="W550" i="1"/>
  <c r="W551" i="1"/>
  <c r="W552" i="1"/>
  <c r="W553" i="1"/>
  <c r="W554" i="1"/>
  <c r="W555" i="1"/>
  <c r="W556" i="1"/>
  <c r="W557" i="1"/>
  <c r="W558" i="1"/>
  <c r="W559" i="1"/>
  <c r="W560" i="1"/>
  <c r="W561" i="1"/>
  <c r="W562" i="1"/>
  <c r="W563" i="1"/>
  <c r="W564" i="1"/>
  <c r="W565" i="1"/>
  <c r="W566" i="1"/>
  <c r="W567" i="1"/>
  <c r="W568" i="1"/>
  <c r="W569" i="1"/>
  <c r="W570" i="1"/>
  <c r="W571" i="1"/>
  <c r="W572" i="1"/>
  <c r="W573" i="1"/>
  <c r="W574" i="1"/>
  <c r="W575" i="1"/>
  <c r="W576" i="1"/>
  <c r="W577" i="1"/>
  <c r="W578" i="1"/>
  <c r="W579" i="1"/>
  <c r="W580" i="1"/>
  <c r="W581" i="1"/>
  <c r="W582" i="1"/>
  <c r="W583" i="1"/>
  <c r="W584" i="1"/>
  <c r="W585" i="1"/>
  <c r="W586" i="1"/>
  <c r="W587" i="1"/>
  <c r="W588" i="1"/>
  <c r="W589" i="1"/>
  <c r="W590" i="1"/>
  <c r="W591" i="1"/>
  <c r="W592" i="1"/>
  <c r="W593" i="1"/>
  <c r="W594" i="1"/>
  <c r="W595" i="1"/>
  <c r="W596" i="1"/>
  <c r="W597" i="1"/>
  <c r="W598" i="1"/>
  <c r="W599" i="1"/>
  <c r="W600" i="1"/>
  <c r="W601" i="1"/>
  <c r="W602" i="1"/>
  <c r="W603" i="1"/>
  <c r="W604" i="1"/>
  <c r="W605" i="1"/>
  <c r="W606" i="1"/>
  <c r="W607" i="1"/>
  <c r="W608" i="1"/>
  <c r="W609" i="1"/>
  <c r="W610" i="1"/>
  <c r="W611" i="1"/>
  <c r="W612" i="1"/>
  <c r="W613" i="1"/>
  <c r="W614" i="1"/>
  <c r="W615" i="1"/>
  <c r="W616" i="1"/>
  <c r="W617" i="1"/>
  <c r="W618" i="1"/>
  <c r="W619" i="1"/>
  <c r="W620" i="1"/>
  <c r="W621" i="1"/>
  <c r="W622" i="1"/>
  <c r="W623" i="1"/>
  <c r="W624" i="1"/>
  <c r="W625" i="1"/>
  <c r="W626" i="1"/>
  <c r="W627" i="1"/>
  <c r="W628" i="1"/>
  <c r="W629" i="1"/>
  <c r="W630" i="1"/>
  <c r="W631" i="1"/>
  <c r="W632" i="1"/>
  <c r="W633" i="1"/>
  <c r="W634" i="1"/>
  <c r="W635" i="1"/>
  <c r="W636" i="1"/>
  <c r="W637" i="1"/>
  <c r="W638" i="1"/>
  <c r="W639" i="1"/>
  <c r="W640" i="1"/>
  <c r="W641" i="1"/>
  <c r="W642" i="1"/>
  <c r="W643" i="1"/>
  <c r="W644" i="1"/>
  <c r="W645" i="1"/>
  <c r="W646" i="1"/>
  <c r="W647" i="1"/>
  <c r="W648" i="1"/>
  <c r="W649" i="1"/>
  <c r="W650" i="1"/>
  <c r="W651" i="1"/>
  <c r="W652" i="1"/>
  <c r="W653" i="1"/>
  <c r="W654" i="1"/>
  <c r="W655" i="1"/>
  <c r="W656" i="1"/>
  <c r="W657" i="1"/>
  <c r="W658" i="1"/>
  <c r="W659" i="1"/>
  <c r="W660" i="1"/>
  <c r="W661" i="1"/>
  <c r="W662" i="1"/>
  <c r="W663" i="1"/>
  <c r="W664" i="1"/>
  <c r="W665" i="1"/>
  <c r="W666" i="1"/>
  <c r="W667" i="1"/>
  <c r="W668" i="1"/>
  <c r="W669" i="1"/>
  <c r="W670" i="1"/>
  <c r="W671" i="1"/>
  <c r="W672" i="1"/>
  <c r="W673" i="1"/>
  <c r="W674" i="1"/>
  <c r="W675" i="1"/>
  <c r="W676" i="1"/>
  <c r="W677" i="1"/>
  <c r="W678" i="1"/>
  <c r="W679" i="1"/>
  <c r="W680" i="1"/>
  <c r="W681" i="1"/>
  <c r="W682" i="1"/>
  <c r="W683" i="1"/>
  <c r="W684" i="1"/>
  <c r="W685" i="1"/>
  <c r="W686" i="1"/>
  <c r="W687" i="1"/>
  <c r="W688" i="1"/>
  <c r="W689" i="1"/>
  <c r="W690" i="1"/>
  <c r="W691" i="1"/>
  <c r="W692" i="1"/>
  <c r="W693" i="1"/>
  <c r="W694" i="1"/>
  <c r="W695" i="1"/>
  <c r="W696" i="1"/>
  <c r="W697" i="1"/>
  <c r="W698" i="1"/>
  <c r="W699" i="1"/>
  <c r="W700" i="1"/>
  <c r="W701" i="1"/>
  <c r="W702" i="1"/>
  <c r="W703" i="1"/>
  <c r="W704" i="1"/>
  <c r="W705" i="1"/>
  <c r="W706" i="1"/>
  <c r="W707" i="1"/>
  <c r="W708" i="1"/>
  <c r="W709" i="1"/>
  <c r="W710" i="1"/>
  <c r="W711" i="1"/>
  <c r="W712" i="1"/>
  <c r="W713" i="1"/>
  <c r="W714" i="1"/>
  <c r="W715" i="1"/>
  <c r="W716" i="1"/>
  <c r="W717" i="1"/>
  <c r="W718" i="1"/>
  <c r="W719" i="1"/>
  <c r="W720" i="1"/>
  <c r="W721" i="1"/>
  <c r="W722" i="1"/>
  <c r="W723" i="1"/>
  <c r="W724" i="1"/>
  <c r="W725" i="1"/>
  <c r="W726" i="1"/>
  <c r="W727" i="1"/>
  <c r="W728" i="1"/>
  <c r="W729" i="1"/>
  <c r="W730" i="1"/>
  <c r="W731" i="1"/>
  <c r="W732" i="1"/>
  <c r="W733" i="1"/>
  <c r="W734" i="1"/>
  <c r="W735" i="1"/>
  <c r="W736" i="1"/>
  <c r="W737" i="1"/>
  <c r="W738" i="1"/>
  <c r="W739" i="1"/>
  <c r="W740" i="1"/>
  <c r="W741" i="1"/>
  <c r="W742" i="1"/>
  <c r="W743" i="1"/>
  <c r="W744" i="1"/>
  <c r="W745" i="1"/>
  <c r="W746" i="1"/>
  <c r="W747" i="1"/>
  <c r="W748" i="1"/>
  <c r="W749" i="1"/>
  <c r="W750" i="1"/>
  <c r="W751" i="1"/>
  <c r="W752" i="1"/>
  <c r="W753" i="1"/>
  <c r="W754" i="1"/>
  <c r="W755" i="1"/>
  <c r="W756" i="1"/>
  <c r="W757" i="1"/>
  <c r="W758" i="1"/>
  <c r="W759" i="1"/>
  <c r="W760" i="1"/>
  <c r="W761" i="1"/>
  <c r="W762" i="1"/>
  <c r="W763" i="1"/>
  <c r="W764" i="1"/>
  <c r="W765" i="1"/>
  <c r="W766" i="1"/>
  <c r="W767" i="1"/>
  <c r="W768" i="1"/>
  <c r="W769" i="1"/>
  <c r="W770" i="1"/>
  <c r="W771" i="1"/>
  <c r="W772" i="1"/>
  <c r="W773" i="1"/>
  <c r="W774" i="1"/>
  <c r="W775" i="1"/>
  <c r="W776" i="1"/>
  <c r="W777" i="1"/>
  <c r="W778" i="1"/>
  <c r="W779" i="1"/>
  <c r="W780" i="1"/>
  <c r="W781" i="1"/>
  <c r="W782" i="1"/>
  <c r="W783" i="1"/>
  <c r="W784" i="1"/>
  <c r="W785" i="1"/>
  <c r="W786" i="1"/>
  <c r="W787" i="1"/>
  <c r="W788" i="1"/>
  <c r="W789" i="1"/>
  <c r="W790" i="1"/>
  <c r="W791" i="1"/>
  <c r="W792" i="1"/>
  <c r="W793" i="1"/>
  <c r="W794" i="1"/>
  <c r="W795" i="1"/>
  <c r="W796" i="1"/>
  <c r="W797" i="1"/>
  <c r="W798" i="1"/>
  <c r="W799" i="1"/>
  <c r="W800" i="1"/>
  <c r="W801" i="1"/>
  <c r="W802" i="1"/>
  <c r="W803" i="1"/>
  <c r="W804" i="1"/>
  <c r="W805" i="1"/>
  <c r="W806" i="1"/>
  <c r="W807" i="1"/>
  <c r="W808" i="1"/>
  <c r="W809" i="1"/>
  <c r="W810" i="1"/>
  <c r="W811" i="1"/>
  <c r="W812" i="1"/>
  <c r="W813" i="1"/>
  <c r="W814" i="1"/>
  <c r="W815" i="1"/>
  <c r="W816" i="1"/>
  <c r="W817" i="1"/>
  <c r="W818" i="1"/>
  <c r="W819" i="1"/>
  <c r="W820" i="1"/>
  <c r="W821" i="1"/>
  <c r="W822" i="1"/>
  <c r="W823" i="1"/>
  <c r="W824" i="1"/>
  <c r="W825" i="1"/>
  <c r="W826" i="1"/>
  <c r="W827" i="1"/>
  <c r="W828" i="1"/>
  <c r="W829" i="1"/>
  <c r="W830" i="1"/>
  <c r="W831" i="1"/>
  <c r="W832" i="1"/>
  <c r="W833" i="1"/>
  <c r="W834" i="1"/>
  <c r="W835" i="1"/>
  <c r="W836" i="1"/>
  <c r="W837" i="1"/>
  <c r="W838" i="1"/>
  <c r="W839" i="1"/>
  <c r="W840" i="1"/>
  <c r="W841" i="1"/>
  <c r="W842" i="1"/>
  <c r="W843" i="1"/>
  <c r="W844" i="1"/>
  <c r="W845" i="1"/>
  <c r="W846" i="1"/>
  <c r="W847" i="1"/>
  <c r="W848" i="1"/>
  <c r="W849" i="1"/>
  <c r="W850" i="1"/>
  <c r="W851" i="1"/>
  <c r="W852" i="1"/>
  <c r="W853" i="1"/>
  <c r="W854" i="1"/>
  <c r="W855" i="1"/>
  <c r="W856" i="1"/>
  <c r="W857" i="1"/>
  <c r="W858" i="1"/>
  <c r="W859" i="1"/>
  <c r="W860" i="1"/>
  <c r="W861" i="1"/>
  <c r="W862" i="1"/>
  <c r="W863" i="1"/>
  <c r="W864" i="1"/>
  <c r="W865" i="1"/>
  <c r="W866" i="1"/>
  <c r="W867" i="1"/>
  <c r="W868" i="1"/>
  <c r="W869" i="1"/>
  <c r="W870" i="1"/>
  <c r="W871" i="1"/>
  <c r="W872" i="1"/>
  <c r="W873" i="1"/>
  <c r="W874" i="1"/>
  <c r="W875" i="1"/>
  <c r="W876" i="1"/>
  <c r="W877" i="1"/>
  <c r="W878" i="1"/>
  <c r="W879" i="1"/>
  <c r="W880" i="1"/>
  <c r="W881" i="1"/>
  <c r="W882" i="1"/>
  <c r="W883" i="1"/>
  <c r="W884" i="1"/>
  <c r="W885" i="1"/>
  <c r="W886" i="1"/>
  <c r="W887" i="1"/>
  <c r="W888" i="1"/>
  <c r="W889" i="1"/>
  <c r="W890" i="1"/>
  <c r="W891" i="1"/>
  <c r="W892" i="1"/>
  <c r="W893" i="1"/>
  <c r="W894" i="1"/>
  <c r="W895" i="1"/>
  <c r="W896" i="1"/>
  <c r="W897" i="1"/>
  <c r="W898" i="1"/>
  <c r="W899" i="1"/>
  <c r="W900" i="1"/>
  <c r="W901" i="1"/>
  <c r="W902" i="1"/>
  <c r="W903" i="1"/>
  <c r="W904" i="1"/>
  <c r="W905" i="1"/>
  <c r="W906" i="1"/>
  <c r="W907" i="1"/>
  <c r="W908" i="1"/>
  <c r="W909" i="1"/>
  <c r="W910" i="1"/>
  <c r="W911" i="1"/>
  <c r="W912" i="1"/>
  <c r="W913" i="1"/>
  <c r="W914" i="1"/>
  <c r="W915" i="1"/>
  <c r="W916" i="1"/>
  <c r="W917" i="1"/>
  <c r="W918" i="1"/>
  <c r="W919" i="1"/>
  <c r="W920" i="1"/>
  <c r="W921" i="1"/>
  <c r="W922" i="1"/>
  <c r="W923" i="1"/>
  <c r="W924" i="1"/>
  <c r="W925" i="1"/>
  <c r="W926" i="1"/>
  <c r="W927" i="1"/>
  <c r="W928" i="1"/>
  <c r="W929" i="1"/>
  <c r="W930" i="1"/>
  <c r="W931" i="1"/>
  <c r="W932" i="1"/>
  <c r="W933" i="1"/>
  <c r="W934" i="1"/>
  <c r="W935" i="1"/>
  <c r="W936" i="1"/>
  <c r="W937" i="1"/>
  <c r="W938" i="1"/>
  <c r="W939" i="1"/>
  <c r="W940" i="1"/>
  <c r="W941" i="1"/>
  <c r="W942" i="1"/>
  <c r="W943" i="1"/>
  <c r="W944" i="1"/>
  <c r="W945" i="1"/>
  <c r="W946" i="1"/>
  <c r="W947" i="1"/>
  <c r="W948" i="1"/>
  <c r="W949" i="1"/>
  <c r="W950" i="1"/>
  <c r="W951" i="1"/>
  <c r="W952" i="1"/>
  <c r="W953" i="1"/>
  <c r="W954" i="1"/>
  <c r="W955" i="1"/>
  <c r="W956" i="1"/>
  <c r="W957" i="1"/>
  <c r="W958" i="1"/>
  <c r="W959" i="1"/>
  <c r="W960" i="1"/>
  <c r="W961" i="1"/>
  <c r="W962" i="1"/>
  <c r="W963" i="1"/>
  <c r="W964" i="1"/>
  <c r="W965" i="1"/>
  <c r="W966" i="1"/>
  <c r="W967" i="1"/>
  <c r="W968" i="1"/>
  <c r="W969" i="1"/>
  <c r="W970" i="1"/>
  <c r="W971" i="1"/>
  <c r="W972" i="1"/>
  <c r="W973" i="1"/>
  <c r="W974" i="1"/>
  <c r="W975" i="1"/>
  <c r="W976" i="1"/>
  <c r="W977" i="1"/>
  <c r="W978" i="1"/>
  <c r="W979" i="1"/>
  <c r="W980" i="1"/>
  <c r="W981" i="1"/>
  <c r="W982" i="1"/>
  <c r="W983" i="1"/>
  <c r="W984" i="1"/>
  <c r="W985" i="1"/>
  <c r="W986" i="1"/>
  <c r="W987" i="1"/>
  <c r="W988" i="1"/>
  <c r="W989" i="1"/>
  <c r="W990" i="1"/>
  <c r="W991" i="1"/>
  <c r="W992" i="1"/>
  <c r="W993" i="1"/>
  <c r="W994" i="1"/>
  <c r="W995" i="1"/>
  <c r="W996" i="1"/>
  <c r="W997" i="1"/>
  <c r="W998" i="1"/>
  <c r="W999" i="1"/>
  <c r="W1000" i="1"/>
  <c r="W1001" i="1"/>
  <c r="W1002" i="1"/>
  <c r="W1003" i="1"/>
  <c r="W1004" i="1"/>
  <c r="W1005" i="1"/>
  <c r="W1006" i="1"/>
  <c r="W1007" i="1"/>
  <c r="W1008" i="1"/>
  <c r="W1009" i="1"/>
  <c r="W1010" i="1"/>
  <c r="W1011" i="1"/>
  <c r="W1012" i="1"/>
  <c r="W1013" i="1"/>
  <c r="W1014" i="1"/>
  <c r="W1015" i="1"/>
  <c r="W1016" i="1"/>
  <c r="W1017" i="1"/>
  <c r="W1018" i="1"/>
  <c r="W1019" i="1"/>
  <c r="W1020" i="1"/>
  <c r="W1021" i="1"/>
  <c r="W1022" i="1"/>
  <c r="W1023" i="1"/>
  <c r="W1024" i="1"/>
  <c r="W1025" i="1"/>
  <c r="W1026" i="1"/>
  <c r="W1027" i="1"/>
  <c r="W1028" i="1"/>
  <c r="W1029" i="1"/>
  <c r="W1030" i="1"/>
  <c r="W1031" i="1"/>
  <c r="W1032" i="1"/>
  <c r="W1033" i="1"/>
  <c r="W1034" i="1"/>
  <c r="W1035" i="1"/>
  <c r="W1036" i="1"/>
  <c r="W1037" i="1"/>
  <c r="W1038" i="1"/>
  <c r="W1039" i="1"/>
  <c r="W1040" i="1"/>
  <c r="W1041" i="1"/>
  <c r="W1042" i="1"/>
  <c r="W1043" i="1"/>
  <c r="W1044" i="1"/>
  <c r="W1045" i="1"/>
  <c r="W1046" i="1"/>
  <c r="W1047" i="1"/>
  <c r="W1048" i="1"/>
  <c r="W1049" i="1"/>
  <c r="W1050" i="1"/>
  <c r="W1051" i="1"/>
  <c r="W1052" i="1"/>
  <c r="W1053" i="1"/>
  <c r="W1054" i="1"/>
  <c r="W1055" i="1"/>
  <c r="W1056" i="1"/>
  <c r="W1057" i="1"/>
  <c r="W1058" i="1"/>
  <c r="W1059" i="1"/>
  <c r="W1060" i="1"/>
  <c r="W1061" i="1"/>
  <c r="W1062" i="1"/>
  <c r="W1063" i="1"/>
  <c r="W1064" i="1"/>
  <c r="W1065" i="1"/>
  <c r="W1066" i="1"/>
  <c r="W1067" i="1"/>
  <c r="W1068" i="1"/>
  <c r="W1069" i="1"/>
  <c r="W1070" i="1"/>
  <c r="W1071" i="1"/>
  <c r="W1072" i="1"/>
  <c r="W1073" i="1"/>
  <c r="W1074" i="1"/>
  <c r="W1075" i="1"/>
  <c r="W1076" i="1"/>
  <c r="W1077" i="1"/>
  <c r="W1078" i="1"/>
  <c r="W1079" i="1"/>
  <c r="W1080" i="1"/>
  <c r="W1081" i="1"/>
  <c r="W1082" i="1"/>
  <c r="W1083" i="1"/>
  <c r="W1084" i="1"/>
  <c r="W1085" i="1"/>
  <c r="W1086" i="1"/>
  <c r="W1087" i="1"/>
  <c r="W1088" i="1"/>
  <c r="W1089" i="1"/>
  <c r="W1090" i="1"/>
  <c r="W1091" i="1"/>
  <c r="W1092" i="1"/>
  <c r="W1093" i="1"/>
  <c r="W1094" i="1"/>
  <c r="W1095" i="1"/>
  <c r="W1096" i="1"/>
  <c r="W1097" i="1"/>
  <c r="W1098" i="1"/>
  <c r="W1099" i="1"/>
  <c r="W1100" i="1"/>
  <c r="W1101" i="1"/>
  <c r="W1102" i="1"/>
  <c r="W1103" i="1"/>
  <c r="W1104" i="1"/>
  <c r="W1105" i="1"/>
  <c r="W1106" i="1"/>
  <c r="W1107" i="1"/>
  <c r="W1108" i="1"/>
  <c r="W1109" i="1"/>
  <c r="W1110" i="1"/>
  <c r="W1111" i="1"/>
  <c r="W1112" i="1"/>
  <c r="W1113" i="1"/>
  <c r="W1114" i="1"/>
  <c r="W1115" i="1"/>
  <c r="W1116" i="1"/>
  <c r="W1117" i="1"/>
  <c r="W1118" i="1"/>
  <c r="W1119" i="1"/>
  <c r="W1120" i="1"/>
  <c r="W1121" i="1"/>
  <c r="W1122" i="1"/>
  <c r="W1123" i="1"/>
  <c r="W1124" i="1"/>
  <c r="W1125" i="1"/>
  <c r="W1126" i="1"/>
  <c r="W1127" i="1"/>
  <c r="W1128" i="1"/>
  <c r="W1129" i="1"/>
  <c r="W1130" i="1"/>
  <c r="W1131" i="1"/>
  <c r="W1132" i="1"/>
  <c r="W1133" i="1"/>
  <c r="W1134" i="1"/>
  <c r="W1135" i="1"/>
  <c r="W1136" i="1"/>
  <c r="W1137" i="1"/>
  <c r="W1138" i="1"/>
  <c r="W1139" i="1"/>
  <c r="W1140" i="1"/>
  <c r="W1141" i="1"/>
  <c r="W1142" i="1"/>
  <c r="W1143" i="1"/>
  <c r="W1144" i="1"/>
  <c r="W1145" i="1"/>
  <c r="W1146" i="1"/>
  <c r="W1147" i="1"/>
  <c r="W1148" i="1"/>
  <c r="W1149" i="1"/>
  <c r="W1150" i="1"/>
  <c r="W1151" i="1"/>
  <c r="W1152" i="1"/>
  <c r="W1153" i="1"/>
  <c r="W1154" i="1"/>
  <c r="W1155" i="1"/>
  <c r="W1156" i="1"/>
  <c r="W1157" i="1"/>
  <c r="W1158" i="1"/>
  <c r="W1159" i="1"/>
  <c r="W1160" i="1"/>
  <c r="W1161" i="1"/>
  <c r="W1162" i="1"/>
  <c r="W1163" i="1"/>
  <c r="W1164" i="1"/>
  <c r="W1165" i="1"/>
  <c r="W1166" i="1"/>
  <c r="W1167" i="1"/>
  <c r="W1168" i="1"/>
  <c r="W1169" i="1"/>
  <c r="W1170" i="1"/>
  <c r="W1171" i="1"/>
  <c r="W1172" i="1"/>
  <c r="W1173" i="1"/>
  <c r="W1174" i="1"/>
  <c r="W1175" i="1"/>
  <c r="W1176" i="1"/>
  <c r="W1177" i="1"/>
  <c r="W1178" i="1"/>
  <c r="W1179" i="1"/>
  <c r="W1180" i="1"/>
  <c r="W1181" i="1"/>
  <c r="W1182" i="1"/>
  <c r="W1183" i="1"/>
  <c r="W1184" i="1"/>
  <c r="W1185" i="1"/>
  <c r="W1186" i="1"/>
  <c r="W1187" i="1"/>
  <c r="W1188" i="1"/>
  <c r="W1189" i="1"/>
  <c r="W1190" i="1"/>
  <c r="W1191" i="1"/>
  <c r="W1192" i="1"/>
  <c r="W1193" i="1"/>
  <c r="W1194" i="1"/>
  <c r="W1195" i="1"/>
  <c r="W1196" i="1"/>
  <c r="W1197" i="1"/>
  <c r="W1198" i="1"/>
  <c r="W1199" i="1"/>
  <c r="W1200" i="1"/>
  <c r="W1201" i="1"/>
  <c r="W1202" i="1"/>
  <c r="W1203" i="1"/>
  <c r="W1204" i="1"/>
  <c r="W1205" i="1"/>
  <c r="W1206" i="1"/>
  <c r="W1207" i="1"/>
  <c r="W1208" i="1"/>
  <c r="W1209" i="1"/>
  <c r="W1210" i="1"/>
  <c r="W1211" i="1"/>
  <c r="W1212" i="1"/>
  <c r="W1213" i="1"/>
  <c r="W1214" i="1"/>
  <c r="W1215" i="1"/>
  <c r="W1216" i="1"/>
  <c r="W1217" i="1"/>
  <c r="W1218" i="1"/>
  <c r="W1219" i="1"/>
  <c r="W1220" i="1"/>
  <c r="W1221" i="1"/>
  <c r="W1222" i="1"/>
  <c r="W1223" i="1"/>
  <c r="W1224" i="1"/>
  <c r="W1225" i="1"/>
  <c r="W1226" i="1"/>
  <c r="W1227" i="1"/>
  <c r="W1228" i="1"/>
  <c r="W1229" i="1"/>
  <c r="W1230" i="1"/>
  <c r="W1231" i="1"/>
  <c r="W1232" i="1"/>
  <c r="W1233" i="1"/>
  <c r="W1234" i="1"/>
  <c r="W1235" i="1"/>
  <c r="W1236" i="1"/>
  <c r="W1237" i="1"/>
  <c r="W1238" i="1"/>
  <c r="W1239" i="1"/>
  <c r="W1240" i="1"/>
  <c r="W1241" i="1"/>
  <c r="W1242" i="1"/>
  <c r="W1243" i="1"/>
  <c r="W1244" i="1"/>
  <c r="W1245" i="1"/>
  <c r="W1246" i="1"/>
  <c r="W1247" i="1"/>
  <c r="W1248" i="1"/>
  <c r="W1249" i="1"/>
  <c r="W1250" i="1"/>
  <c r="W1251" i="1"/>
  <c r="W1252" i="1"/>
  <c r="W1253" i="1"/>
  <c r="W1254" i="1"/>
  <c r="W1255" i="1"/>
  <c r="W1256" i="1"/>
  <c r="W1257" i="1"/>
  <c r="W1258" i="1"/>
  <c r="W1259" i="1"/>
  <c r="W1260" i="1"/>
  <c r="W1261" i="1"/>
  <c r="W1262" i="1"/>
  <c r="W1263" i="1"/>
  <c r="W1264" i="1"/>
  <c r="W1265" i="1"/>
  <c r="W1266" i="1"/>
  <c r="W1267" i="1"/>
  <c r="W1268" i="1"/>
  <c r="W1269" i="1"/>
  <c r="W1270" i="1"/>
  <c r="W1271" i="1"/>
  <c r="W1272" i="1"/>
  <c r="W1273" i="1"/>
  <c r="W1274" i="1"/>
  <c r="W1275" i="1"/>
  <c r="W1276" i="1"/>
  <c r="W1277" i="1"/>
  <c r="W1278" i="1"/>
  <c r="W1279" i="1"/>
  <c r="W1280" i="1"/>
  <c r="W1281" i="1"/>
  <c r="W1282" i="1"/>
  <c r="W1283" i="1"/>
  <c r="W1284" i="1"/>
  <c r="W1285" i="1"/>
  <c r="W1286" i="1"/>
  <c r="W1287" i="1"/>
  <c r="W1288" i="1"/>
  <c r="W1289" i="1"/>
  <c r="W1290" i="1"/>
  <c r="W1291" i="1"/>
  <c r="W1292" i="1"/>
  <c r="W1293" i="1"/>
  <c r="W1294" i="1"/>
  <c r="W1295" i="1"/>
  <c r="W1296" i="1"/>
  <c r="W1297" i="1"/>
  <c r="W1298" i="1"/>
  <c r="W1299" i="1"/>
  <c r="W1300" i="1"/>
  <c r="W1301" i="1"/>
  <c r="W1302" i="1"/>
  <c r="W1303" i="1"/>
  <c r="W1304" i="1"/>
  <c r="W1305" i="1"/>
  <c r="W1306" i="1"/>
  <c r="W1307" i="1"/>
  <c r="W1308" i="1"/>
  <c r="W1309" i="1"/>
  <c r="W1310" i="1"/>
  <c r="W1311" i="1"/>
  <c r="W1312" i="1"/>
  <c r="W1313" i="1"/>
  <c r="W1314" i="1"/>
  <c r="W1315" i="1"/>
  <c r="W1316" i="1"/>
  <c r="W1317" i="1"/>
  <c r="W1318" i="1"/>
  <c r="W1319" i="1"/>
  <c r="W1320" i="1"/>
  <c r="W1321" i="1"/>
  <c r="W1322" i="1"/>
  <c r="W1323" i="1"/>
  <c r="W1324" i="1"/>
  <c r="W1325" i="1"/>
  <c r="W1326" i="1"/>
  <c r="W1327" i="1"/>
  <c r="W1328" i="1"/>
  <c r="W1329" i="1"/>
  <c r="W1330" i="1"/>
  <c r="W1331" i="1"/>
  <c r="W1332" i="1"/>
  <c r="W1333" i="1"/>
  <c r="W1334" i="1"/>
  <c r="W1335" i="1"/>
  <c r="W1336" i="1"/>
  <c r="W1337" i="1"/>
  <c r="W1338" i="1"/>
  <c r="W1339" i="1"/>
  <c r="W1340" i="1"/>
  <c r="W1341" i="1"/>
  <c r="W1342" i="1"/>
  <c r="W1343" i="1"/>
  <c r="W1344" i="1"/>
  <c r="W1345" i="1"/>
  <c r="W1346" i="1"/>
  <c r="W1347" i="1"/>
  <c r="W1348" i="1"/>
  <c r="W1349" i="1"/>
  <c r="W1350" i="1"/>
  <c r="W1351" i="1"/>
  <c r="W1352" i="1"/>
  <c r="W1353" i="1"/>
  <c r="W1354" i="1"/>
  <c r="W1355" i="1"/>
  <c r="W1356" i="1"/>
  <c r="W1357" i="1"/>
  <c r="W1358" i="1"/>
  <c r="W1359" i="1"/>
  <c r="W1360" i="1"/>
  <c r="W1361" i="1"/>
  <c r="W1362" i="1"/>
  <c r="W1363" i="1"/>
  <c r="W1364" i="1"/>
  <c r="W1365" i="1"/>
  <c r="W1366" i="1"/>
  <c r="W1367" i="1"/>
  <c r="W1368" i="1"/>
  <c r="W1369" i="1"/>
  <c r="W1370" i="1"/>
  <c r="W1371" i="1"/>
  <c r="W1372" i="1"/>
  <c r="W1373" i="1"/>
  <c r="W1374" i="1"/>
  <c r="W1375" i="1"/>
  <c r="W1376" i="1"/>
  <c r="W1377" i="1"/>
  <c r="W1378" i="1"/>
  <c r="W1379" i="1"/>
  <c r="W1380" i="1"/>
  <c r="W1381" i="1"/>
  <c r="W1382" i="1"/>
  <c r="W1383" i="1"/>
  <c r="W1384" i="1"/>
  <c r="W1385" i="1"/>
  <c r="W1386" i="1"/>
  <c r="W1387" i="1"/>
  <c r="W1388" i="1"/>
  <c r="W1389" i="1"/>
  <c r="W1390" i="1"/>
  <c r="W1391" i="1"/>
  <c r="W1392" i="1"/>
  <c r="W1393" i="1"/>
  <c r="W1394" i="1"/>
  <c r="W1395" i="1"/>
  <c r="W1396" i="1"/>
  <c r="W1397" i="1"/>
  <c r="W1398" i="1"/>
  <c r="W1399" i="1"/>
  <c r="W1400" i="1"/>
  <c r="W1401" i="1"/>
  <c r="W1402" i="1"/>
  <c r="W1403" i="1"/>
  <c r="W1404" i="1"/>
  <c r="W1405" i="1"/>
  <c r="W1406" i="1"/>
  <c r="W1407" i="1"/>
  <c r="W1408" i="1"/>
  <c r="W1409" i="1"/>
  <c r="W1410" i="1"/>
  <c r="W1411" i="1"/>
  <c r="W1412" i="1"/>
  <c r="W1413" i="1"/>
  <c r="W1414" i="1"/>
  <c r="W1415" i="1"/>
  <c r="W1416" i="1"/>
  <c r="W1417" i="1"/>
  <c r="W1418" i="1"/>
  <c r="W1419" i="1"/>
  <c r="W1420" i="1"/>
  <c r="W1421" i="1"/>
  <c r="W1422" i="1"/>
  <c r="W1423" i="1"/>
  <c r="W1424" i="1"/>
  <c r="W1425" i="1"/>
  <c r="W1426" i="1"/>
  <c r="W1427" i="1"/>
  <c r="W1428" i="1"/>
  <c r="W1429" i="1"/>
  <c r="W1430" i="1"/>
  <c r="W1431" i="1"/>
  <c r="W1432" i="1"/>
  <c r="W1433" i="1"/>
  <c r="W1434" i="1"/>
  <c r="W1435" i="1"/>
  <c r="W1436" i="1"/>
  <c r="W1437" i="1"/>
  <c r="W1438" i="1"/>
  <c r="W1439" i="1"/>
  <c r="W1440" i="1"/>
  <c r="W1441" i="1"/>
  <c r="W1442" i="1"/>
  <c r="W1443" i="1"/>
  <c r="W1444" i="1"/>
  <c r="W1445" i="1"/>
  <c r="W1446" i="1"/>
  <c r="W1447" i="1"/>
  <c r="W1448" i="1"/>
  <c r="W1449" i="1"/>
  <c r="W1450" i="1"/>
  <c r="W1451" i="1"/>
  <c r="W1452" i="1"/>
  <c r="W1453" i="1"/>
  <c r="W1454" i="1"/>
  <c r="W1455" i="1"/>
  <c r="W1456" i="1"/>
  <c r="W1457" i="1"/>
  <c r="W1458" i="1"/>
  <c r="W1459" i="1"/>
  <c r="W1460" i="1"/>
  <c r="W1461" i="1"/>
  <c r="W1462" i="1"/>
  <c r="W1463" i="1"/>
  <c r="W1464" i="1"/>
  <c r="W1465" i="1"/>
  <c r="W1466" i="1"/>
  <c r="W1467" i="1"/>
  <c r="W1468" i="1"/>
  <c r="W1469" i="1"/>
  <c r="W1470" i="1"/>
  <c r="W1471" i="1"/>
  <c r="W1472" i="1"/>
  <c r="W1473" i="1"/>
  <c r="W1474" i="1"/>
  <c r="W1475" i="1"/>
  <c r="W1476" i="1"/>
  <c r="W1477" i="1"/>
  <c r="W1478" i="1"/>
  <c r="W1479" i="1"/>
  <c r="W1480" i="1"/>
  <c r="W1481" i="1"/>
  <c r="W1482" i="1"/>
  <c r="W1483" i="1"/>
  <c r="W1484" i="1"/>
  <c r="W1485" i="1"/>
  <c r="W1486" i="1"/>
  <c r="W1487" i="1"/>
  <c r="W1488" i="1"/>
  <c r="W1489" i="1"/>
  <c r="W1490" i="1"/>
  <c r="W1491" i="1"/>
  <c r="W1492" i="1"/>
  <c r="W1493" i="1"/>
  <c r="W1494" i="1"/>
  <c r="W1495" i="1"/>
  <c r="W1496" i="1"/>
  <c r="W1497" i="1"/>
  <c r="W1498" i="1"/>
  <c r="W1499" i="1"/>
  <c r="W1500" i="1"/>
  <c r="W1501" i="1"/>
  <c r="V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V1082" i="1"/>
  <c r="V1083" i="1"/>
  <c r="V1084" i="1"/>
  <c r="V1085" i="1"/>
  <c r="V1086" i="1"/>
  <c r="V1087" i="1"/>
  <c r="V1088" i="1"/>
  <c r="V1089" i="1"/>
  <c r="V1090" i="1"/>
  <c r="V1091" i="1"/>
  <c r="V1092" i="1"/>
  <c r="V1093" i="1"/>
  <c r="V1094" i="1"/>
  <c r="V1095" i="1"/>
  <c r="V1096" i="1"/>
  <c r="V1097" i="1"/>
  <c r="V1098" i="1"/>
  <c r="V1099" i="1"/>
  <c r="V1100" i="1"/>
  <c r="V1101" i="1"/>
  <c r="V1102" i="1"/>
  <c r="V1103" i="1"/>
  <c r="V1104" i="1"/>
  <c r="V1105" i="1"/>
  <c r="V1106" i="1"/>
  <c r="V1107" i="1"/>
  <c r="V1108" i="1"/>
  <c r="V1109" i="1"/>
  <c r="V1110" i="1"/>
  <c r="V1111" i="1"/>
  <c r="V1112" i="1"/>
  <c r="V1113" i="1"/>
  <c r="V1114" i="1"/>
  <c r="V1115" i="1"/>
  <c r="V1116" i="1"/>
  <c r="V1117" i="1"/>
  <c r="V1118" i="1"/>
  <c r="V1119" i="1"/>
  <c r="V1120" i="1"/>
  <c r="V1121" i="1"/>
  <c r="V1122" i="1"/>
  <c r="V1123" i="1"/>
  <c r="V1124" i="1"/>
  <c r="V1125" i="1"/>
  <c r="V1126" i="1"/>
  <c r="V1127" i="1"/>
  <c r="V1128" i="1"/>
  <c r="V1129" i="1"/>
  <c r="V1130" i="1"/>
  <c r="V1131" i="1"/>
  <c r="V1132" i="1"/>
  <c r="V1133" i="1"/>
  <c r="V1134" i="1"/>
  <c r="V1135" i="1"/>
  <c r="V1136" i="1"/>
  <c r="V1137" i="1"/>
  <c r="V1138" i="1"/>
  <c r="V1139" i="1"/>
  <c r="V1140" i="1"/>
  <c r="V1141" i="1"/>
  <c r="V1142" i="1"/>
  <c r="V1143" i="1"/>
  <c r="V1144" i="1"/>
  <c r="V1145" i="1"/>
  <c r="V1146" i="1"/>
  <c r="V1147" i="1"/>
  <c r="V1148" i="1"/>
  <c r="V1149" i="1"/>
  <c r="V1150" i="1"/>
  <c r="V1151" i="1"/>
  <c r="V1152" i="1"/>
  <c r="V1153" i="1"/>
  <c r="V1154" i="1"/>
  <c r="V1155" i="1"/>
  <c r="V1156" i="1"/>
  <c r="V1157" i="1"/>
  <c r="V1158" i="1"/>
  <c r="V1159" i="1"/>
  <c r="V1160" i="1"/>
  <c r="V1161" i="1"/>
  <c r="V1162" i="1"/>
  <c r="V1163" i="1"/>
  <c r="V1164" i="1"/>
  <c r="V1165" i="1"/>
  <c r="V1166" i="1"/>
  <c r="V1167" i="1"/>
  <c r="V1168" i="1"/>
  <c r="V1169" i="1"/>
  <c r="V1170" i="1"/>
  <c r="V1171" i="1"/>
  <c r="V1172" i="1"/>
  <c r="V1173" i="1"/>
  <c r="V1174" i="1"/>
  <c r="V1175" i="1"/>
  <c r="V1176" i="1"/>
  <c r="V1177" i="1"/>
  <c r="V1178" i="1"/>
  <c r="V1179" i="1"/>
  <c r="V1180" i="1"/>
  <c r="V1181" i="1"/>
  <c r="V1182" i="1"/>
  <c r="V1183" i="1"/>
  <c r="V1184" i="1"/>
  <c r="V1185" i="1"/>
  <c r="V1186" i="1"/>
  <c r="V1187" i="1"/>
  <c r="V1188" i="1"/>
  <c r="V1189" i="1"/>
  <c r="V1190" i="1"/>
  <c r="V1191" i="1"/>
  <c r="V1192" i="1"/>
  <c r="V1193" i="1"/>
  <c r="V1194" i="1"/>
  <c r="V1195" i="1"/>
  <c r="V1196" i="1"/>
  <c r="V1197" i="1"/>
  <c r="V1198" i="1"/>
  <c r="V1199" i="1"/>
  <c r="V1200" i="1"/>
  <c r="V1201" i="1"/>
  <c r="V1202" i="1"/>
  <c r="V1203" i="1"/>
  <c r="V1204" i="1"/>
  <c r="V1205" i="1"/>
  <c r="V1206" i="1"/>
  <c r="V1207" i="1"/>
  <c r="V1208" i="1"/>
  <c r="V1209" i="1"/>
  <c r="V1210" i="1"/>
  <c r="V1211" i="1"/>
  <c r="V1212" i="1"/>
  <c r="V1213" i="1"/>
  <c r="V1214" i="1"/>
  <c r="V1215" i="1"/>
  <c r="V1216" i="1"/>
  <c r="V1217" i="1"/>
  <c r="V1218" i="1"/>
  <c r="V1219" i="1"/>
  <c r="V1220" i="1"/>
  <c r="V1221" i="1"/>
  <c r="V1222" i="1"/>
  <c r="V1223" i="1"/>
  <c r="V1224" i="1"/>
  <c r="V1225" i="1"/>
  <c r="V1226" i="1"/>
  <c r="V1227" i="1"/>
  <c r="V1228" i="1"/>
  <c r="V1229" i="1"/>
  <c r="V1230" i="1"/>
  <c r="V1231" i="1"/>
  <c r="V1232" i="1"/>
  <c r="V1233" i="1"/>
  <c r="V1234" i="1"/>
  <c r="V1235" i="1"/>
  <c r="V1236" i="1"/>
  <c r="V1237" i="1"/>
  <c r="V1238" i="1"/>
  <c r="V1239" i="1"/>
  <c r="V1240" i="1"/>
  <c r="V1241" i="1"/>
  <c r="V1242" i="1"/>
  <c r="V1243" i="1"/>
  <c r="V1244" i="1"/>
  <c r="V1245" i="1"/>
  <c r="V1246" i="1"/>
  <c r="V1247" i="1"/>
  <c r="V1248" i="1"/>
  <c r="V1249" i="1"/>
  <c r="V1250" i="1"/>
  <c r="V1251" i="1"/>
  <c r="V1252" i="1"/>
  <c r="V1253" i="1"/>
  <c r="V1254" i="1"/>
  <c r="V1255" i="1"/>
  <c r="V1256" i="1"/>
  <c r="V1257" i="1"/>
  <c r="V1258" i="1"/>
  <c r="V1259" i="1"/>
  <c r="V1260" i="1"/>
  <c r="V1261" i="1"/>
  <c r="V1262" i="1"/>
  <c r="V1263" i="1"/>
  <c r="V1264" i="1"/>
  <c r="V1265" i="1"/>
  <c r="V1266" i="1"/>
  <c r="V1267" i="1"/>
  <c r="V1268" i="1"/>
  <c r="V1269" i="1"/>
  <c r="V1270" i="1"/>
  <c r="V1271" i="1"/>
  <c r="V1272" i="1"/>
  <c r="V1273" i="1"/>
  <c r="V1274" i="1"/>
  <c r="V1275" i="1"/>
  <c r="V1276" i="1"/>
  <c r="V1277" i="1"/>
  <c r="V1278" i="1"/>
  <c r="V1279" i="1"/>
  <c r="V1280" i="1"/>
  <c r="V1281" i="1"/>
  <c r="V1282" i="1"/>
  <c r="V1283" i="1"/>
  <c r="V1284" i="1"/>
  <c r="V1285" i="1"/>
  <c r="V1286" i="1"/>
  <c r="V1287" i="1"/>
  <c r="V1288" i="1"/>
  <c r="V1289" i="1"/>
  <c r="V1290" i="1"/>
  <c r="V1291" i="1"/>
  <c r="V1292" i="1"/>
  <c r="V1293" i="1"/>
  <c r="V1294" i="1"/>
  <c r="V1295" i="1"/>
  <c r="V1296" i="1"/>
  <c r="V1297" i="1"/>
  <c r="V1298" i="1"/>
  <c r="V1299" i="1"/>
  <c r="V1300" i="1"/>
  <c r="V1301" i="1"/>
  <c r="V1302" i="1"/>
  <c r="V1303" i="1"/>
  <c r="V1304" i="1"/>
  <c r="V1305" i="1"/>
  <c r="V1306" i="1"/>
  <c r="V1307" i="1"/>
  <c r="V1308" i="1"/>
  <c r="V1309" i="1"/>
  <c r="V1310" i="1"/>
  <c r="V1311" i="1"/>
  <c r="V1312" i="1"/>
  <c r="V1313" i="1"/>
  <c r="V1314" i="1"/>
  <c r="V1315" i="1"/>
  <c r="V1316" i="1"/>
  <c r="V1317" i="1"/>
  <c r="V1318" i="1"/>
  <c r="V1319" i="1"/>
  <c r="V1320" i="1"/>
  <c r="V1321" i="1"/>
  <c r="V1322" i="1"/>
  <c r="V1323" i="1"/>
  <c r="V1324" i="1"/>
  <c r="V1325" i="1"/>
  <c r="V1326" i="1"/>
  <c r="V1327" i="1"/>
  <c r="V1328" i="1"/>
  <c r="V1329" i="1"/>
  <c r="V1330" i="1"/>
  <c r="V1331" i="1"/>
  <c r="V1332" i="1"/>
  <c r="V1333" i="1"/>
  <c r="V1334" i="1"/>
  <c r="V1335" i="1"/>
  <c r="V1336" i="1"/>
  <c r="V1337" i="1"/>
  <c r="V1338" i="1"/>
  <c r="V1339" i="1"/>
  <c r="V1340" i="1"/>
  <c r="V1341" i="1"/>
  <c r="V1342" i="1"/>
  <c r="V1343" i="1"/>
  <c r="V1344" i="1"/>
  <c r="V1345" i="1"/>
  <c r="V1346" i="1"/>
  <c r="V1347" i="1"/>
  <c r="V1348" i="1"/>
  <c r="V1349" i="1"/>
  <c r="V1350" i="1"/>
  <c r="V1351" i="1"/>
  <c r="V1352" i="1"/>
  <c r="V1353" i="1"/>
  <c r="V1354" i="1"/>
  <c r="V1355" i="1"/>
  <c r="V1356" i="1"/>
  <c r="V1357" i="1"/>
  <c r="V1358" i="1"/>
  <c r="V1359" i="1"/>
  <c r="V1360" i="1"/>
  <c r="V1361" i="1"/>
  <c r="V1362" i="1"/>
  <c r="V1363" i="1"/>
  <c r="V1364" i="1"/>
  <c r="V1365" i="1"/>
  <c r="V1366" i="1"/>
  <c r="V1367" i="1"/>
  <c r="V1368" i="1"/>
  <c r="V1369" i="1"/>
  <c r="V1370" i="1"/>
  <c r="V1371" i="1"/>
  <c r="V1372" i="1"/>
  <c r="V1373" i="1"/>
  <c r="V1374" i="1"/>
  <c r="V1375" i="1"/>
  <c r="V1376" i="1"/>
  <c r="V1377" i="1"/>
  <c r="V1378" i="1"/>
  <c r="V1379" i="1"/>
  <c r="V1380" i="1"/>
  <c r="V1381" i="1"/>
  <c r="V1382" i="1"/>
  <c r="V1383" i="1"/>
  <c r="V1384" i="1"/>
  <c r="V1385" i="1"/>
  <c r="V1386" i="1"/>
  <c r="V1387" i="1"/>
  <c r="V1388" i="1"/>
  <c r="V1389" i="1"/>
  <c r="V1390" i="1"/>
  <c r="V1391" i="1"/>
  <c r="V1392" i="1"/>
  <c r="V1393" i="1"/>
  <c r="V1394" i="1"/>
  <c r="V1395" i="1"/>
  <c r="V1396" i="1"/>
  <c r="V1397" i="1"/>
  <c r="V1398" i="1"/>
  <c r="V1399" i="1"/>
  <c r="V1400" i="1"/>
  <c r="V1401" i="1"/>
  <c r="V1402" i="1"/>
  <c r="V1403" i="1"/>
  <c r="V1404" i="1"/>
  <c r="V1405" i="1"/>
  <c r="V1406" i="1"/>
  <c r="V1407" i="1"/>
  <c r="V1408" i="1"/>
  <c r="V1409" i="1"/>
  <c r="V1410" i="1"/>
  <c r="V1411" i="1"/>
  <c r="V1412" i="1"/>
  <c r="V1413" i="1"/>
  <c r="V1414" i="1"/>
  <c r="V1415" i="1"/>
  <c r="V1416" i="1"/>
  <c r="V1417" i="1"/>
  <c r="V1418" i="1"/>
  <c r="V1419" i="1"/>
  <c r="V1420" i="1"/>
  <c r="V1421" i="1"/>
  <c r="V1422" i="1"/>
  <c r="V1423" i="1"/>
  <c r="V1424" i="1"/>
  <c r="V1425" i="1"/>
  <c r="V1426" i="1"/>
  <c r="V1427" i="1"/>
  <c r="V1428" i="1"/>
  <c r="V1429" i="1"/>
  <c r="V1430" i="1"/>
  <c r="V1431" i="1"/>
  <c r="V1432" i="1"/>
  <c r="V1433" i="1"/>
  <c r="V1434" i="1"/>
  <c r="V1435" i="1"/>
  <c r="V1436" i="1"/>
  <c r="V1437" i="1"/>
  <c r="V1438" i="1"/>
  <c r="V1439" i="1"/>
  <c r="V1440" i="1"/>
  <c r="V1441" i="1"/>
  <c r="V1442" i="1"/>
  <c r="V1443" i="1"/>
  <c r="V1444" i="1"/>
  <c r="V1445" i="1"/>
  <c r="V1446" i="1"/>
  <c r="V1447" i="1"/>
  <c r="V1448" i="1"/>
  <c r="V1449" i="1"/>
  <c r="V1450" i="1"/>
  <c r="V1451" i="1"/>
  <c r="V1452" i="1"/>
  <c r="V1453" i="1"/>
  <c r="V1454" i="1"/>
  <c r="V1455" i="1"/>
  <c r="V1456" i="1"/>
  <c r="V1457" i="1"/>
  <c r="V1458" i="1"/>
  <c r="V1459" i="1"/>
  <c r="V1460" i="1"/>
  <c r="V1461" i="1"/>
  <c r="V1462" i="1"/>
  <c r="V1463" i="1"/>
  <c r="V1464" i="1"/>
  <c r="V1465" i="1"/>
  <c r="V1466" i="1"/>
  <c r="V1467" i="1"/>
  <c r="V1468" i="1"/>
  <c r="V1469" i="1"/>
  <c r="V1470" i="1"/>
  <c r="V1471" i="1"/>
  <c r="V1472" i="1"/>
  <c r="V1473" i="1"/>
  <c r="V1474" i="1"/>
  <c r="V1475" i="1"/>
  <c r="V1476" i="1"/>
  <c r="V1477" i="1"/>
  <c r="V1478" i="1"/>
  <c r="V1479" i="1"/>
  <c r="V1480" i="1"/>
  <c r="V1481" i="1"/>
  <c r="V1482" i="1"/>
  <c r="V1483" i="1"/>
  <c r="V1484" i="1"/>
  <c r="V1485" i="1"/>
  <c r="V1486" i="1"/>
  <c r="V1487" i="1"/>
  <c r="V1488" i="1"/>
  <c r="V1489" i="1"/>
  <c r="V1490" i="1"/>
  <c r="V1491" i="1"/>
  <c r="V1492" i="1"/>
  <c r="V1493" i="1"/>
  <c r="V1494" i="1"/>
  <c r="V1495" i="1"/>
  <c r="V1496" i="1"/>
  <c r="V1497" i="1"/>
  <c r="V1498" i="1"/>
  <c r="V1499" i="1"/>
  <c r="V1500" i="1"/>
  <c r="V1501" i="1"/>
  <c r="U2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515" i="1"/>
  <c r="U516" i="1"/>
  <c r="U517" i="1"/>
  <c r="U518" i="1"/>
  <c r="U519" i="1"/>
  <c r="U520" i="1"/>
  <c r="U521" i="1"/>
  <c r="U522" i="1"/>
  <c r="U523" i="1"/>
  <c r="U524" i="1"/>
  <c r="U525" i="1"/>
  <c r="U526" i="1"/>
  <c r="U527" i="1"/>
  <c r="U528" i="1"/>
  <c r="U529" i="1"/>
  <c r="U530" i="1"/>
  <c r="U531" i="1"/>
  <c r="U532" i="1"/>
  <c r="U533" i="1"/>
  <c r="U534" i="1"/>
  <c r="U535" i="1"/>
  <c r="U536" i="1"/>
  <c r="U537" i="1"/>
  <c r="U538" i="1"/>
  <c r="U539" i="1"/>
  <c r="U540" i="1"/>
  <c r="U541" i="1"/>
  <c r="U542" i="1"/>
  <c r="U543" i="1"/>
  <c r="U544" i="1"/>
  <c r="U545" i="1"/>
  <c r="U546" i="1"/>
  <c r="U547" i="1"/>
  <c r="U548" i="1"/>
  <c r="U549" i="1"/>
  <c r="U550" i="1"/>
  <c r="U551" i="1"/>
  <c r="U552" i="1"/>
  <c r="U553" i="1"/>
  <c r="U554" i="1"/>
  <c r="U555" i="1"/>
  <c r="U556" i="1"/>
  <c r="U557" i="1"/>
  <c r="U558" i="1"/>
  <c r="U559" i="1"/>
  <c r="U560" i="1"/>
  <c r="U561" i="1"/>
  <c r="U562" i="1"/>
  <c r="U563" i="1"/>
  <c r="U564" i="1"/>
  <c r="U565" i="1"/>
  <c r="U566" i="1"/>
  <c r="U567" i="1"/>
  <c r="U568" i="1"/>
  <c r="U569" i="1"/>
  <c r="U570" i="1"/>
  <c r="U571" i="1"/>
  <c r="U572" i="1"/>
  <c r="U573" i="1"/>
  <c r="U574" i="1"/>
  <c r="U575" i="1"/>
  <c r="U576" i="1"/>
  <c r="U577" i="1"/>
  <c r="U578" i="1"/>
  <c r="U579" i="1"/>
  <c r="U580" i="1"/>
  <c r="U581" i="1"/>
  <c r="U582" i="1"/>
  <c r="U583" i="1"/>
  <c r="U584" i="1"/>
  <c r="U585" i="1"/>
  <c r="U586" i="1"/>
  <c r="U587" i="1"/>
  <c r="U588" i="1"/>
  <c r="U589" i="1"/>
  <c r="U590" i="1"/>
  <c r="U591" i="1"/>
  <c r="U592" i="1"/>
  <c r="U593" i="1"/>
  <c r="U594" i="1"/>
  <c r="U595" i="1"/>
  <c r="U596" i="1"/>
  <c r="U597" i="1"/>
  <c r="U598" i="1"/>
  <c r="U599" i="1"/>
  <c r="U600" i="1"/>
  <c r="U601" i="1"/>
  <c r="U602" i="1"/>
  <c r="U603" i="1"/>
  <c r="U604" i="1"/>
  <c r="U605" i="1"/>
  <c r="U606" i="1"/>
  <c r="U607" i="1"/>
  <c r="U608" i="1"/>
  <c r="U609" i="1"/>
  <c r="U610" i="1"/>
  <c r="U611" i="1"/>
  <c r="U612" i="1"/>
  <c r="U613" i="1"/>
  <c r="U614" i="1"/>
  <c r="U615" i="1"/>
  <c r="U616" i="1"/>
  <c r="U617" i="1"/>
  <c r="U618" i="1"/>
  <c r="U619" i="1"/>
  <c r="U620" i="1"/>
  <c r="U621" i="1"/>
  <c r="U622" i="1"/>
  <c r="U623" i="1"/>
  <c r="U624" i="1"/>
  <c r="U625" i="1"/>
  <c r="U626" i="1"/>
  <c r="U627" i="1"/>
  <c r="U628" i="1"/>
  <c r="U629" i="1"/>
  <c r="U630" i="1"/>
  <c r="U631" i="1"/>
  <c r="U632" i="1"/>
  <c r="U633" i="1"/>
  <c r="U634" i="1"/>
  <c r="U635" i="1"/>
  <c r="U636" i="1"/>
  <c r="U637" i="1"/>
  <c r="U638" i="1"/>
  <c r="U639" i="1"/>
  <c r="U640" i="1"/>
  <c r="U641" i="1"/>
  <c r="U642" i="1"/>
  <c r="U643" i="1"/>
  <c r="U644" i="1"/>
  <c r="U645" i="1"/>
  <c r="U646" i="1"/>
  <c r="U647" i="1"/>
  <c r="U648" i="1"/>
  <c r="U649" i="1"/>
  <c r="U650" i="1"/>
  <c r="U651" i="1"/>
  <c r="U652" i="1"/>
  <c r="U653" i="1"/>
  <c r="U654" i="1"/>
  <c r="U655" i="1"/>
  <c r="U656" i="1"/>
  <c r="U657" i="1"/>
  <c r="U658" i="1"/>
  <c r="U659" i="1"/>
  <c r="U660" i="1"/>
  <c r="U661" i="1"/>
  <c r="U662" i="1"/>
  <c r="U663" i="1"/>
  <c r="U664" i="1"/>
  <c r="U665" i="1"/>
  <c r="U666" i="1"/>
  <c r="U667" i="1"/>
  <c r="U668" i="1"/>
  <c r="U669" i="1"/>
  <c r="U670" i="1"/>
  <c r="U671" i="1"/>
  <c r="U672" i="1"/>
  <c r="U673" i="1"/>
  <c r="U674" i="1"/>
  <c r="U675" i="1"/>
  <c r="U676" i="1"/>
  <c r="U677" i="1"/>
  <c r="U678" i="1"/>
  <c r="U679" i="1"/>
  <c r="U680" i="1"/>
  <c r="U681" i="1"/>
  <c r="U682" i="1"/>
  <c r="U683" i="1"/>
  <c r="U684" i="1"/>
  <c r="U685" i="1"/>
  <c r="U686" i="1"/>
  <c r="U687" i="1"/>
  <c r="U688" i="1"/>
  <c r="U689" i="1"/>
  <c r="U690" i="1"/>
  <c r="U691" i="1"/>
  <c r="U692" i="1"/>
  <c r="U693" i="1"/>
  <c r="U694" i="1"/>
  <c r="U695" i="1"/>
  <c r="U696" i="1"/>
  <c r="U697" i="1"/>
  <c r="U698" i="1"/>
  <c r="U699" i="1"/>
  <c r="U700" i="1"/>
  <c r="U701" i="1"/>
  <c r="U702" i="1"/>
  <c r="U703" i="1"/>
  <c r="U704" i="1"/>
  <c r="U705" i="1"/>
  <c r="U706" i="1"/>
  <c r="U707" i="1"/>
  <c r="U708" i="1"/>
  <c r="U709" i="1"/>
  <c r="U710" i="1"/>
  <c r="U711" i="1"/>
  <c r="U712" i="1"/>
  <c r="U713" i="1"/>
  <c r="U714" i="1"/>
  <c r="U715" i="1"/>
  <c r="U716" i="1"/>
  <c r="U717" i="1"/>
  <c r="U718" i="1"/>
  <c r="U719" i="1"/>
  <c r="U720" i="1"/>
  <c r="U721" i="1"/>
  <c r="U722" i="1"/>
  <c r="U723" i="1"/>
  <c r="U724" i="1"/>
  <c r="U725" i="1"/>
  <c r="U726" i="1"/>
  <c r="U727" i="1"/>
  <c r="U728" i="1"/>
  <c r="U729" i="1"/>
  <c r="U730" i="1"/>
  <c r="U731" i="1"/>
  <c r="U732" i="1"/>
  <c r="U733" i="1"/>
  <c r="U734" i="1"/>
  <c r="U735" i="1"/>
  <c r="U736" i="1"/>
  <c r="U737" i="1"/>
  <c r="U738" i="1"/>
  <c r="U739" i="1"/>
  <c r="U740" i="1"/>
  <c r="U741" i="1"/>
  <c r="U742" i="1"/>
  <c r="U743" i="1"/>
  <c r="U744" i="1"/>
  <c r="U745" i="1"/>
  <c r="U746" i="1"/>
  <c r="U747" i="1"/>
  <c r="U748" i="1"/>
  <c r="U749" i="1"/>
  <c r="U750" i="1"/>
  <c r="U751" i="1"/>
  <c r="U752" i="1"/>
  <c r="U753" i="1"/>
  <c r="U754" i="1"/>
  <c r="U755" i="1"/>
  <c r="U756" i="1"/>
  <c r="U757" i="1"/>
  <c r="U758" i="1"/>
  <c r="U759" i="1"/>
  <c r="U760" i="1"/>
  <c r="U761" i="1"/>
  <c r="U762" i="1"/>
  <c r="U763" i="1"/>
  <c r="U764" i="1"/>
  <c r="U765" i="1"/>
  <c r="U766" i="1"/>
  <c r="U767" i="1"/>
  <c r="U768" i="1"/>
  <c r="U769" i="1"/>
  <c r="U770" i="1"/>
  <c r="U771" i="1"/>
  <c r="U772" i="1"/>
  <c r="U773" i="1"/>
  <c r="U774" i="1"/>
  <c r="U775" i="1"/>
  <c r="U776" i="1"/>
  <c r="U777" i="1"/>
  <c r="U778" i="1"/>
  <c r="U779" i="1"/>
  <c r="U780" i="1"/>
  <c r="U781" i="1"/>
  <c r="U782" i="1"/>
  <c r="U783" i="1"/>
  <c r="U784" i="1"/>
  <c r="U785" i="1"/>
  <c r="U786" i="1"/>
  <c r="U787" i="1"/>
  <c r="U788" i="1"/>
  <c r="U789" i="1"/>
  <c r="U790" i="1"/>
  <c r="U791" i="1"/>
  <c r="U792" i="1"/>
  <c r="U793" i="1"/>
  <c r="U794" i="1"/>
  <c r="U795" i="1"/>
  <c r="U796" i="1"/>
  <c r="U797" i="1"/>
  <c r="U798" i="1"/>
  <c r="U799" i="1"/>
  <c r="U800" i="1"/>
  <c r="U801" i="1"/>
  <c r="U802" i="1"/>
  <c r="U803" i="1"/>
  <c r="U804" i="1"/>
  <c r="U805" i="1"/>
  <c r="U806" i="1"/>
  <c r="U807" i="1"/>
  <c r="U808" i="1"/>
  <c r="U809" i="1"/>
  <c r="U810" i="1"/>
  <c r="U811" i="1"/>
  <c r="U812" i="1"/>
  <c r="U813" i="1"/>
  <c r="U814" i="1"/>
  <c r="U815" i="1"/>
  <c r="U816" i="1"/>
  <c r="U817" i="1"/>
  <c r="U818" i="1"/>
  <c r="U819" i="1"/>
  <c r="U820" i="1"/>
  <c r="U821" i="1"/>
  <c r="U822" i="1"/>
  <c r="U823" i="1"/>
  <c r="U824" i="1"/>
  <c r="U825" i="1"/>
  <c r="U826" i="1"/>
  <c r="U827" i="1"/>
  <c r="U828" i="1"/>
  <c r="U829" i="1"/>
  <c r="U830" i="1"/>
  <c r="U831" i="1"/>
  <c r="U832" i="1"/>
  <c r="U833" i="1"/>
  <c r="U834" i="1"/>
  <c r="U835" i="1"/>
  <c r="U836" i="1"/>
  <c r="U837" i="1"/>
  <c r="U838" i="1"/>
  <c r="U839" i="1"/>
  <c r="U840" i="1"/>
  <c r="U841" i="1"/>
  <c r="U842" i="1"/>
  <c r="U843" i="1"/>
  <c r="U844" i="1"/>
  <c r="U845" i="1"/>
  <c r="U846" i="1"/>
  <c r="U847" i="1"/>
  <c r="U848" i="1"/>
  <c r="U849" i="1"/>
  <c r="U850" i="1"/>
  <c r="U851" i="1"/>
  <c r="U852" i="1"/>
  <c r="U853" i="1"/>
  <c r="U854" i="1"/>
  <c r="U855" i="1"/>
  <c r="U856" i="1"/>
  <c r="U857" i="1"/>
  <c r="U858" i="1"/>
  <c r="U859" i="1"/>
  <c r="U860" i="1"/>
  <c r="U861" i="1"/>
  <c r="U862" i="1"/>
  <c r="U863" i="1"/>
  <c r="U864" i="1"/>
  <c r="U865" i="1"/>
  <c r="U866" i="1"/>
  <c r="U867" i="1"/>
  <c r="U868" i="1"/>
  <c r="U869" i="1"/>
  <c r="U870" i="1"/>
  <c r="U871" i="1"/>
  <c r="U872" i="1"/>
  <c r="U873" i="1"/>
  <c r="U874" i="1"/>
  <c r="U875" i="1"/>
  <c r="U876" i="1"/>
  <c r="U877" i="1"/>
  <c r="U878" i="1"/>
  <c r="U879" i="1"/>
  <c r="U880" i="1"/>
  <c r="U881" i="1"/>
  <c r="U882" i="1"/>
  <c r="U883" i="1"/>
  <c r="U884" i="1"/>
  <c r="U885" i="1"/>
  <c r="U886" i="1"/>
  <c r="U887" i="1"/>
  <c r="U888" i="1"/>
  <c r="U889" i="1"/>
  <c r="U890" i="1"/>
  <c r="U891" i="1"/>
  <c r="U892" i="1"/>
  <c r="U893" i="1"/>
  <c r="U894" i="1"/>
  <c r="U895" i="1"/>
  <c r="U896" i="1"/>
  <c r="U897" i="1"/>
  <c r="U898" i="1"/>
  <c r="U899" i="1"/>
  <c r="U900" i="1"/>
  <c r="U901" i="1"/>
  <c r="U902" i="1"/>
  <c r="U903" i="1"/>
  <c r="U904" i="1"/>
  <c r="U905" i="1"/>
  <c r="U906" i="1"/>
  <c r="U907" i="1"/>
  <c r="U908" i="1"/>
  <c r="U909" i="1"/>
  <c r="U910" i="1"/>
  <c r="U911" i="1"/>
  <c r="U912" i="1"/>
  <c r="U913" i="1"/>
  <c r="U914" i="1"/>
  <c r="U915" i="1"/>
  <c r="U916" i="1"/>
  <c r="U917" i="1"/>
  <c r="U918" i="1"/>
  <c r="U919" i="1"/>
  <c r="U920" i="1"/>
  <c r="U921" i="1"/>
  <c r="U922" i="1"/>
  <c r="U923" i="1"/>
  <c r="U924" i="1"/>
  <c r="U925" i="1"/>
  <c r="U926" i="1"/>
  <c r="U927" i="1"/>
  <c r="U928" i="1"/>
  <c r="U929" i="1"/>
  <c r="U930" i="1"/>
  <c r="U931" i="1"/>
  <c r="U932" i="1"/>
  <c r="U933" i="1"/>
  <c r="U934" i="1"/>
  <c r="U935" i="1"/>
  <c r="U936" i="1"/>
  <c r="U937" i="1"/>
  <c r="U938" i="1"/>
  <c r="U939" i="1"/>
  <c r="U940" i="1"/>
  <c r="U941" i="1"/>
  <c r="U942" i="1"/>
  <c r="U943" i="1"/>
  <c r="U944" i="1"/>
  <c r="U945" i="1"/>
  <c r="U946" i="1"/>
  <c r="U947" i="1"/>
  <c r="U948" i="1"/>
  <c r="U949" i="1"/>
  <c r="U950" i="1"/>
  <c r="U951" i="1"/>
  <c r="U952" i="1"/>
  <c r="U953" i="1"/>
  <c r="U954" i="1"/>
  <c r="U955" i="1"/>
  <c r="U956" i="1"/>
  <c r="U957" i="1"/>
  <c r="U958" i="1"/>
  <c r="U959" i="1"/>
  <c r="U960" i="1"/>
  <c r="U961" i="1"/>
  <c r="U962" i="1"/>
  <c r="U963" i="1"/>
  <c r="U964" i="1"/>
  <c r="U965" i="1"/>
  <c r="U966" i="1"/>
  <c r="U967" i="1"/>
  <c r="U968" i="1"/>
  <c r="U969" i="1"/>
  <c r="U970" i="1"/>
  <c r="U971" i="1"/>
  <c r="U972" i="1"/>
  <c r="U973" i="1"/>
  <c r="U974" i="1"/>
  <c r="U975" i="1"/>
  <c r="U976" i="1"/>
  <c r="U977" i="1"/>
  <c r="U978" i="1"/>
  <c r="U979" i="1"/>
  <c r="U980" i="1"/>
  <c r="U981" i="1"/>
  <c r="U982" i="1"/>
  <c r="U983" i="1"/>
  <c r="U984" i="1"/>
  <c r="U985" i="1"/>
  <c r="U986" i="1"/>
  <c r="U987" i="1"/>
  <c r="U988" i="1"/>
  <c r="U989" i="1"/>
  <c r="U990" i="1"/>
  <c r="U991" i="1"/>
  <c r="U992" i="1"/>
  <c r="U993" i="1"/>
  <c r="U994" i="1"/>
  <c r="U995" i="1"/>
  <c r="U996" i="1"/>
  <c r="U997" i="1"/>
  <c r="U998" i="1"/>
  <c r="U999" i="1"/>
  <c r="U1000" i="1"/>
  <c r="U1001" i="1"/>
  <c r="U1002" i="1"/>
  <c r="U1003" i="1"/>
  <c r="U1004" i="1"/>
  <c r="U1005" i="1"/>
  <c r="U1006" i="1"/>
  <c r="U1007" i="1"/>
  <c r="U1008" i="1"/>
  <c r="U1009" i="1"/>
  <c r="U1010" i="1"/>
  <c r="U1011" i="1"/>
  <c r="U1012" i="1"/>
  <c r="U1013" i="1"/>
  <c r="U1014" i="1"/>
  <c r="U1015" i="1"/>
  <c r="U1016" i="1"/>
  <c r="U1017" i="1"/>
  <c r="U1018" i="1"/>
  <c r="U1019" i="1"/>
  <c r="U1020" i="1"/>
  <c r="U1021" i="1"/>
  <c r="U1022" i="1"/>
  <c r="U1023" i="1"/>
  <c r="U1024" i="1"/>
  <c r="U1025" i="1"/>
  <c r="U1026" i="1"/>
  <c r="U1027" i="1"/>
  <c r="U1028" i="1"/>
  <c r="U1029" i="1"/>
  <c r="U1030" i="1"/>
  <c r="U1031" i="1"/>
  <c r="U1032" i="1"/>
  <c r="U1033" i="1"/>
  <c r="U1034" i="1"/>
  <c r="U1035" i="1"/>
  <c r="U1036" i="1"/>
  <c r="U1037" i="1"/>
  <c r="U1038" i="1"/>
  <c r="U1039" i="1"/>
  <c r="U1040" i="1"/>
  <c r="U1041" i="1"/>
  <c r="U1042" i="1"/>
  <c r="U1043" i="1"/>
  <c r="U1044" i="1"/>
  <c r="U1045" i="1"/>
  <c r="U1046" i="1"/>
  <c r="U1047" i="1"/>
  <c r="U1048" i="1"/>
  <c r="U1049" i="1"/>
  <c r="U1050" i="1"/>
  <c r="U1051" i="1"/>
  <c r="U1052" i="1"/>
  <c r="U1053" i="1"/>
  <c r="U1054" i="1"/>
  <c r="U1055" i="1"/>
  <c r="U1056" i="1"/>
  <c r="U1057" i="1"/>
  <c r="U1058" i="1"/>
  <c r="U1059" i="1"/>
  <c r="U1060" i="1"/>
  <c r="U1061" i="1"/>
  <c r="U1062" i="1"/>
  <c r="U1063" i="1"/>
  <c r="U1064" i="1"/>
  <c r="U1065" i="1"/>
  <c r="U1066" i="1"/>
  <c r="U1067" i="1"/>
  <c r="U1068" i="1"/>
  <c r="U1069" i="1"/>
  <c r="U1070" i="1"/>
  <c r="U1071" i="1"/>
  <c r="U1072" i="1"/>
  <c r="U1073" i="1"/>
  <c r="U1074" i="1"/>
  <c r="U1075" i="1"/>
  <c r="U1076" i="1"/>
  <c r="U1077" i="1"/>
  <c r="U1078" i="1"/>
  <c r="U1079" i="1"/>
  <c r="U1080" i="1"/>
  <c r="U1081" i="1"/>
  <c r="U1082" i="1"/>
  <c r="U1083" i="1"/>
  <c r="U1084" i="1"/>
  <c r="U1085" i="1"/>
  <c r="U1086" i="1"/>
  <c r="U1087" i="1"/>
  <c r="U1088" i="1"/>
  <c r="U1089" i="1"/>
  <c r="U1090" i="1"/>
  <c r="U1091" i="1"/>
  <c r="U1092" i="1"/>
  <c r="U1093" i="1"/>
  <c r="U1094" i="1"/>
  <c r="U1095" i="1"/>
  <c r="U1096" i="1"/>
  <c r="U1097" i="1"/>
  <c r="U1098" i="1"/>
  <c r="U1099" i="1"/>
  <c r="U1100" i="1"/>
  <c r="U1101" i="1"/>
  <c r="U1102" i="1"/>
  <c r="U1103" i="1"/>
  <c r="U1104" i="1"/>
  <c r="U1105" i="1"/>
  <c r="U1106" i="1"/>
  <c r="U1107" i="1"/>
  <c r="U1108" i="1"/>
  <c r="U1109" i="1"/>
  <c r="U1110" i="1"/>
  <c r="U1111" i="1"/>
  <c r="U1112" i="1"/>
  <c r="U1113" i="1"/>
  <c r="U1114" i="1"/>
  <c r="U1115" i="1"/>
  <c r="U1116" i="1"/>
  <c r="U1117" i="1"/>
  <c r="U1118" i="1"/>
  <c r="U1119" i="1"/>
  <c r="U1120" i="1"/>
  <c r="U1121" i="1"/>
  <c r="U1122" i="1"/>
  <c r="U1123" i="1"/>
  <c r="U1124" i="1"/>
  <c r="U1125" i="1"/>
  <c r="U1126" i="1"/>
  <c r="U1127" i="1"/>
  <c r="U1128" i="1"/>
  <c r="U1129" i="1"/>
  <c r="U1130" i="1"/>
  <c r="U1131" i="1"/>
  <c r="U1132" i="1"/>
  <c r="U1133" i="1"/>
  <c r="U1134" i="1"/>
  <c r="U1135" i="1"/>
  <c r="U1136" i="1"/>
  <c r="U1137" i="1"/>
  <c r="U1138" i="1"/>
  <c r="U1139" i="1"/>
  <c r="U1140" i="1"/>
  <c r="U1141" i="1"/>
  <c r="U1142" i="1"/>
  <c r="U1143" i="1"/>
  <c r="U1144" i="1"/>
  <c r="U1145" i="1"/>
  <c r="U1146" i="1"/>
  <c r="U1147" i="1"/>
  <c r="U1148" i="1"/>
  <c r="U1149" i="1"/>
  <c r="U1150" i="1"/>
  <c r="U1151" i="1"/>
  <c r="U1152" i="1"/>
  <c r="U1153" i="1"/>
  <c r="U1154" i="1"/>
  <c r="U1155" i="1"/>
  <c r="U1156" i="1"/>
  <c r="U1157" i="1"/>
  <c r="U1158" i="1"/>
  <c r="U1159" i="1"/>
  <c r="U1160" i="1"/>
  <c r="U1161" i="1"/>
  <c r="U1162" i="1"/>
  <c r="U1163" i="1"/>
  <c r="U1164" i="1"/>
  <c r="U1165" i="1"/>
  <c r="U1166" i="1"/>
  <c r="U1167" i="1"/>
  <c r="U1168" i="1"/>
  <c r="U1169" i="1"/>
  <c r="U1170" i="1"/>
  <c r="U1171" i="1"/>
  <c r="U1172" i="1"/>
  <c r="U1173" i="1"/>
  <c r="U1174" i="1"/>
  <c r="U1175" i="1"/>
  <c r="U1176" i="1"/>
  <c r="U1177" i="1"/>
  <c r="U1178" i="1"/>
  <c r="U1179" i="1"/>
  <c r="U1180" i="1"/>
  <c r="U1181" i="1"/>
  <c r="U1182" i="1"/>
  <c r="U1183" i="1"/>
  <c r="U1184" i="1"/>
  <c r="U1185" i="1"/>
  <c r="U1186" i="1"/>
  <c r="U1187" i="1"/>
  <c r="U1188" i="1"/>
  <c r="U1189" i="1"/>
  <c r="U1190" i="1"/>
  <c r="U1191" i="1"/>
  <c r="U1192" i="1"/>
  <c r="U1193" i="1"/>
  <c r="U1194" i="1"/>
  <c r="U1195" i="1"/>
  <c r="U1196" i="1"/>
  <c r="U1197" i="1"/>
  <c r="U1198" i="1"/>
  <c r="U1199" i="1"/>
  <c r="U1200" i="1"/>
  <c r="U1201" i="1"/>
  <c r="U1202" i="1"/>
  <c r="U1203" i="1"/>
  <c r="U1204" i="1"/>
  <c r="U1205" i="1"/>
  <c r="U1206" i="1"/>
  <c r="U1207" i="1"/>
  <c r="U1208" i="1"/>
  <c r="U1209" i="1"/>
  <c r="U1210" i="1"/>
  <c r="U1211" i="1"/>
  <c r="U1212" i="1"/>
  <c r="U1213" i="1"/>
  <c r="U1214" i="1"/>
  <c r="U1215" i="1"/>
  <c r="U1216" i="1"/>
  <c r="U1217" i="1"/>
  <c r="U1218" i="1"/>
  <c r="U1219" i="1"/>
  <c r="U1220" i="1"/>
  <c r="U1221" i="1"/>
  <c r="U1222" i="1"/>
  <c r="U1223" i="1"/>
  <c r="U1224" i="1"/>
  <c r="U1225" i="1"/>
  <c r="U1226" i="1"/>
  <c r="U1227" i="1"/>
  <c r="U1228" i="1"/>
  <c r="U1229" i="1"/>
  <c r="U1230" i="1"/>
  <c r="U1231" i="1"/>
  <c r="U1232" i="1"/>
  <c r="U1233" i="1"/>
  <c r="U1234" i="1"/>
  <c r="U1235" i="1"/>
  <c r="U1236" i="1"/>
  <c r="U1237" i="1"/>
  <c r="U1238" i="1"/>
  <c r="U1239" i="1"/>
  <c r="U1240" i="1"/>
  <c r="U1241" i="1"/>
  <c r="U1242" i="1"/>
  <c r="U1243" i="1"/>
  <c r="U1244" i="1"/>
  <c r="U1245" i="1"/>
  <c r="U1246" i="1"/>
  <c r="U1247" i="1"/>
  <c r="U1248" i="1"/>
  <c r="U1249" i="1"/>
  <c r="U1250" i="1"/>
  <c r="U1251" i="1"/>
  <c r="U1252" i="1"/>
  <c r="U1253" i="1"/>
  <c r="U1254" i="1"/>
  <c r="U1255" i="1"/>
  <c r="U1256" i="1"/>
  <c r="U1257" i="1"/>
  <c r="U1258" i="1"/>
  <c r="U1259" i="1"/>
  <c r="U1260" i="1"/>
  <c r="U1261" i="1"/>
  <c r="U1262" i="1"/>
  <c r="U1263" i="1"/>
  <c r="U1264" i="1"/>
  <c r="U1265" i="1"/>
  <c r="U1266" i="1"/>
  <c r="U1267" i="1"/>
  <c r="U1268" i="1"/>
  <c r="U1269" i="1"/>
  <c r="U1270" i="1"/>
  <c r="U1271" i="1"/>
  <c r="U1272" i="1"/>
  <c r="U1273" i="1"/>
  <c r="U1274" i="1"/>
  <c r="U1275" i="1"/>
  <c r="U1276" i="1"/>
  <c r="U1277" i="1"/>
  <c r="U1278" i="1"/>
  <c r="U1279" i="1"/>
  <c r="U1280" i="1"/>
  <c r="U1281" i="1"/>
  <c r="U1282" i="1"/>
  <c r="U1283" i="1"/>
  <c r="U1284" i="1"/>
  <c r="U1285" i="1"/>
  <c r="U1286" i="1"/>
  <c r="U1287" i="1"/>
  <c r="U1288" i="1"/>
  <c r="U1289" i="1"/>
  <c r="U1290" i="1"/>
  <c r="U1291" i="1"/>
  <c r="U1292" i="1"/>
  <c r="U1293" i="1"/>
  <c r="U1294" i="1"/>
  <c r="U1295" i="1"/>
  <c r="U1296" i="1"/>
  <c r="U1297" i="1"/>
  <c r="U1298" i="1"/>
  <c r="U1299" i="1"/>
  <c r="U1300" i="1"/>
  <c r="U1301" i="1"/>
  <c r="U1302" i="1"/>
  <c r="U1303" i="1"/>
  <c r="U1304" i="1"/>
  <c r="U1305" i="1"/>
  <c r="U1306" i="1"/>
  <c r="U1307" i="1"/>
  <c r="U1308" i="1"/>
  <c r="U1309" i="1"/>
  <c r="U1310" i="1"/>
  <c r="U1311" i="1"/>
  <c r="U1312" i="1"/>
  <c r="U1313" i="1"/>
  <c r="U1314" i="1"/>
  <c r="U1315" i="1"/>
  <c r="U1316" i="1"/>
  <c r="U1317" i="1"/>
  <c r="U1318" i="1"/>
  <c r="U1319" i="1"/>
  <c r="U1320" i="1"/>
  <c r="U1321" i="1"/>
  <c r="U1322" i="1"/>
  <c r="U1323" i="1"/>
  <c r="U1324" i="1"/>
  <c r="U1325" i="1"/>
  <c r="U1326" i="1"/>
  <c r="U1327" i="1"/>
  <c r="U1328" i="1"/>
  <c r="U1329" i="1"/>
  <c r="U1330" i="1"/>
  <c r="U1331" i="1"/>
  <c r="U1332" i="1"/>
  <c r="U1333" i="1"/>
  <c r="U1334" i="1"/>
  <c r="U1335" i="1"/>
  <c r="U1336" i="1"/>
  <c r="U1337" i="1"/>
  <c r="U1338" i="1"/>
  <c r="U1339" i="1"/>
  <c r="U1340" i="1"/>
  <c r="U1341" i="1"/>
  <c r="U1342" i="1"/>
  <c r="U1343" i="1"/>
  <c r="U1344" i="1"/>
  <c r="U1345" i="1"/>
  <c r="U1346" i="1"/>
  <c r="U1347" i="1"/>
  <c r="U1348" i="1"/>
  <c r="U1349" i="1"/>
  <c r="U1350" i="1"/>
  <c r="U1351" i="1"/>
  <c r="U1352" i="1"/>
  <c r="U1353" i="1"/>
  <c r="U1354" i="1"/>
  <c r="U1355" i="1"/>
  <c r="U1356" i="1"/>
  <c r="U1357" i="1"/>
  <c r="U1358" i="1"/>
  <c r="U1359" i="1"/>
  <c r="U1360" i="1"/>
  <c r="U1361" i="1"/>
  <c r="U1362" i="1"/>
  <c r="U1363" i="1"/>
  <c r="U1364" i="1"/>
  <c r="U1365" i="1"/>
  <c r="U1366" i="1"/>
  <c r="U1367" i="1"/>
  <c r="U1368" i="1"/>
  <c r="U1369" i="1"/>
  <c r="U1370" i="1"/>
  <c r="U1371" i="1"/>
  <c r="U1372" i="1"/>
  <c r="U1373" i="1"/>
  <c r="U1374" i="1"/>
  <c r="U1375" i="1"/>
  <c r="U1376" i="1"/>
  <c r="U1377" i="1"/>
  <c r="U1378" i="1"/>
  <c r="U1379" i="1"/>
  <c r="U1380" i="1"/>
  <c r="U1381" i="1"/>
  <c r="U1382" i="1"/>
  <c r="U1383" i="1"/>
  <c r="U1384" i="1"/>
  <c r="U1385" i="1"/>
  <c r="U1386" i="1"/>
  <c r="U1387" i="1"/>
  <c r="U1388" i="1"/>
  <c r="U1389" i="1"/>
  <c r="U1390" i="1"/>
  <c r="U1391" i="1"/>
  <c r="U1392" i="1"/>
  <c r="U1393" i="1"/>
  <c r="U1394" i="1"/>
  <c r="U1395" i="1"/>
  <c r="U1396" i="1"/>
  <c r="U1397" i="1"/>
  <c r="U1398" i="1"/>
  <c r="U1399" i="1"/>
  <c r="U1400" i="1"/>
  <c r="U1401" i="1"/>
  <c r="U1402" i="1"/>
  <c r="U1403" i="1"/>
  <c r="U1404" i="1"/>
  <c r="U1405" i="1"/>
  <c r="U1406" i="1"/>
  <c r="U1407" i="1"/>
  <c r="U1408" i="1"/>
  <c r="U1409" i="1"/>
  <c r="U1410" i="1"/>
  <c r="U1411" i="1"/>
  <c r="U1412" i="1"/>
  <c r="U1413" i="1"/>
  <c r="U1414" i="1"/>
  <c r="U1415" i="1"/>
  <c r="U1416" i="1"/>
  <c r="U1417" i="1"/>
  <c r="U1418" i="1"/>
  <c r="U1419" i="1"/>
  <c r="U1420" i="1"/>
  <c r="U1421" i="1"/>
  <c r="U1422" i="1"/>
  <c r="U1423" i="1"/>
  <c r="U1424" i="1"/>
  <c r="U1425" i="1"/>
  <c r="U1426" i="1"/>
  <c r="U1427" i="1"/>
  <c r="U1428" i="1"/>
  <c r="U1429" i="1"/>
  <c r="U1430" i="1"/>
  <c r="U1431" i="1"/>
  <c r="U1432" i="1"/>
  <c r="U1433" i="1"/>
  <c r="U1434" i="1"/>
  <c r="U1435" i="1"/>
  <c r="U1436" i="1"/>
  <c r="U1437" i="1"/>
  <c r="U1438" i="1"/>
  <c r="U1439" i="1"/>
  <c r="U1440" i="1"/>
  <c r="U1441" i="1"/>
  <c r="U1442" i="1"/>
  <c r="U1443" i="1"/>
  <c r="U1444" i="1"/>
  <c r="U1445" i="1"/>
  <c r="U1446" i="1"/>
  <c r="U1447" i="1"/>
  <c r="U1448" i="1"/>
  <c r="U1449" i="1"/>
  <c r="U1450" i="1"/>
  <c r="U1451" i="1"/>
  <c r="U1452" i="1"/>
  <c r="U1453" i="1"/>
  <c r="U1454" i="1"/>
  <c r="U1455" i="1"/>
  <c r="U1456" i="1"/>
  <c r="U1457" i="1"/>
  <c r="U1458" i="1"/>
  <c r="U1459" i="1"/>
  <c r="U1460" i="1"/>
  <c r="U1461" i="1"/>
  <c r="U1462" i="1"/>
  <c r="U1463" i="1"/>
  <c r="U1464" i="1"/>
  <c r="U1465" i="1"/>
  <c r="U1466" i="1"/>
  <c r="U1467" i="1"/>
  <c r="U1468" i="1"/>
  <c r="U1469" i="1"/>
  <c r="U1470" i="1"/>
  <c r="U1471" i="1"/>
  <c r="U1472" i="1"/>
  <c r="U1473" i="1"/>
  <c r="U1474" i="1"/>
  <c r="U1475" i="1"/>
  <c r="U1476" i="1"/>
  <c r="U1477" i="1"/>
  <c r="U1478" i="1"/>
  <c r="U1479" i="1"/>
  <c r="U1480" i="1"/>
  <c r="U1481" i="1"/>
  <c r="U1482" i="1"/>
  <c r="U1483" i="1"/>
  <c r="U1484" i="1"/>
  <c r="U1485" i="1"/>
  <c r="U1486" i="1"/>
  <c r="U1487" i="1"/>
  <c r="U1488" i="1"/>
  <c r="U1489" i="1"/>
  <c r="U1490" i="1"/>
  <c r="U1491" i="1"/>
  <c r="U1492" i="1"/>
  <c r="U1493" i="1"/>
  <c r="U1494" i="1"/>
  <c r="U1495" i="1"/>
  <c r="U1496" i="1"/>
  <c r="U1497" i="1"/>
  <c r="U1498" i="1"/>
  <c r="U1499" i="1"/>
  <c r="U1500" i="1"/>
  <c r="U1501" i="1"/>
  <c r="T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0" i="1"/>
  <c r="T961" i="1"/>
  <c r="T962" i="1"/>
  <c r="T963" i="1"/>
  <c r="T964" i="1"/>
  <c r="T965" i="1"/>
  <c r="T966" i="1"/>
  <c r="T967" i="1"/>
  <c r="T968" i="1"/>
  <c r="T969" i="1"/>
  <c r="T970" i="1"/>
  <c r="T971" i="1"/>
  <c r="T972" i="1"/>
  <c r="T973" i="1"/>
  <c r="T974" i="1"/>
  <c r="T975" i="1"/>
  <c r="T976" i="1"/>
  <c r="T977" i="1"/>
  <c r="T978" i="1"/>
  <c r="T979" i="1"/>
  <c r="T980" i="1"/>
  <c r="T981" i="1"/>
  <c r="T982" i="1"/>
  <c r="T983" i="1"/>
  <c r="T984" i="1"/>
  <c r="T985" i="1"/>
  <c r="T986" i="1"/>
  <c r="T987" i="1"/>
  <c r="T988" i="1"/>
  <c r="T989" i="1"/>
  <c r="T990" i="1"/>
  <c r="T991" i="1"/>
  <c r="T992" i="1"/>
  <c r="T993" i="1"/>
  <c r="T994" i="1"/>
  <c r="T995" i="1"/>
  <c r="T996" i="1"/>
  <c r="T997" i="1"/>
  <c r="T998" i="1"/>
  <c r="T999" i="1"/>
  <c r="T1000" i="1"/>
  <c r="T1001" i="1"/>
  <c r="T1002" i="1"/>
  <c r="T1003" i="1"/>
  <c r="T1004" i="1"/>
  <c r="T1005" i="1"/>
  <c r="T1006" i="1"/>
  <c r="T1007" i="1"/>
  <c r="T1008" i="1"/>
  <c r="T1009" i="1"/>
  <c r="T1010" i="1"/>
  <c r="T1011" i="1"/>
  <c r="T1012" i="1"/>
  <c r="T1013" i="1"/>
  <c r="T1014" i="1"/>
  <c r="T1015" i="1"/>
  <c r="T1016" i="1"/>
  <c r="T1017" i="1"/>
  <c r="T1018" i="1"/>
  <c r="T1019" i="1"/>
  <c r="T1020" i="1"/>
  <c r="T1021" i="1"/>
  <c r="T1022" i="1"/>
  <c r="T1023" i="1"/>
  <c r="T1024" i="1"/>
  <c r="T1025" i="1"/>
  <c r="T1026" i="1"/>
  <c r="T1027" i="1"/>
  <c r="T1028" i="1"/>
  <c r="T1029" i="1"/>
  <c r="T1030" i="1"/>
  <c r="T1031" i="1"/>
  <c r="T1032" i="1"/>
  <c r="T1033" i="1"/>
  <c r="T1034" i="1"/>
  <c r="T1035" i="1"/>
  <c r="T1036" i="1"/>
  <c r="T1037" i="1"/>
  <c r="T1038" i="1"/>
  <c r="T1039" i="1"/>
  <c r="T1040" i="1"/>
  <c r="T1041" i="1"/>
  <c r="T1042" i="1"/>
  <c r="T1043" i="1"/>
  <c r="T1044" i="1"/>
  <c r="T1045" i="1"/>
  <c r="T1046" i="1"/>
  <c r="T1047" i="1"/>
  <c r="T1048" i="1"/>
  <c r="T1049" i="1"/>
  <c r="T1050" i="1"/>
  <c r="T1051" i="1"/>
  <c r="T1052" i="1"/>
  <c r="T1053" i="1"/>
  <c r="T1054" i="1"/>
  <c r="T1055" i="1"/>
  <c r="T1056" i="1"/>
  <c r="T1057" i="1"/>
  <c r="T1058" i="1"/>
  <c r="T1059" i="1"/>
  <c r="T1060" i="1"/>
  <c r="T1061" i="1"/>
  <c r="T1062" i="1"/>
  <c r="T1063" i="1"/>
  <c r="T1064" i="1"/>
  <c r="T1065" i="1"/>
  <c r="T1066" i="1"/>
  <c r="T1067" i="1"/>
  <c r="T1068" i="1"/>
  <c r="T1069" i="1"/>
  <c r="T1070" i="1"/>
  <c r="T1071" i="1"/>
  <c r="T1072" i="1"/>
  <c r="T1073" i="1"/>
  <c r="T1074" i="1"/>
  <c r="T1075" i="1"/>
  <c r="T1076" i="1"/>
  <c r="T1077" i="1"/>
  <c r="T1078" i="1"/>
  <c r="T1079" i="1"/>
  <c r="T1080" i="1"/>
  <c r="T1081" i="1"/>
  <c r="T1082" i="1"/>
  <c r="T1083" i="1"/>
  <c r="T1084" i="1"/>
  <c r="T1085" i="1"/>
  <c r="T1086" i="1"/>
  <c r="T1087" i="1"/>
  <c r="T1088" i="1"/>
  <c r="T1089" i="1"/>
  <c r="T1090" i="1"/>
  <c r="T1091" i="1"/>
  <c r="T1092" i="1"/>
  <c r="T1093" i="1"/>
  <c r="T1094" i="1"/>
  <c r="T1095" i="1"/>
  <c r="T1096" i="1"/>
  <c r="T1097" i="1"/>
  <c r="T1098" i="1"/>
  <c r="T1099" i="1"/>
  <c r="T1100" i="1"/>
  <c r="T1101" i="1"/>
  <c r="T1102" i="1"/>
  <c r="T1103" i="1"/>
  <c r="T1104" i="1"/>
  <c r="T1105" i="1"/>
  <c r="T1106" i="1"/>
  <c r="T1107" i="1"/>
  <c r="T1108" i="1"/>
  <c r="T1109" i="1"/>
  <c r="T1110" i="1"/>
  <c r="T1111" i="1"/>
  <c r="T1112" i="1"/>
  <c r="T1113" i="1"/>
  <c r="T1114" i="1"/>
  <c r="T1115" i="1"/>
  <c r="T1116" i="1"/>
  <c r="T1117" i="1"/>
  <c r="T1118" i="1"/>
  <c r="T1119" i="1"/>
  <c r="T1120" i="1"/>
  <c r="T1121" i="1"/>
  <c r="T1122" i="1"/>
  <c r="T1123" i="1"/>
  <c r="T1124" i="1"/>
  <c r="T1125" i="1"/>
  <c r="T1126" i="1"/>
  <c r="T1127" i="1"/>
  <c r="T1128" i="1"/>
  <c r="T1129" i="1"/>
  <c r="T1130" i="1"/>
  <c r="T1131" i="1"/>
  <c r="T1132" i="1"/>
  <c r="T1133" i="1"/>
  <c r="T1134" i="1"/>
  <c r="T1135" i="1"/>
  <c r="T1136" i="1"/>
  <c r="T1137" i="1"/>
  <c r="T1138" i="1"/>
  <c r="T1139" i="1"/>
  <c r="T1140" i="1"/>
  <c r="T1141" i="1"/>
  <c r="T1142" i="1"/>
  <c r="T1143" i="1"/>
  <c r="T1144" i="1"/>
  <c r="T1145" i="1"/>
  <c r="T1146" i="1"/>
  <c r="T1147" i="1"/>
  <c r="T1148" i="1"/>
  <c r="T1149" i="1"/>
  <c r="T1150" i="1"/>
  <c r="T1151" i="1"/>
  <c r="T1152" i="1"/>
  <c r="T1153" i="1"/>
  <c r="T1154" i="1"/>
  <c r="T1155" i="1"/>
  <c r="T1156" i="1"/>
  <c r="T1157" i="1"/>
  <c r="T1158" i="1"/>
  <c r="T1159" i="1"/>
  <c r="T1160" i="1"/>
  <c r="T1161" i="1"/>
  <c r="T1162" i="1"/>
  <c r="T1163" i="1"/>
  <c r="T1164" i="1"/>
  <c r="T1165" i="1"/>
  <c r="T1166" i="1"/>
  <c r="T1167" i="1"/>
  <c r="T1168" i="1"/>
  <c r="T1169" i="1"/>
  <c r="T1170" i="1"/>
  <c r="T1171" i="1"/>
  <c r="T1172" i="1"/>
  <c r="T1173" i="1"/>
  <c r="T1174" i="1"/>
  <c r="T1175" i="1"/>
  <c r="T1176" i="1"/>
  <c r="T1177" i="1"/>
  <c r="T1178" i="1"/>
  <c r="T1179" i="1"/>
  <c r="T1180" i="1"/>
  <c r="T1181" i="1"/>
  <c r="T1182" i="1"/>
  <c r="T1183" i="1"/>
  <c r="T1184" i="1"/>
  <c r="T1185" i="1"/>
  <c r="T1186" i="1"/>
  <c r="T1187" i="1"/>
  <c r="T1188" i="1"/>
  <c r="T1189" i="1"/>
  <c r="T1190" i="1"/>
  <c r="T1191" i="1"/>
  <c r="T1192" i="1"/>
  <c r="T1193" i="1"/>
  <c r="T1194" i="1"/>
  <c r="T1195" i="1"/>
  <c r="T1196" i="1"/>
  <c r="T1197" i="1"/>
  <c r="T1198" i="1"/>
  <c r="T1199" i="1"/>
  <c r="T1200" i="1"/>
  <c r="T1201" i="1"/>
  <c r="T1202" i="1"/>
  <c r="T1203" i="1"/>
  <c r="T1204" i="1"/>
  <c r="T1205" i="1"/>
  <c r="T1206" i="1"/>
  <c r="T1207" i="1"/>
  <c r="T1208" i="1"/>
  <c r="T1209" i="1"/>
  <c r="T1210" i="1"/>
  <c r="T1211" i="1"/>
  <c r="T1212" i="1"/>
  <c r="T1213" i="1"/>
  <c r="T1214" i="1"/>
  <c r="T1215" i="1"/>
  <c r="T1216" i="1"/>
  <c r="T1217" i="1"/>
  <c r="T1218" i="1"/>
  <c r="T1219" i="1"/>
  <c r="T1220" i="1"/>
  <c r="T1221" i="1"/>
  <c r="T1222" i="1"/>
  <c r="T1223" i="1"/>
  <c r="T1224" i="1"/>
  <c r="T1225" i="1"/>
  <c r="T1226" i="1"/>
  <c r="T1227" i="1"/>
  <c r="T1228" i="1"/>
  <c r="T1229" i="1"/>
  <c r="T1230" i="1"/>
  <c r="T1231" i="1"/>
  <c r="T1232" i="1"/>
  <c r="T1233" i="1"/>
  <c r="T1234" i="1"/>
  <c r="T1235" i="1"/>
  <c r="T1236" i="1"/>
  <c r="T1237" i="1"/>
  <c r="T1238" i="1"/>
  <c r="T1239" i="1"/>
  <c r="T1240" i="1"/>
  <c r="T1241" i="1"/>
  <c r="T1242" i="1"/>
  <c r="T1243" i="1"/>
  <c r="T1244" i="1"/>
  <c r="T1245" i="1"/>
  <c r="T1246" i="1"/>
  <c r="T1247" i="1"/>
  <c r="T1248" i="1"/>
  <c r="T1249" i="1"/>
  <c r="T1250" i="1"/>
  <c r="T1251" i="1"/>
  <c r="T1252" i="1"/>
  <c r="T1253" i="1"/>
  <c r="T1254" i="1"/>
  <c r="T1255" i="1"/>
  <c r="T1256" i="1"/>
  <c r="T1257" i="1"/>
  <c r="T1258" i="1"/>
  <c r="T1259" i="1"/>
  <c r="T1260" i="1"/>
  <c r="T1261" i="1"/>
  <c r="T1262" i="1"/>
  <c r="T1263" i="1"/>
  <c r="T1264" i="1"/>
  <c r="T1265" i="1"/>
  <c r="T1266" i="1"/>
  <c r="T1267" i="1"/>
  <c r="T1268" i="1"/>
  <c r="T1269" i="1"/>
  <c r="T1270" i="1"/>
  <c r="T1271" i="1"/>
  <c r="T1272" i="1"/>
  <c r="T1273" i="1"/>
  <c r="T1274" i="1"/>
  <c r="T1275" i="1"/>
  <c r="T1276" i="1"/>
  <c r="T1277" i="1"/>
  <c r="T1278" i="1"/>
  <c r="T1279" i="1"/>
  <c r="T1280" i="1"/>
  <c r="T1281" i="1"/>
  <c r="T1282" i="1"/>
  <c r="T1283" i="1"/>
  <c r="T1284" i="1"/>
  <c r="T1285" i="1"/>
  <c r="T1286" i="1"/>
  <c r="T1287" i="1"/>
  <c r="T1288" i="1"/>
  <c r="T1289" i="1"/>
  <c r="T1290" i="1"/>
  <c r="T1291" i="1"/>
  <c r="T1292" i="1"/>
  <c r="T1293" i="1"/>
  <c r="T1294" i="1"/>
  <c r="T1295" i="1"/>
  <c r="T1296" i="1"/>
  <c r="T1297" i="1"/>
  <c r="T1298" i="1"/>
  <c r="T1299" i="1"/>
  <c r="T1300" i="1"/>
  <c r="T1301" i="1"/>
  <c r="T1302" i="1"/>
  <c r="T1303" i="1"/>
  <c r="T1304" i="1"/>
  <c r="T1305" i="1"/>
  <c r="T1306" i="1"/>
  <c r="T1307" i="1"/>
  <c r="T1308" i="1"/>
  <c r="T1309" i="1"/>
  <c r="T1310" i="1"/>
  <c r="T1311" i="1"/>
  <c r="T1312" i="1"/>
  <c r="T1313" i="1"/>
  <c r="T1314" i="1"/>
  <c r="T1315" i="1"/>
  <c r="T1316" i="1"/>
  <c r="T1317" i="1"/>
  <c r="T1318" i="1"/>
  <c r="T1319" i="1"/>
  <c r="T1320" i="1"/>
  <c r="T1321" i="1"/>
  <c r="T1322" i="1"/>
  <c r="T1323" i="1"/>
  <c r="T1324" i="1"/>
  <c r="T1325" i="1"/>
  <c r="T1326" i="1"/>
  <c r="T1327" i="1"/>
  <c r="T1328" i="1"/>
  <c r="T1329" i="1"/>
  <c r="T1330" i="1"/>
  <c r="T1331" i="1"/>
  <c r="T1332" i="1"/>
  <c r="T1333" i="1"/>
  <c r="T1334" i="1"/>
  <c r="T1335" i="1"/>
  <c r="T1336" i="1"/>
  <c r="T1337" i="1"/>
  <c r="T1338" i="1"/>
  <c r="T1339" i="1"/>
  <c r="T1340" i="1"/>
  <c r="T1341" i="1"/>
  <c r="T1342" i="1"/>
  <c r="T1343" i="1"/>
  <c r="T1344" i="1"/>
  <c r="T1345" i="1"/>
  <c r="T1346" i="1"/>
  <c r="T1347" i="1"/>
  <c r="T1348" i="1"/>
  <c r="T1349" i="1"/>
  <c r="T1350" i="1"/>
  <c r="T1351" i="1"/>
  <c r="T1352" i="1"/>
  <c r="T1353" i="1"/>
  <c r="T1354" i="1"/>
  <c r="T1355" i="1"/>
  <c r="T1356" i="1"/>
  <c r="T1357" i="1"/>
  <c r="T1358" i="1"/>
  <c r="T1359" i="1"/>
  <c r="T1360" i="1"/>
  <c r="T1361" i="1"/>
  <c r="T1362" i="1"/>
  <c r="T1363" i="1"/>
  <c r="T1364" i="1"/>
  <c r="T1365" i="1"/>
  <c r="T1366" i="1"/>
  <c r="T1367" i="1"/>
  <c r="T1368" i="1"/>
  <c r="T1369" i="1"/>
  <c r="T1370" i="1"/>
  <c r="T1371" i="1"/>
  <c r="T1372" i="1"/>
  <c r="T1373" i="1"/>
  <c r="T1374" i="1"/>
  <c r="T1375" i="1"/>
  <c r="T1376" i="1"/>
  <c r="T1377" i="1"/>
  <c r="T1378" i="1"/>
  <c r="T1379" i="1"/>
  <c r="T1380" i="1"/>
  <c r="T1381" i="1"/>
  <c r="T1382" i="1"/>
  <c r="T1383" i="1"/>
  <c r="T1384" i="1"/>
  <c r="T1385" i="1"/>
  <c r="T1386" i="1"/>
  <c r="T1387" i="1"/>
  <c r="T1388" i="1"/>
  <c r="T1389" i="1"/>
  <c r="T1390" i="1"/>
  <c r="T1391" i="1"/>
  <c r="T1392" i="1"/>
  <c r="T1393" i="1"/>
  <c r="T1394" i="1"/>
  <c r="T1395" i="1"/>
  <c r="T1396" i="1"/>
  <c r="T1397" i="1"/>
  <c r="T1398" i="1"/>
  <c r="T1399" i="1"/>
  <c r="T1400" i="1"/>
  <c r="T1401" i="1"/>
  <c r="T1402" i="1"/>
  <c r="T1403" i="1"/>
  <c r="T1404" i="1"/>
  <c r="T1405" i="1"/>
  <c r="T1406" i="1"/>
  <c r="T1407" i="1"/>
  <c r="T1408" i="1"/>
  <c r="T1409" i="1"/>
  <c r="T1410" i="1"/>
  <c r="T1411" i="1"/>
  <c r="T1412" i="1"/>
  <c r="T1413" i="1"/>
  <c r="T1414" i="1"/>
  <c r="T1415" i="1"/>
  <c r="T1416" i="1"/>
  <c r="T1417" i="1"/>
  <c r="T1418" i="1"/>
  <c r="T1419" i="1"/>
  <c r="T1420" i="1"/>
  <c r="T1421" i="1"/>
  <c r="T1422" i="1"/>
  <c r="T1423" i="1"/>
  <c r="T1424" i="1"/>
  <c r="T1425" i="1"/>
  <c r="T1426" i="1"/>
  <c r="T1427" i="1"/>
  <c r="T1428" i="1"/>
  <c r="T1429" i="1"/>
  <c r="T1430" i="1"/>
  <c r="T1431" i="1"/>
  <c r="T1432" i="1"/>
  <c r="T1433" i="1"/>
  <c r="T1434" i="1"/>
  <c r="T1435" i="1"/>
  <c r="T1436" i="1"/>
  <c r="T1437" i="1"/>
  <c r="T1438" i="1"/>
  <c r="T1439" i="1"/>
  <c r="T1440" i="1"/>
  <c r="T1441" i="1"/>
  <c r="T1442" i="1"/>
  <c r="T1443" i="1"/>
  <c r="T1444" i="1"/>
  <c r="T1445" i="1"/>
  <c r="T1446" i="1"/>
  <c r="T1447" i="1"/>
  <c r="T1448" i="1"/>
  <c r="T1449" i="1"/>
  <c r="T1450" i="1"/>
  <c r="T1451" i="1"/>
  <c r="T1452" i="1"/>
  <c r="T1453" i="1"/>
  <c r="T1454" i="1"/>
  <c r="T1455" i="1"/>
  <c r="T1456" i="1"/>
  <c r="T1457" i="1"/>
  <c r="T1458" i="1"/>
  <c r="T1459" i="1"/>
  <c r="T1460" i="1"/>
  <c r="T1461" i="1"/>
  <c r="T1462" i="1"/>
  <c r="T1463" i="1"/>
  <c r="T1464" i="1"/>
  <c r="T1465" i="1"/>
  <c r="T1466" i="1"/>
  <c r="T1467" i="1"/>
  <c r="T1468" i="1"/>
  <c r="T1469" i="1"/>
  <c r="T1470" i="1"/>
  <c r="T1471" i="1"/>
  <c r="T1472" i="1"/>
  <c r="T1473" i="1"/>
  <c r="T1474" i="1"/>
  <c r="T1475" i="1"/>
  <c r="T1476" i="1"/>
  <c r="T1477" i="1"/>
  <c r="T1478" i="1"/>
  <c r="T1479" i="1"/>
  <c r="T1480" i="1"/>
  <c r="T1481" i="1"/>
  <c r="T1482" i="1"/>
  <c r="T1483" i="1"/>
  <c r="T1484" i="1"/>
  <c r="T1485" i="1"/>
  <c r="T1486" i="1"/>
  <c r="T1487" i="1"/>
  <c r="T1488" i="1"/>
  <c r="T1489" i="1"/>
  <c r="T1490" i="1"/>
  <c r="T1491" i="1"/>
  <c r="T1492" i="1"/>
  <c r="T1493" i="1"/>
  <c r="T1494" i="1"/>
  <c r="T1495" i="1"/>
  <c r="T1496" i="1"/>
  <c r="T1497" i="1"/>
  <c r="T1498" i="1"/>
  <c r="T1499" i="1"/>
  <c r="T1500" i="1"/>
  <c r="T1501" i="1"/>
  <c r="A3" i="2"/>
  <c r="B3" i="2"/>
  <c r="C3" i="2"/>
  <c r="D3" i="2"/>
  <c r="G3" i="2" s="1"/>
  <c r="F3" i="2"/>
  <c r="E3" i="2"/>
</calcChain>
</file>

<file path=xl/sharedStrings.xml><?xml version="1.0" encoding="utf-8"?>
<sst xmlns="http://schemas.openxmlformats.org/spreadsheetml/2006/main" count="13980" uniqueCount="2271">
  <si>
    <t>Order_ID</t>
  </si>
  <si>
    <t>Order_Date</t>
  </si>
  <si>
    <t>Customer_ID</t>
  </si>
  <si>
    <t>Employee_ID</t>
  </si>
  <si>
    <t>City</t>
  </si>
  <si>
    <t>Category</t>
  </si>
  <si>
    <t>Product</t>
  </si>
  <si>
    <t>Quantity</t>
  </si>
  <si>
    <t>Gross_Sales</t>
  </si>
  <si>
    <t>Discount</t>
  </si>
  <si>
    <t>Net_Sales</t>
  </si>
  <si>
    <t>Cost</t>
  </si>
  <si>
    <t>Profit</t>
  </si>
  <si>
    <t>Status</t>
  </si>
  <si>
    <t>TAT_Hours</t>
  </si>
  <si>
    <t>Delivery_Date</t>
  </si>
  <si>
    <t>Month</t>
  </si>
  <si>
    <t>Month_No</t>
  </si>
  <si>
    <t>Quarter</t>
  </si>
  <si>
    <t>ORD00001</t>
  </si>
  <si>
    <t>CUST0256</t>
  </si>
  <si>
    <t>EMP002</t>
  </si>
  <si>
    <t>Delhi</t>
  </si>
  <si>
    <t>Beauty</t>
  </si>
  <si>
    <t>Face Wash</t>
  </si>
  <si>
    <t>Completed</t>
  </si>
  <si>
    <t>Apr</t>
  </si>
  <si>
    <t>Q2</t>
  </si>
  <si>
    <t>ORD00002</t>
  </si>
  <si>
    <t>CUST0116</t>
  </si>
  <si>
    <t>EMP003</t>
  </si>
  <si>
    <t>Chennai</t>
  </si>
  <si>
    <t>Electronics</t>
  </si>
  <si>
    <t>Power Bank</t>
  </si>
  <si>
    <t>Dec</t>
  </si>
  <si>
    <t>Q4</t>
  </si>
  <si>
    <t>ORD00003</t>
  </si>
  <si>
    <t>CUST0049</t>
  </si>
  <si>
    <t>EMP007</t>
  </si>
  <si>
    <t>Office Supplies</t>
  </si>
  <si>
    <t>File Folder</t>
  </si>
  <si>
    <t>Sep</t>
  </si>
  <si>
    <t>Q3</t>
  </si>
  <si>
    <t>ORD00004</t>
  </si>
  <si>
    <t>CUST0227</t>
  </si>
  <si>
    <t>EMP004</t>
  </si>
  <si>
    <t>Kolkata</t>
  </si>
  <si>
    <t>Pen Set</t>
  </si>
  <si>
    <t>Cancelled</t>
  </si>
  <si>
    <t>ORD00005</t>
  </si>
  <si>
    <t>CUST0069</t>
  </si>
  <si>
    <t>EMP001</t>
  </si>
  <si>
    <t>Mumbai</t>
  </si>
  <si>
    <t>Headphones</t>
  </si>
  <si>
    <t>Mar</t>
  </si>
  <si>
    <t>Q1</t>
  </si>
  <si>
    <t>ORD00006</t>
  </si>
  <si>
    <t>CUST0126</t>
  </si>
  <si>
    <t>EMP005</t>
  </si>
  <si>
    <t>Bengaluru</t>
  </si>
  <si>
    <t>Jul</t>
  </si>
  <si>
    <t>ORD00007</t>
  </si>
  <si>
    <t>CUST0213</t>
  </si>
  <si>
    <t>EMP009</t>
  </si>
  <si>
    <t>USB Hub</t>
  </si>
  <si>
    <t>Jan</t>
  </si>
  <si>
    <t>ORD00008</t>
  </si>
  <si>
    <t>CUST0053</t>
  </si>
  <si>
    <t>EMP008</t>
  </si>
  <si>
    <t>Hair Dryer</t>
  </si>
  <si>
    <t>ORD00009</t>
  </si>
  <si>
    <t>CUST0112</t>
  </si>
  <si>
    <t>Fashion</t>
  </si>
  <si>
    <t>Jacket</t>
  </si>
  <si>
    <t>May</t>
  </si>
  <si>
    <t>ORD00010</t>
  </si>
  <si>
    <t>CUST0159</t>
  </si>
  <si>
    <t>EMP010</t>
  </si>
  <si>
    <t>Ahmedabad</t>
  </si>
  <si>
    <t>Keyboard</t>
  </si>
  <si>
    <t>Aug</t>
  </si>
  <si>
    <t>ORD00011</t>
  </si>
  <si>
    <t>CUST0240</t>
  </si>
  <si>
    <t>Home &amp; Kitchen</t>
  </si>
  <si>
    <t>Storage Box</t>
  </si>
  <si>
    <t>Delayed</t>
  </si>
  <si>
    <t>Nov</t>
  </si>
  <si>
    <t>ORD00012</t>
  </si>
  <si>
    <t>CUST0150</t>
  </si>
  <si>
    <t>Wireless Mouse</t>
  </si>
  <si>
    <t>ORD00013</t>
  </si>
  <si>
    <t>CUST0139</t>
  </si>
  <si>
    <t>Pune</t>
  </si>
  <si>
    <t>Desk Organizer</t>
  </si>
  <si>
    <t>ORD00014</t>
  </si>
  <si>
    <t>CUST0113</t>
  </si>
  <si>
    <t>ORD00015</t>
  </si>
  <si>
    <t>CUST0143</t>
  </si>
  <si>
    <t>Pending</t>
  </si>
  <si>
    <t>Jun</t>
  </si>
  <si>
    <t>ORD00016</t>
  </si>
  <si>
    <t>CUST0138</t>
  </si>
  <si>
    <t>ORD00017</t>
  </si>
  <si>
    <t>CUST0031</t>
  </si>
  <si>
    <t>Backpack</t>
  </si>
  <si>
    <t>ORD00018</t>
  </si>
  <si>
    <t>CUST0293</t>
  </si>
  <si>
    <t>Water Bottle</t>
  </si>
  <si>
    <t>ORD00019</t>
  </si>
  <si>
    <t>CUST0108</t>
  </si>
  <si>
    <t>Shampoo</t>
  </si>
  <si>
    <t>ORD00020</t>
  </si>
  <si>
    <t>CUST0284</t>
  </si>
  <si>
    <t>Hyderabad</t>
  </si>
  <si>
    <t>Calculator</t>
  </si>
  <si>
    <t>ORD00021</t>
  </si>
  <si>
    <t>Oct</t>
  </si>
  <si>
    <t>ORD00022</t>
  </si>
  <si>
    <t>CUST0014</t>
  </si>
  <si>
    <t>T-Shirt</t>
  </si>
  <si>
    <t>ORD00023</t>
  </si>
  <si>
    <t>CUST0122</t>
  </si>
  <si>
    <t>Perfume</t>
  </si>
  <si>
    <t>ORD00024</t>
  </si>
  <si>
    <t>CUST0215</t>
  </si>
  <si>
    <t>ORD00025</t>
  </si>
  <si>
    <t>CUST0272</t>
  </si>
  <si>
    <t>ORD00026</t>
  </si>
  <si>
    <t>CUST0025</t>
  </si>
  <si>
    <t>Jeans</t>
  </si>
  <si>
    <t>ORD00027</t>
  </si>
  <si>
    <t>CUST0294</t>
  </si>
  <si>
    <t>ORD00028</t>
  </si>
  <si>
    <t>CUST0169</t>
  </si>
  <si>
    <t>ORD00029</t>
  </si>
  <si>
    <t>CUST0103</t>
  </si>
  <si>
    <t>Moisturizer</t>
  </si>
  <si>
    <t>ORD00030</t>
  </si>
  <si>
    <t>CUST0040</t>
  </si>
  <si>
    <t>Feb</t>
  </si>
  <si>
    <t>ORD00031</t>
  </si>
  <si>
    <t>CUST0235</t>
  </si>
  <si>
    <t>ORD00032</t>
  </si>
  <si>
    <t>CUST0089</t>
  </si>
  <si>
    <t>ORD00033</t>
  </si>
  <si>
    <t>CUST0100</t>
  </si>
  <si>
    <t>Sneakers</t>
  </si>
  <si>
    <t>ORD00034</t>
  </si>
  <si>
    <t>CUST0144</t>
  </si>
  <si>
    <t>EMP006</t>
  </si>
  <si>
    <t>ORD00035</t>
  </si>
  <si>
    <t>CUST0082</t>
  </si>
  <si>
    <t>Cookware Set</t>
  </si>
  <si>
    <t>ORD00036</t>
  </si>
  <si>
    <t>CUST0077</t>
  </si>
  <si>
    <t>Mixer Grinder</t>
  </si>
  <si>
    <t>ORD00037</t>
  </si>
  <si>
    <t>CUST0059</t>
  </si>
  <si>
    <t>ORD00038</t>
  </si>
  <si>
    <t>CUST0229</t>
  </si>
  <si>
    <t>ORD00039</t>
  </si>
  <si>
    <t>CUST0091</t>
  </si>
  <si>
    <t>ORD00040</t>
  </si>
  <si>
    <t>CUST0001</t>
  </si>
  <si>
    <t>ORD00041</t>
  </si>
  <si>
    <t>CUST0269</t>
  </si>
  <si>
    <t>ORD00042</t>
  </si>
  <si>
    <t>CUST0286</t>
  </si>
  <si>
    <t>ORD00043</t>
  </si>
  <si>
    <t>CUST0197</t>
  </si>
  <si>
    <t>ORD00044</t>
  </si>
  <si>
    <t>CUST0274</t>
  </si>
  <si>
    <t>ORD00045</t>
  </si>
  <si>
    <t>CUST0078</t>
  </si>
  <si>
    <t>ORD00046</t>
  </si>
  <si>
    <t>CUST0141</t>
  </si>
  <si>
    <t>ORD00047</t>
  </si>
  <si>
    <t>CUST0288</t>
  </si>
  <si>
    <t>ORD00048</t>
  </si>
  <si>
    <t>CUST0071</t>
  </si>
  <si>
    <t>ORD00049</t>
  </si>
  <si>
    <t>CUST0050</t>
  </si>
  <si>
    <t>Table Lamp</t>
  </si>
  <si>
    <t>ORD00050</t>
  </si>
  <si>
    <t>CUST0080</t>
  </si>
  <si>
    <t>ORD00051</t>
  </si>
  <si>
    <t>ORD00052</t>
  </si>
  <si>
    <t>CUST0287</t>
  </si>
  <si>
    <t>Notebook</t>
  </si>
  <si>
    <t>ORD00053</t>
  </si>
  <si>
    <t>CUST0155</t>
  </si>
  <si>
    <t>ORD00054</t>
  </si>
  <si>
    <t>CUST0060</t>
  </si>
  <si>
    <t>ORD00055</t>
  </si>
  <si>
    <t>CUST0033</t>
  </si>
  <si>
    <t>ORD00056</t>
  </si>
  <si>
    <t>CUST0127</t>
  </si>
  <si>
    <t>ORD00057</t>
  </si>
  <si>
    <t>CUST0221</t>
  </si>
  <si>
    <t>ORD00058</t>
  </si>
  <si>
    <t>CUST0200</t>
  </si>
  <si>
    <t>ORD00059</t>
  </si>
  <si>
    <t>ORD00060</t>
  </si>
  <si>
    <t>CUST0041</t>
  </si>
  <si>
    <t>ORD00061</t>
  </si>
  <si>
    <t>CUST0275</t>
  </si>
  <si>
    <t>ORD00062</t>
  </si>
  <si>
    <t>CUST0297</t>
  </si>
  <si>
    <t>ORD00063</t>
  </si>
  <si>
    <t>CUST0085</t>
  </si>
  <si>
    <t>ORD00064</t>
  </si>
  <si>
    <t>ORD00065</t>
  </si>
  <si>
    <t>CUST0042</t>
  </si>
  <si>
    <t>ORD00066</t>
  </si>
  <si>
    <t>CUST0120</t>
  </si>
  <si>
    <t>ORD00067</t>
  </si>
  <si>
    <t>CUST0279</t>
  </si>
  <si>
    <t>ORD00068</t>
  </si>
  <si>
    <t>ORD00069</t>
  </si>
  <si>
    <t>CUST0276</t>
  </si>
  <si>
    <t>ORD00070</t>
  </si>
  <si>
    <t>CUST0153</t>
  </si>
  <si>
    <t>ORD00071</t>
  </si>
  <si>
    <t>CUST0090</t>
  </si>
  <si>
    <t>ORD00072</t>
  </si>
  <si>
    <t>CUST0104</t>
  </si>
  <si>
    <t>ORD00073</t>
  </si>
  <si>
    <t>CUST0012</t>
  </si>
  <si>
    <t>ORD00074</t>
  </si>
  <si>
    <t>CUST0160</t>
  </si>
  <si>
    <t>ORD00075</t>
  </si>
  <si>
    <t>CUST0196</t>
  </si>
  <si>
    <t>ORD00076</t>
  </si>
  <si>
    <t>CUST0262</t>
  </si>
  <si>
    <t>ORD00077</t>
  </si>
  <si>
    <t>ORD00078</t>
  </si>
  <si>
    <t>ORD00079</t>
  </si>
  <si>
    <t>ORD00080</t>
  </si>
  <si>
    <t>CUST0220</t>
  </si>
  <si>
    <t>ORD00081</t>
  </si>
  <si>
    <t>CUST0214</t>
  </si>
  <si>
    <t>ORD00082</t>
  </si>
  <si>
    <t>CUST0146</t>
  </si>
  <si>
    <t>ORD00083</t>
  </si>
  <si>
    <t>CUST0233</t>
  </si>
  <si>
    <t>ORD00084</t>
  </si>
  <si>
    <t>CUST0234</t>
  </si>
  <si>
    <t>ORD00085</t>
  </si>
  <si>
    <t>ORD00086</t>
  </si>
  <si>
    <t>CUST0061</t>
  </si>
  <si>
    <t>ORD00087</t>
  </si>
  <si>
    <t>ORD00088</t>
  </si>
  <si>
    <t>CUST0095</t>
  </si>
  <si>
    <t>ORD00089</t>
  </si>
  <si>
    <t>CUST0216</t>
  </si>
  <si>
    <t>ORD00090</t>
  </si>
  <si>
    <t>ORD00091</t>
  </si>
  <si>
    <t>ORD00092</t>
  </si>
  <si>
    <t>ORD00093</t>
  </si>
  <si>
    <t>CUST0290</t>
  </si>
  <si>
    <t>ORD00094</t>
  </si>
  <si>
    <t>CUST0135</t>
  </si>
  <si>
    <t>ORD00095</t>
  </si>
  <si>
    <t>CUST0083</t>
  </si>
  <si>
    <t>ORD00096</t>
  </si>
  <si>
    <t>CUST0047</t>
  </si>
  <si>
    <t>ORD00097</t>
  </si>
  <si>
    <t>CUST0206</t>
  </si>
  <si>
    <t>ORD00098</t>
  </si>
  <si>
    <t>ORD00099</t>
  </si>
  <si>
    <t>CUST0259</t>
  </si>
  <si>
    <t>ORD00100</t>
  </si>
  <si>
    <t>CUST0092</t>
  </si>
  <si>
    <t>ORD00101</t>
  </si>
  <si>
    <t>ORD00102</t>
  </si>
  <si>
    <t>CUST0195</t>
  </si>
  <si>
    <t>ORD00103</t>
  </si>
  <si>
    <t>CUST0192</t>
  </si>
  <si>
    <t>ORD00104</t>
  </si>
  <si>
    <t>CUST0068</t>
  </si>
  <si>
    <t>ORD00105</t>
  </si>
  <si>
    <t>CUST0242</t>
  </si>
  <si>
    <t>ORD00106</t>
  </si>
  <si>
    <t>ORD00107</t>
  </si>
  <si>
    <t>CUST0010</t>
  </si>
  <si>
    <t>ORD00108</t>
  </si>
  <si>
    <t>CUST0264</t>
  </si>
  <si>
    <t>ORD00109</t>
  </si>
  <si>
    <t>CUST0268</t>
  </si>
  <si>
    <t>ORD00110</t>
  </si>
  <si>
    <t>CUST0118</t>
  </si>
  <si>
    <t>ORD00111</t>
  </si>
  <si>
    <t>CUST0250</t>
  </si>
  <si>
    <t>ORD00112</t>
  </si>
  <si>
    <t>ORD00113</t>
  </si>
  <si>
    <t>ORD00114</t>
  </si>
  <si>
    <t>ORD00115</t>
  </si>
  <si>
    <t>CUST0296</t>
  </si>
  <si>
    <t>ORD00116</t>
  </si>
  <si>
    <t>CUST0097</t>
  </si>
  <si>
    <t>ORD00117</t>
  </si>
  <si>
    <t>ORD00118</t>
  </si>
  <si>
    <t>CUST0246</t>
  </si>
  <si>
    <t>ORD00119</t>
  </si>
  <si>
    <t>CUST0087</t>
  </si>
  <si>
    <t>ORD00120</t>
  </si>
  <si>
    <t>ORD00121</t>
  </si>
  <si>
    <t>CUST0204</t>
  </si>
  <si>
    <t>ORD00122</t>
  </si>
  <si>
    <t>ORD00123</t>
  </si>
  <si>
    <t>CUST0149</t>
  </si>
  <si>
    <t>ORD00124</t>
  </si>
  <si>
    <t>CUST0111</t>
  </si>
  <si>
    <t>ORD00125</t>
  </si>
  <si>
    <t>CUST0129</t>
  </si>
  <si>
    <t>ORD00126</t>
  </si>
  <si>
    <t>CUST0253</t>
  </si>
  <si>
    <t>ORD00127</t>
  </si>
  <si>
    <t>CUST0166</t>
  </si>
  <si>
    <t>ORD00128</t>
  </si>
  <si>
    <t>ORD00129</t>
  </si>
  <si>
    <t>CUST0137</t>
  </si>
  <si>
    <t>ORD00130</t>
  </si>
  <si>
    <t>ORD00131</t>
  </si>
  <si>
    <t>CUST0011</t>
  </si>
  <si>
    <t>ORD00132</t>
  </si>
  <si>
    <t>ORD00133</t>
  </si>
  <si>
    <t>ORD00134</t>
  </si>
  <si>
    <t>ORD00135</t>
  </si>
  <si>
    <t>CUST0026</t>
  </si>
  <si>
    <t>ORD00136</t>
  </si>
  <si>
    <t>ORD00137</t>
  </si>
  <si>
    <t>CUST0162</t>
  </si>
  <si>
    <t>ORD00138</t>
  </si>
  <si>
    <t>CUST0102</t>
  </si>
  <si>
    <t>ORD00139</t>
  </si>
  <si>
    <t>ORD00140</t>
  </si>
  <si>
    <t>CUST0133</t>
  </si>
  <si>
    <t>ORD00141</t>
  </si>
  <si>
    <t>CUST0189</t>
  </si>
  <si>
    <t>ORD00142</t>
  </si>
  <si>
    <t>CUST0211</t>
  </si>
  <si>
    <t>ORD00143</t>
  </si>
  <si>
    <t>CUST0243</t>
  </si>
  <si>
    <t>ORD00144</t>
  </si>
  <si>
    <t>ORD00145</t>
  </si>
  <si>
    <t>ORD00146</t>
  </si>
  <si>
    <t>ORD00147</t>
  </si>
  <si>
    <t>ORD00148</t>
  </si>
  <si>
    <t>CUST0030</t>
  </si>
  <si>
    <t>ORD00149</t>
  </si>
  <si>
    <t>CUST0161</t>
  </si>
  <si>
    <t>ORD00150</t>
  </si>
  <si>
    <t>ORD00151</t>
  </si>
  <si>
    <t>CUST0170</t>
  </si>
  <si>
    <t>ORD00152</t>
  </si>
  <si>
    <t>CUST0186</t>
  </si>
  <si>
    <t>ORD00153</t>
  </si>
  <si>
    <t>CUST0057</t>
  </si>
  <si>
    <t>ORD00154</t>
  </si>
  <si>
    <t>ORD00155</t>
  </si>
  <si>
    <t>CUST0257</t>
  </si>
  <si>
    <t>ORD00156</t>
  </si>
  <si>
    <t>CUST0201</t>
  </si>
  <si>
    <t>ORD00157</t>
  </si>
  <si>
    <t>CUST0106</t>
  </si>
  <si>
    <t>ORD00158</t>
  </si>
  <si>
    <t>ORD00159</t>
  </si>
  <si>
    <t>CUST0101</t>
  </si>
  <si>
    <t>ORD00160</t>
  </si>
  <si>
    <t>ORD00161</t>
  </si>
  <si>
    <t>ORD00162</t>
  </si>
  <si>
    <t>CUST0029</t>
  </si>
  <si>
    <t>ORD00163</t>
  </si>
  <si>
    <t>ORD00164</t>
  </si>
  <si>
    <t>CUST0073</t>
  </si>
  <si>
    <t>ORD00165</t>
  </si>
  <si>
    <t>CUST0254</t>
  </si>
  <si>
    <t>ORD00166</t>
  </si>
  <si>
    <t>CUST0004</t>
  </si>
  <si>
    <t>ORD00167</t>
  </si>
  <si>
    <t>CUST0237</t>
  </si>
  <si>
    <t>ORD00168</t>
  </si>
  <si>
    <t>CUST0038</t>
  </si>
  <si>
    <t>ORD00169</t>
  </si>
  <si>
    <t>CUST0020</t>
  </si>
  <si>
    <t>ORD00170</t>
  </si>
  <si>
    <t>ORD00171</t>
  </si>
  <si>
    <t>CUST0023</t>
  </si>
  <si>
    <t>ORD00172</t>
  </si>
  <si>
    <t>CUST0136</t>
  </si>
  <si>
    <t>ORD00173</t>
  </si>
  <si>
    <t>CUST0248</t>
  </si>
  <si>
    <t>ORD00174</t>
  </si>
  <si>
    <t>ORD00175</t>
  </si>
  <si>
    <t>ORD00176</t>
  </si>
  <si>
    <t>ORD00177</t>
  </si>
  <si>
    <t>CUST0255</t>
  </si>
  <si>
    <t>ORD00178</t>
  </si>
  <si>
    <t>CUST0278</t>
  </si>
  <si>
    <t>ORD00179</t>
  </si>
  <si>
    <t>ORD00180</t>
  </si>
  <si>
    <t>CUST0238</t>
  </si>
  <si>
    <t>ORD00181</t>
  </si>
  <si>
    <t>CUST0015</t>
  </si>
  <si>
    <t>ORD00182</t>
  </si>
  <si>
    <t>CUST0277</t>
  </si>
  <si>
    <t>ORD00183</t>
  </si>
  <si>
    <t>ORD00184</t>
  </si>
  <si>
    <t>CUST0017</t>
  </si>
  <si>
    <t>ORD00185</t>
  </si>
  <si>
    <t>ORD00186</t>
  </si>
  <si>
    <t>ORD00187</t>
  </si>
  <si>
    <t>ORD00188</t>
  </si>
  <si>
    <t>ORD00189</t>
  </si>
  <si>
    <t>CUST0125</t>
  </si>
  <si>
    <t>ORD00190</t>
  </si>
  <si>
    <t>ORD00191</t>
  </si>
  <si>
    <t>CUST0173</t>
  </si>
  <si>
    <t>ORD00192</t>
  </si>
  <si>
    <t>CUST0187</t>
  </si>
  <si>
    <t>ORD00193</t>
  </si>
  <si>
    <t>CUST0088</t>
  </si>
  <si>
    <t>ORD00194</t>
  </si>
  <si>
    <t>CUST0203</t>
  </si>
  <si>
    <t>ORD00195</t>
  </si>
  <si>
    <t>CUST0182</t>
  </si>
  <si>
    <t>ORD00196</t>
  </si>
  <si>
    <t>CUST0168</t>
  </si>
  <si>
    <t>ORD00197</t>
  </si>
  <si>
    <t>CUST0181</t>
  </si>
  <si>
    <t>ORD00198</t>
  </si>
  <si>
    <t>CUST0300</t>
  </si>
  <si>
    <t>ORD00199</t>
  </si>
  <si>
    <t>CUST0130</t>
  </si>
  <si>
    <t>ORD00200</t>
  </si>
  <si>
    <t>ORD00201</t>
  </si>
  <si>
    <t>CUST0209</t>
  </si>
  <si>
    <t>ORD00202</t>
  </si>
  <si>
    <t>ORD00203</t>
  </si>
  <si>
    <t>ORD00204</t>
  </si>
  <si>
    <t>ORD00205</t>
  </si>
  <si>
    <t>ORD00206</t>
  </si>
  <si>
    <t>CUST0084</t>
  </si>
  <si>
    <t>ORD00207</t>
  </si>
  <si>
    <t>ORD00208</t>
  </si>
  <si>
    <t>CUST0065</t>
  </si>
  <si>
    <t>ORD00209</t>
  </si>
  <si>
    <t>CUST0024</t>
  </si>
  <si>
    <t>ORD00210</t>
  </si>
  <si>
    <t>ORD00211</t>
  </si>
  <si>
    <t>CUST0222</t>
  </si>
  <si>
    <t>ORD00212</t>
  </si>
  <si>
    <t>ORD00213</t>
  </si>
  <si>
    <t>ORD00214</t>
  </si>
  <si>
    <t>CUST0172</t>
  </si>
  <si>
    <t>ORD00215</t>
  </si>
  <si>
    <t>CUST0230</t>
  </si>
  <si>
    <t>ORD00216</t>
  </si>
  <si>
    <t>ORD00217</t>
  </si>
  <si>
    <t>ORD00218</t>
  </si>
  <si>
    <t>ORD00219</t>
  </si>
  <si>
    <t>ORD00220</t>
  </si>
  <si>
    <t>ORD00221</t>
  </si>
  <si>
    <t>ORD00222</t>
  </si>
  <si>
    <t>CUST0046</t>
  </si>
  <si>
    <t>ORD00223</t>
  </si>
  <si>
    <t>CUST0179</t>
  </si>
  <si>
    <t>ORD00224</t>
  </si>
  <si>
    <t>CUST0267</t>
  </si>
  <si>
    <t>ORD00225</t>
  </si>
  <si>
    <t>ORD00226</t>
  </si>
  <si>
    <t>CUST0008</t>
  </si>
  <si>
    <t>ORD00227</t>
  </si>
  <si>
    <t>CUST0265</t>
  </si>
  <si>
    <t>ORD00228</t>
  </si>
  <si>
    <t>ORD00229</t>
  </si>
  <si>
    <t>ORD00230</t>
  </si>
  <si>
    <t>CUST0258</t>
  </si>
  <si>
    <t>ORD00231</t>
  </si>
  <si>
    <t>ORD00232</t>
  </si>
  <si>
    <t>CUST0131</t>
  </si>
  <si>
    <t>ORD00233</t>
  </si>
  <si>
    <t>CUST0261</t>
  </si>
  <si>
    <t>ORD00234</t>
  </si>
  <si>
    <t>ORD00235</t>
  </si>
  <si>
    <t>CUST0171</t>
  </si>
  <si>
    <t>ORD00236</t>
  </si>
  <si>
    <t>CUST0147</t>
  </si>
  <si>
    <t>ORD00237</t>
  </si>
  <si>
    <t>CUST0270</t>
  </si>
  <si>
    <t>ORD00238</t>
  </si>
  <si>
    <t>ORD00239</t>
  </si>
  <si>
    <t>CUST0299</t>
  </si>
  <si>
    <t>ORD00240</t>
  </si>
  <si>
    <t>CUST0028</t>
  </si>
  <si>
    <t>ORD00241</t>
  </si>
  <si>
    <t>ORD00242</t>
  </si>
  <si>
    <t>CUST0280</t>
  </si>
  <si>
    <t>ORD00243</t>
  </si>
  <si>
    <t>ORD00244</t>
  </si>
  <si>
    <t>ORD00245</t>
  </si>
  <si>
    <t>ORD00246</t>
  </si>
  <si>
    <t>ORD00247</t>
  </si>
  <si>
    <t>CUST0045</t>
  </si>
  <si>
    <t>ORD00248</t>
  </si>
  <si>
    <t>ORD00249</t>
  </si>
  <si>
    <t>ORD00250</t>
  </si>
  <si>
    <t>ORD00251</t>
  </si>
  <si>
    <t>ORD00252</t>
  </si>
  <si>
    <t>ORD00253</t>
  </si>
  <si>
    <t>ORD00254</t>
  </si>
  <si>
    <t>ORD00255</t>
  </si>
  <si>
    <t>CUST0291</t>
  </si>
  <si>
    <t>ORD00256</t>
  </si>
  <si>
    <t>CUST0037</t>
  </si>
  <si>
    <t>ORD00257</t>
  </si>
  <si>
    <t>ORD00258</t>
  </si>
  <si>
    <t>ORD00259</t>
  </si>
  <si>
    <t>CUST0218</t>
  </si>
  <si>
    <t>ORD00260</t>
  </si>
  <si>
    <t>ORD00261</t>
  </si>
  <si>
    <t>ORD00262</t>
  </si>
  <si>
    <t>CUST0271</t>
  </si>
  <si>
    <t>ORD00263</t>
  </si>
  <si>
    <t>ORD00264</t>
  </si>
  <si>
    <t>ORD00265</t>
  </si>
  <si>
    <t>ORD00266</t>
  </si>
  <si>
    <t>ORD00267</t>
  </si>
  <si>
    <t>ORD00268</t>
  </si>
  <si>
    <t>CUST0098</t>
  </si>
  <si>
    <t>ORD00269</t>
  </si>
  <si>
    <t>CUST0094</t>
  </si>
  <si>
    <t>ORD00270</t>
  </si>
  <si>
    <t>ORD00271</t>
  </si>
  <si>
    <t>ORD00272</t>
  </si>
  <si>
    <t>CUST0228</t>
  </si>
  <si>
    <t>ORD00273</t>
  </si>
  <si>
    <t>CUST0134</t>
  </si>
  <si>
    <t>ORD00274</t>
  </si>
  <si>
    <t>ORD00275</t>
  </si>
  <si>
    <t>CUST0282</t>
  </si>
  <si>
    <t>ORD00276</t>
  </si>
  <si>
    <t>ORD00277</t>
  </si>
  <si>
    <t>CUST0075</t>
  </si>
  <si>
    <t>ORD00278</t>
  </si>
  <si>
    <t>ORD00279</t>
  </si>
  <si>
    <t>CUST0208</t>
  </si>
  <si>
    <t>ORD00280</t>
  </si>
  <si>
    <t>ORD00281</t>
  </si>
  <si>
    <t>ORD00282</t>
  </si>
  <si>
    <t>CUST0056</t>
  </si>
  <si>
    <t>ORD00283</t>
  </si>
  <si>
    <t>ORD00284</t>
  </si>
  <si>
    <t>ORD00285</t>
  </si>
  <si>
    <t>ORD00286</t>
  </si>
  <si>
    <t>CUST0058</t>
  </si>
  <si>
    <t>ORD00287</t>
  </si>
  <si>
    <t>ORD00288</t>
  </si>
  <si>
    <t>ORD00289</t>
  </si>
  <si>
    <t>CUST0266</t>
  </si>
  <si>
    <t>ORD00290</t>
  </si>
  <si>
    <t>ORD00291</t>
  </si>
  <si>
    <t>ORD00292</t>
  </si>
  <si>
    <t>ORD00293</t>
  </si>
  <si>
    <t>CUST0019</t>
  </si>
  <si>
    <t>ORD00294</t>
  </si>
  <si>
    <t>ORD00295</t>
  </si>
  <si>
    <t>CUST0063</t>
  </si>
  <si>
    <t>ORD00296</t>
  </si>
  <si>
    <t>CUST0184</t>
  </si>
  <si>
    <t>ORD00297</t>
  </si>
  <si>
    <t>ORD00298</t>
  </si>
  <si>
    <t>ORD00299</t>
  </si>
  <si>
    <t>ORD00300</t>
  </si>
  <si>
    <t>CUST0145</t>
  </si>
  <si>
    <t>ORD00301</t>
  </si>
  <si>
    <t>ORD00302</t>
  </si>
  <si>
    <t>CUST0081</t>
  </si>
  <si>
    <t>ORD00303</t>
  </si>
  <si>
    <t>CUST0043</t>
  </si>
  <si>
    <t>ORD00304</t>
  </si>
  <si>
    <t>ORD00305</t>
  </si>
  <si>
    <t>CUST0176</t>
  </si>
  <si>
    <t>ORD00306</t>
  </si>
  <si>
    <t>ORD00307</t>
  </si>
  <si>
    <t>ORD00308</t>
  </si>
  <si>
    <t>CUST0119</t>
  </si>
  <si>
    <t>ORD00309</t>
  </si>
  <si>
    <t>ORD00310</t>
  </si>
  <si>
    <t>CUST0055</t>
  </si>
  <si>
    <t>ORD00311</t>
  </si>
  <si>
    <t>ORD00312</t>
  </si>
  <si>
    <t>ORD00313</t>
  </si>
  <si>
    <t>ORD00314</t>
  </si>
  <si>
    <t>CUST0236</t>
  </si>
  <si>
    <t>ORD00315</t>
  </si>
  <si>
    <t>ORD00316</t>
  </si>
  <si>
    <t>ORD00317</t>
  </si>
  <si>
    <t>ORD00318</t>
  </si>
  <si>
    <t>CUST0263</t>
  </si>
  <si>
    <t>ORD00319</t>
  </si>
  <si>
    <t>CUST0185</t>
  </si>
  <si>
    <t>ORD00320</t>
  </si>
  <si>
    <t>ORD00321</t>
  </si>
  <si>
    <t>ORD00322</t>
  </si>
  <si>
    <t>ORD00323</t>
  </si>
  <si>
    <t>ORD00324</t>
  </si>
  <si>
    <t>ORD00325</t>
  </si>
  <si>
    <t>ORD00326</t>
  </si>
  <si>
    <t>ORD00327</t>
  </si>
  <si>
    <t>ORD00328</t>
  </si>
  <si>
    <t>CUST0007</t>
  </si>
  <si>
    <t>ORD00329</t>
  </si>
  <si>
    <t>CUST0164</t>
  </si>
  <si>
    <t>ORD00330</t>
  </si>
  <si>
    <t>ORD00331</t>
  </si>
  <si>
    <t>ORD00332</t>
  </si>
  <si>
    <t>CUST0096</t>
  </si>
  <si>
    <t>ORD00333</t>
  </si>
  <si>
    <t>ORD00334</t>
  </si>
  <si>
    <t>CUST0231</t>
  </si>
  <si>
    <t>ORD00335</t>
  </si>
  <si>
    <t>CUST0177</t>
  </si>
  <si>
    <t>ORD00336</t>
  </si>
  <si>
    <t>ORD00337</t>
  </si>
  <si>
    <t>ORD00338</t>
  </si>
  <si>
    <t>CUST0036</t>
  </si>
  <si>
    <t>ORD00339</t>
  </si>
  <si>
    <t>ORD00340</t>
  </si>
  <si>
    <t>ORD00341</t>
  </si>
  <si>
    <t>ORD00342</t>
  </si>
  <si>
    <t>ORD00343</t>
  </si>
  <si>
    <t>CUST0289</t>
  </si>
  <si>
    <t>ORD00344</t>
  </si>
  <si>
    <t>ORD00345</t>
  </si>
  <si>
    <t>ORD00346</t>
  </si>
  <si>
    <t>ORD00347</t>
  </si>
  <si>
    <t>ORD00348</t>
  </si>
  <si>
    <t>ORD00349</t>
  </si>
  <si>
    <t>CUST0140</t>
  </si>
  <si>
    <t>ORD00350</t>
  </si>
  <si>
    <t>ORD00351</t>
  </si>
  <si>
    <t>ORD00352</t>
  </si>
  <si>
    <t>CUST0151</t>
  </si>
  <si>
    <t>ORD00353</t>
  </si>
  <si>
    <t>ORD00354</t>
  </si>
  <si>
    <t>CUST0114</t>
  </si>
  <si>
    <t>ORD00355</t>
  </si>
  <si>
    <t>ORD00356</t>
  </si>
  <si>
    <t>ORD00357</t>
  </si>
  <si>
    <t>ORD00358</t>
  </si>
  <si>
    <t>ORD00359</t>
  </si>
  <si>
    <t>ORD00360</t>
  </si>
  <si>
    <t>ORD00361</t>
  </si>
  <si>
    <t>ORD00362</t>
  </si>
  <si>
    <t>CUST0003</t>
  </si>
  <si>
    <t>ORD00363</t>
  </si>
  <si>
    <t>ORD00364</t>
  </si>
  <si>
    <t>ORD00365</t>
  </si>
  <si>
    <t>ORD00366</t>
  </si>
  <si>
    <t>ORD00367</t>
  </si>
  <si>
    <t>CUST0123</t>
  </si>
  <si>
    <t>ORD00368</t>
  </si>
  <si>
    <t>ORD00369</t>
  </si>
  <si>
    <t>CUST0163</t>
  </si>
  <si>
    <t>ORD00370</t>
  </si>
  <si>
    <t>ORD00371</t>
  </si>
  <si>
    <t>CUST0039</t>
  </si>
  <si>
    <t>ORD00372</t>
  </si>
  <si>
    <t>ORD00373</t>
  </si>
  <si>
    <t>ORD00374</t>
  </si>
  <si>
    <t>ORD00375</t>
  </si>
  <si>
    <t>CUST0034</t>
  </si>
  <si>
    <t>ORD00376</t>
  </si>
  <si>
    <t>ORD00377</t>
  </si>
  <si>
    <t>ORD00378</t>
  </si>
  <si>
    <t>CUST0283</t>
  </si>
  <si>
    <t>ORD00379</t>
  </si>
  <si>
    <t>ORD00380</t>
  </si>
  <si>
    <t>ORD00381</t>
  </si>
  <si>
    <t>CUST0165</t>
  </si>
  <si>
    <t>ORD00382</t>
  </si>
  <si>
    <t>ORD00383</t>
  </si>
  <si>
    <t>CUST0239</t>
  </si>
  <si>
    <t>ORD00384</t>
  </si>
  <si>
    <t>ORD00385</t>
  </si>
  <si>
    <t>ORD00386</t>
  </si>
  <si>
    <t>ORD00387</t>
  </si>
  <si>
    <t>ORD00388</t>
  </si>
  <si>
    <t>CUST0167</t>
  </si>
  <si>
    <t>ORD00389</t>
  </si>
  <si>
    <t>CUST0260</t>
  </si>
  <si>
    <t>ORD00390</t>
  </si>
  <si>
    <t>ORD00391</t>
  </si>
  <si>
    <t>ORD00392</t>
  </si>
  <si>
    <t>ORD00393</t>
  </si>
  <si>
    <t>ORD00394</t>
  </si>
  <si>
    <t>CUST0252</t>
  </si>
  <si>
    <t>ORD00395</t>
  </si>
  <si>
    <t>ORD00396</t>
  </si>
  <si>
    <t>CUST0199</t>
  </si>
  <si>
    <t>ORD00397</t>
  </si>
  <si>
    <t>ORD00398</t>
  </si>
  <si>
    <t>ORD00399</t>
  </si>
  <si>
    <t>ORD00400</t>
  </si>
  <si>
    <t>CUST0062</t>
  </si>
  <si>
    <t>ORD00401</t>
  </si>
  <si>
    <t>CUST0281</t>
  </si>
  <si>
    <t>ORD00402</t>
  </si>
  <si>
    <t>ORD00403</t>
  </si>
  <si>
    <t>ORD00404</t>
  </si>
  <si>
    <t>ORD00405</t>
  </si>
  <si>
    <t>ORD00406</t>
  </si>
  <si>
    <t>ORD00407</t>
  </si>
  <si>
    <t>ORD00408</t>
  </si>
  <si>
    <t>ORD00409</t>
  </si>
  <si>
    <t>ORD00410</t>
  </si>
  <si>
    <t>ORD00411</t>
  </si>
  <si>
    <t>ORD00412</t>
  </si>
  <si>
    <t>ORD00413</t>
  </si>
  <si>
    <t>ORD00414</t>
  </si>
  <si>
    <t>CUST0115</t>
  </si>
  <si>
    <t>ORD00415</t>
  </si>
  <si>
    <t>CUST0251</t>
  </si>
  <si>
    <t>ORD00416</t>
  </si>
  <si>
    <t>ORD00417</t>
  </si>
  <si>
    <t>CUST0219</t>
  </si>
  <si>
    <t>ORD00418</t>
  </si>
  <si>
    <t>ORD00419</t>
  </si>
  <si>
    <t>ORD00420</t>
  </si>
  <si>
    <t>ORD00421</t>
  </si>
  <si>
    <t>CUST0154</t>
  </si>
  <si>
    <t>ORD00422</t>
  </si>
  <si>
    <t>CUST0121</t>
  </si>
  <si>
    <t>ORD00423</t>
  </si>
  <si>
    <t>CUST0124</t>
  </si>
  <si>
    <t>ORD00424</t>
  </si>
  <si>
    <t>ORD00425</t>
  </si>
  <si>
    <t>ORD00426</t>
  </si>
  <si>
    <t>ORD00427</t>
  </si>
  <si>
    <t>ORD00428</t>
  </si>
  <si>
    <t>CUST0244</t>
  </si>
  <si>
    <t>ORD00429</t>
  </si>
  <si>
    <t>ORD00430</t>
  </si>
  <si>
    <t>CUST0064</t>
  </si>
  <si>
    <t>ORD00431</t>
  </si>
  <si>
    <t>ORD00432</t>
  </si>
  <si>
    <t>ORD00433</t>
  </si>
  <si>
    <t>ORD00434</t>
  </si>
  <si>
    <t>ORD00435</t>
  </si>
  <si>
    <t>CUST0295</t>
  </si>
  <si>
    <t>ORD00436</t>
  </si>
  <si>
    <t>ORD00437</t>
  </si>
  <si>
    <t>ORD00438</t>
  </si>
  <si>
    <t>ORD00439</t>
  </si>
  <si>
    <t>ORD00440</t>
  </si>
  <si>
    <t>ORD00441</t>
  </si>
  <si>
    <t>ORD00442</t>
  </si>
  <si>
    <t>ORD00443</t>
  </si>
  <si>
    <t>ORD00444</t>
  </si>
  <si>
    <t>ORD00445</t>
  </si>
  <si>
    <t>ORD00446</t>
  </si>
  <si>
    <t>CUST0099</t>
  </si>
  <si>
    <t>ORD00447</t>
  </si>
  <si>
    <t>ORD00448</t>
  </si>
  <si>
    <t>CUST0175</t>
  </si>
  <si>
    <t>ORD00449</t>
  </si>
  <si>
    <t>ORD00450</t>
  </si>
  <si>
    <t>ORD00451</t>
  </si>
  <si>
    <t>CUST0224</t>
  </si>
  <si>
    <t>ORD00452</t>
  </si>
  <si>
    <t>ORD00453</t>
  </si>
  <si>
    <t>ORD00454</t>
  </si>
  <si>
    <t>CUST0067</t>
  </si>
  <si>
    <t>ORD00455</t>
  </si>
  <si>
    <t>ORD00456</t>
  </si>
  <si>
    <t>ORD00457</t>
  </si>
  <si>
    <t>ORD00458</t>
  </si>
  <si>
    <t>ORD00459</t>
  </si>
  <si>
    <t>CUST0018</t>
  </si>
  <si>
    <t>ORD00460</t>
  </si>
  <si>
    <t>ORD00461</t>
  </si>
  <si>
    <t>ORD00462</t>
  </si>
  <si>
    <t>ORD00463</t>
  </si>
  <si>
    <t>ORD00464</t>
  </si>
  <si>
    <t>ORD00465</t>
  </si>
  <si>
    <t>CUST0202</t>
  </si>
  <si>
    <t>ORD00466</t>
  </si>
  <si>
    <t>CUST0225</t>
  </si>
  <si>
    <t>ORD00467</t>
  </si>
  <si>
    <t>ORD00468</t>
  </si>
  <si>
    <t>ORD00469</t>
  </si>
  <si>
    <t>ORD00470</t>
  </si>
  <si>
    <t>ORD00471</t>
  </si>
  <si>
    <t>CUST0048</t>
  </si>
  <si>
    <t>ORD00472</t>
  </si>
  <si>
    <t>ORD00473</t>
  </si>
  <si>
    <t>ORD00474</t>
  </si>
  <si>
    <t>ORD00475</t>
  </si>
  <si>
    <t>ORD00476</t>
  </si>
  <si>
    <t>ORD00477</t>
  </si>
  <si>
    <t>CUST0074</t>
  </si>
  <si>
    <t>ORD00478</t>
  </si>
  <si>
    <t>ORD00479</t>
  </si>
  <si>
    <t>ORD00480</t>
  </si>
  <si>
    <t>ORD00481</t>
  </si>
  <si>
    <t>ORD00482</t>
  </si>
  <si>
    <t>CUST0174</t>
  </si>
  <si>
    <t>ORD00483</t>
  </si>
  <si>
    <t>ORD00484</t>
  </si>
  <si>
    <t>CUST0226</t>
  </si>
  <si>
    <t>ORD00485</t>
  </si>
  <si>
    <t>CUST0157</t>
  </si>
  <si>
    <t>ORD00486</t>
  </si>
  <si>
    <t>ORD00487</t>
  </si>
  <si>
    <t>ORD00488</t>
  </si>
  <si>
    <t>ORD00489</t>
  </si>
  <si>
    <t>ORD00490</t>
  </si>
  <si>
    <t>ORD00491</t>
  </si>
  <si>
    <t>ORD00492</t>
  </si>
  <si>
    <t>CUST0152</t>
  </si>
  <si>
    <t>ORD00493</t>
  </si>
  <si>
    <t>ORD00494</t>
  </si>
  <si>
    <t>ORD00495</t>
  </si>
  <si>
    <t>ORD00496</t>
  </si>
  <si>
    <t>ORD00497</t>
  </si>
  <si>
    <t>CUST0006</t>
  </si>
  <si>
    <t>ORD00498</t>
  </si>
  <si>
    <t>CUST0183</t>
  </si>
  <si>
    <t>ORD00499</t>
  </si>
  <si>
    <t>ORD00500</t>
  </si>
  <si>
    <t>ORD00501</t>
  </si>
  <si>
    <t>ORD00502</t>
  </si>
  <si>
    <t>ORD00503</t>
  </si>
  <si>
    <t>ORD00504</t>
  </si>
  <si>
    <t>CUST0207</t>
  </si>
  <si>
    <t>ORD00505</t>
  </si>
  <si>
    <t>ORD00506</t>
  </si>
  <si>
    <t>ORD00507</t>
  </si>
  <si>
    <t>ORD00508</t>
  </si>
  <si>
    <t>ORD00509</t>
  </si>
  <si>
    <t>ORD00510</t>
  </si>
  <si>
    <t>ORD00511</t>
  </si>
  <si>
    <t>ORD00512</t>
  </si>
  <si>
    <t>ORD00513</t>
  </si>
  <si>
    <t>ORD00514</t>
  </si>
  <si>
    <t>ORD00515</t>
  </si>
  <si>
    <t>ORD00516</t>
  </si>
  <si>
    <t>ORD00517</t>
  </si>
  <si>
    <t>ORD00518</t>
  </si>
  <si>
    <t>ORD00519</t>
  </si>
  <si>
    <t>ORD00520</t>
  </si>
  <si>
    <t>CUST0193</t>
  </si>
  <si>
    <t>ORD00521</t>
  </si>
  <si>
    <t>ORD00522</t>
  </si>
  <si>
    <t>ORD00523</t>
  </si>
  <si>
    <t>ORD00524</t>
  </si>
  <si>
    <t>ORD00525</t>
  </si>
  <si>
    <t>ORD00526</t>
  </si>
  <si>
    <t>ORD00527</t>
  </si>
  <si>
    <t>CUST0128</t>
  </si>
  <si>
    <t>ORD00528</t>
  </si>
  <si>
    <t>ORD00529</t>
  </si>
  <si>
    <t>ORD00530</t>
  </si>
  <si>
    <t>ORD00531</t>
  </si>
  <si>
    <t>ORD00532</t>
  </si>
  <si>
    <t>ORD00533</t>
  </si>
  <si>
    <t>CUST0223</t>
  </si>
  <si>
    <t>ORD00534</t>
  </si>
  <si>
    <t>ORD00535</t>
  </si>
  <si>
    <t>ORD00536</t>
  </si>
  <si>
    <t>ORD00537</t>
  </si>
  <si>
    <t>CUST0107</t>
  </si>
  <si>
    <t>ORD00538</t>
  </si>
  <si>
    <t>ORD00539</t>
  </si>
  <si>
    <t>ORD00540</t>
  </si>
  <si>
    <t>ORD00541</t>
  </si>
  <si>
    <t>ORD00542</t>
  </si>
  <si>
    <t>ORD00543</t>
  </si>
  <si>
    <t>CUST0032</t>
  </si>
  <si>
    <t>ORD00544</t>
  </si>
  <si>
    <t>CUST0066</t>
  </si>
  <si>
    <t>ORD00545</t>
  </si>
  <si>
    <t>ORD00546</t>
  </si>
  <si>
    <t>ORD00547</t>
  </si>
  <si>
    <t>ORD00548</t>
  </si>
  <si>
    <t>ORD00549</t>
  </si>
  <si>
    <t>ORD00550</t>
  </si>
  <si>
    <t>ORD00551</t>
  </si>
  <si>
    <t>ORD00552</t>
  </si>
  <si>
    <t>ORD00553</t>
  </si>
  <si>
    <t>ORD00554</t>
  </si>
  <si>
    <t>CUST0298</t>
  </si>
  <si>
    <t>ORD00555</t>
  </si>
  <si>
    <t>ORD00556</t>
  </si>
  <si>
    <t>ORD00557</t>
  </si>
  <si>
    <t>ORD00558</t>
  </si>
  <si>
    <t>ORD00559</t>
  </si>
  <si>
    <t>ORD00560</t>
  </si>
  <si>
    <t>ORD00561</t>
  </si>
  <si>
    <t>ORD00562</t>
  </si>
  <si>
    <t>ORD00563</t>
  </si>
  <si>
    <t>ORD00564</t>
  </si>
  <si>
    <t>ORD00565</t>
  </si>
  <si>
    <t>ORD00566</t>
  </si>
  <si>
    <t>ORD00567</t>
  </si>
  <si>
    <t>CUST0109</t>
  </si>
  <si>
    <t>ORD00568</t>
  </si>
  <si>
    <t>ORD00569</t>
  </si>
  <si>
    <t>ORD00570</t>
  </si>
  <si>
    <t>ORD00571</t>
  </si>
  <si>
    <t>CUST0052</t>
  </si>
  <si>
    <t>ORD00572</t>
  </si>
  <si>
    <t>ORD00573</t>
  </si>
  <si>
    <t>ORD00574</t>
  </si>
  <si>
    <t>ORD00575</t>
  </si>
  <si>
    <t>ORD00576</t>
  </si>
  <si>
    <t>ORD00577</t>
  </si>
  <si>
    <t>ORD00578</t>
  </si>
  <si>
    <t>ORD00579</t>
  </si>
  <si>
    <t>ORD00580</t>
  </si>
  <si>
    <t>ORD00581</t>
  </si>
  <si>
    <t>ORD00582</t>
  </si>
  <si>
    <t>ORD00583</t>
  </si>
  <si>
    <t>CUST0210</t>
  </si>
  <si>
    <t>ORD00584</t>
  </si>
  <si>
    <t>ORD00585</t>
  </si>
  <si>
    <t>ORD00586</t>
  </si>
  <si>
    <t>ORD00587</t>
  </si>
  <si>
    <t>ORD00588</t>
  </si>
  <si>
    <t>ORD00589</t>
  </si>
  <si>
    <t>ORD00590</t>
  </si>
  <si>
    <t>ORD00591</t>
  </si>
  <si>
    <t>ORD00592</t>
  </si>
  <si>
    <t>ORD00593</t>
  </si>
  <si>
    <t>ORD00594</t>
  </si>
  <si>
    <t>ORD00595</t>
  </si>
  <si>
    <t>CUST0051</t>
  </si>
  <si>
    <t>ORD00596</t>
  </si>
  <si>
    <t>ORD00597</t>
  </si>
  <si>
    <t>ORD00598</t>
  </si>
  <si>
    <t>ORD00599</t>
  </si>
  <si>
    <t>ORD00600</t>
  </si>
  <si>
    <t>ORD00601</t>
  </si>
  <si>
    <t>ORD00602</t>
  </si>
  <si>
    <t>ORD00603</t>
  </si>
  <si>
    <t>ORD00604</t>
  </si>
  <si>
    <t>ORD00605</t>
  </si>
  <si>
    <t>ORD00606</t>
  </si>
  <si>
    <t>ORD00607</t>
  </si>
  <si>
    <t>ORD00608</t>
  </si>
  <si>
    <t>ORD00609</t>
  </si>
  <si>
    <t>ORD00610</t>
  </si>
  <si>
    <t>ORD00611</t>
  </si>
  <si>
    <t>ORD00612</t>
  </si>
  <si>
    <t>ORD00613</t>
  </si>
  <si>
    <t>ORD00614</t>
  </si>
  <si>
    <t>ORD00615</t>
  </si>
  <si>
    <t>CUST0232</t>
  </si>
  <si>
    <t>ORD00616</t>
  </si>
  <si>
    <t>ORD00617</t>
  </si>
  <si>
    <t>ORD00618</t>
  </si>
  <si>
    <t>ORD00619</t>
  </si>
  <si>
    <t>ORD00620</t>
  </si>
  <si>
    <t>ORD00621</t>
  </si>
  <si>
    <t>ORD00622</t>
  </si>
  <si>
    <t>CUST0105</t>
  </si>
  <si>
    <t>ORD00623</t>
  </si>
  <si>
    <t>ORD00624</t>
  </si>
  <si>
    <t>ORD00625</t>
  </si>
  <si>
    <t>ORD00626</t>
  </si>
  <si>
    <t>ORD00627</t>
  </si>
  <si>
    <t>ORD00628</t>
  </si>
  <si>
    <t>ORD00629</t>
  </si>
  <si>
    <t>ORD00630</t>
  </si>
  <si>
    <t>ORD00631</t>
  </si>
  <si>
    <t>ORD00632</t>
  </si>
  <si>
    <t>ORD00633</t>
  </si>
  <si>
    <t>ORD00634</t>
  </si>
  <si>
    <t>ORD00635</t>
  </si>
  <si>
    <t>ORD00636</t>
  </si>
  <si>
    <t>ORD00637</t>
  </si>
  <si>
    <t>ORD00638</t>
  </si>
  <si>
    <t>ORD00639</t>
  </si>
  <si>
    <t>ORD00640</t>
  </si>
  <si>
    <t>CUST0198</t>
  </si>
  <si>
    <t>ORD00641</t>
  </si>
  <si>
    <t>CUST0027</t>
  </si>
  <si>
    <t>ORD00642</t>
  </si>
  <si>
    <t>ORD00643</t>
  </si>
  <si>
    <t>ORD00644</t>
  </si>
  <si>
    <t>ORD00645</t>
  </si>
  <si>
    <t>ORD00646</t>
  </si>
  <si>
    <t>ORD00647</t>
  </si>
  <si>
    <t>ORD00648</t>
  </si>
  <si>
    <t>ORD00649</t>
  </si>
  <si>
    <t>ORD00650</t>
  </si>
  <si>
    <t>ORD00651</t>
  </si>
  <si>
    <t>ORD00652</t>
  </si>
  <si>
    <t>ORD00653</t>
  </si>
  <si>
    <t>ORD00654</t>
  </si>
  <si>
    <t>ORD00655</t>
  </si>
  <si>
    <t>ORD00656</t>
  </si>
  <si>
    <t>ORD00657</t>
  </si>
  <si>
    <t>ORD00658</t>
  </si>
  <si>
    <t>CUST0022</t>
  </si>
  <si>
    <t>ORD00659</t>
  </si>
  <si>
    <t>ORD00660</t>
  </si>
  <si>
    <t>ORD00661</t>
  </si>
  <si>
    <t>ORD00662</t>
  </si>
  <si>
    <t>CUST0188</t>
  </si>
  <si>
    <t>ORD00663</t>
  </si>
  <si>
    <t>ORD00664</t>
  </si>
  <si>
    <t>ORD00665</t>
  </si>
  <si>
    <t>ORD00666</t>
  </si>
  <si>
    <t>CUST0002</t>
  </si>
  <si>
    <t>ORD00667</t>
  </si>
  <si>
    <t>ORD00668</t>
  </si>
  <si>
    <t>ORD00669</t>
  </si>
  <si>
    <t>ORD00670</t>
  </si>
  <si>
    <t>ORD00671</t>
  </si>
  <si>
    <t>CUST0180</t>
  </si>
  <si>
    <t>ORD00672</t>
  </si>
  <si>
    <t>ORD00673</t>
  </si>
  <si>
    <t>ORD00674</t>
  </si>
  <si>
    <t>ORD00675</t>
  </si>
  <si>
    <t>ORD00676</t>
  </si>
  <si>
    <t>ORD00677</t>
  </si>
  <si>
    <t>ORD00678</t>
  </si>
  <si>
    <t>ORD00679</t>
  </si>
  <si>
    <t>CUST0110</t>
  </si>
  <si>
    <t>ORD00680</t>
  </si>
  <si>
    <t>ORD00681</t>
  </si>
  <si>
    <t>ORD00682</t>
  </si>
  <si>
    <t>ORD00683</t>
  </si>
  <si>
    <t>ORD00684</t>
  </si>
  <si>
    <t>ORD00685</t>
  </si>
  <si>
    <t>ORD00686</t>
  </si>
  <si>
    <t>ORD00687</t>
  </si>
  <si>
    <t>CUST0158</t>
  </si>
  <si>
    <t>ORD00688</t>
  </si>
  <si>
    <t>ORD00689</t>
  </si>
  <si>
    <t>ORD00690</t>
  </si>
  <si>
    <t>ORD00691</t>
  </si>
  <si>
    <t>ORD00692</t>
  </si>
  <si>
    <t>ORD00693</t>
  </si>
  <si>
    <t>ORD00694</t>
  </si>
  <si>
    <t>ORD00695</t>
  </si>
  <si>
    <t>ORD00696</t>
  </si>
  <si>
    <t>CUST0245</t>
  </si>
  <si>
    <t>ORD00697</t>
  </si>
  <si>
    <t>ORD00698</t>
  </si>
  <si>
    <t>ORD00699</t>
  </si>
  <si>
    <t>ORD00700</t>
  </si>
  <si>
    <t>ORD00701</t>
  </si>
  <si>
    <t>ORD00702</t>
  </si>
  <si>
    <t>ORD00703</t>
  </si>
  <si>
    <t>ORD00704</t>
  </si>
  <si>
    <t>ORD00705</t>
  </si>
  <si>
    <t>ORD00706</t>
  </si>
  <si>
    <t>ORD00707</t>
  </si>
  <si>
    <t>ORD00708</t>
  </si>
  <si>
    <t>CUST0194</t>
  </si>
  <si>
    <t>ORD00709</t>
  </si>
  <si>
    <t>ORD00710</t>
  </si>
  <si>
    <t>ORD00711</t>
  </si>
  <si>
    <t>ORD00712</t>
  </si>
  <si>
    <t>ORD00713</t>
  </si>
  <si>
    <t>ORD00714</t>
  </si>
  <si>
    <t>ORD00715</t>
  </si>
  <si>
    <t>ORD00716</t>
  </si>
  <si>
    <t>ORD00717</t>
  </si>
  <si>
    <t>ORD00718</t>
  </si>
  <si>
    <t>CUST0044</t>
  </si>
  <si>
    <t>ORD00719</t>
  </si>
  <si>
    <t>ORD00720</t>
  </si>
  <si>
    <t>ORD00721</t>
  </si>
  <si>
    <t>ORD00722</t>
  </si>
  <si>
    <t>ORD00723</t>
  </si>
  <si>
    <t>CUST0013</t>
  </si>
  <si>
    <t>ORD00724</t>
  </si>
  <si>
    <t>ORD00725</t>
  </si>
  <si>
    <t>ORD00726</t>
  </si>
  <si>
    <t>ORD00727</t>
  </si>
  <si>
    <t>ORD00728</t>
  </si>
  <si>
    <t>ORD00729</t>
  </si>
  <si>
    <t>CUST0273</t>
  </si>
  <si>
    <t>ORD00730</t>
  </si>
  <si>
    <t>CUST0191</t>
  </si>
  <si>
    <t>ORD00731</t>
  </si>
  <si>
    <t>ORD00732</t>
  </si>
  <si>
    <t>CUST0205</t>
  </si>
  <si>
    <t>ORD00733</t>
  </si>
  <si>
    <t>ORD00734</t>
  </si>
  <si>
    <t>ORD00735</t>
  </si>
  <si>
    <t>ORD00736</t>
  </si>
  <si>
    <t>ORD00737</t>
  </si>
  <si>
    <t>ORD00738</t>
  </si>
  <si>
    <t>CUST0142</t>
  </si>
  <si>
    <t>ORD00739</t>
  </si>
  <si>
    <t>ORD00740</t>
  </si>
  <si>
    <t>ORD00741</t>
  </si>
  <si>
    <t>ORD00742</t>
  </si>
  <si>
    <t>ORD00743</t>
  </si>
  <si>
    <t>ORD00744</t>
  </si>
  <si>
    <t>ORD00745</t>
  </si>
  <si>
    <t>ORD00746</t>
  </si>
  <si>
    <t>ORD00747</t>
  </si>
  <si>
    <t>CUST0070</t>
  </si>
  <si>
    <t>ORD00748</t>
  </si>
  <si>
    <t>ORD00749</t>
  </si>
  <si>
    <t>ORD00750</t>
  </si>
  <si>
    <t>ORD00751</t>
  </si>
  <si>
    <t>ORD00752</t>
  </si>
  <si>
    <t>ORD00753</t>
  </si>
  <si>
    <t>ORD00754</t>
  </si>
  <si>
    <t>ORD00755</t>
  </si>
  <si>
    <t>ORD00756</t>
  </si>
  <si>
    <t>ORD00757</t>
  </si>
  <si>
    <t>ORD00758</t>
  </si>
  <si>
    <t>ORD00759</t>
  </si>
  <si>
    <t>ORD00760</t>
  </si>
  <si>
    <t>ORD00761</t>
  </si>
  <si>
    <t>ORD00762</t>
  </si>
  <si>
    <t>ORD00763</t>
  </si>
  <si>
    <t>ORD00764</t>
  </si>
  <si>
    <t>ORD00765</t>
  </si>
  <si>
    <t>ORD00766</t>
  </si>
  <si>
    <t>ORD00767</t>
  </si>
  <si>
    <t>ORD00768</t>
  </si>
  <si>
    <t>ORD00769</t>
  </si>
  <si>
    <t>ORD00770</t>
  </si>
  <si>
    <t>ORD00771</t>
  </si>
  <si>
    <t>ORD00772</t>
  </si>
  <si>
    <t>ORD00773</t>
  </si>
  <si>
    <t>ORD00774</t>
  </si>
  <si>
    <t>ORD00775</t>
  </si>
  <si>
    <t>ORD00776</t>
  </si>
  <si>
    <t>ORD00777</t>
  </si>
  <si>
    <t>ORD00778</t>
  </si>
  <si>
    <t>ORD00779</t>
  </si>
  <si>
    <t>ORD00780</t>
  </si>
  <si>
    <t>ORD00781</t>
  </si>
  <si>
    <t>ORD00782</t>
  </si>
  <si>
    <t>ORD00783</t>
  </si>
  <si>
    <t>ORD00784</t>
  </si>
  <si>
    <t>CUST0117</t>
  </si>
  <si>
    <t>ORD00785</t>
  </si>
  <si>
    <t>ORD00786</t>
  </si>
  <si>
    <t>ORD00787</t>
  </si>
  <si>
    <t>ORD00788</t>
  </si>
  <si>
    <t>ORD00789</t>
  </si>
  <si>
    <t>ORD00790</t>
  </si>
  <si>
    <t>ORD00791</t>
  </si>
  <si>
    <t>ORD00792</t>
  </si>
  <si>
    <t>CUST0132</t>
  </si>
  <si>
    <t>ORD00793</t>
  </si>
  <si>
    <t>ORD00794</t>
  </si>
  <si>
    <t>ORD00795</t>
  </si>
  <si>
    <t>ORD00796</t>
  </si>
  <si>
    <t>ORD00797</t>
  </si>
  <si>
    <t>ORD00798</t>
  </si>
  <si>
    <t>ORD00799</t>
  </si>
  <si>
    <t>ORD00800</t>
  </si>
  <si>
    <t>CUST0093</t>
  </si>
  <si>
    <t>ORD00801</t>
  </si>
  <si>
    <t>ORD00802</t>
  </si>
  <si>
    <t>ORD00803</t>
  </si>
  <si>
    <t>ORD00804</t>
  </si>
  <si>
    <t>ORD00805</t>
  </si>
  <si>
    <t>ORD00806</t>
  </si>
  <si>
    <t>ORD00807</t>
  </si>
  <si>
    <t>ORD00808</t>
  </si>
  <si>
    <t>ORD00809</t>
  </si>
  <si>
    <t>ORD00810</t>
  </si>
  <si>
    <t>ORD00811</t>
  </si>
  <si>
    <t>ORD00812</t>
  </si>
  <si>
    <t>ORD00813</t>
  </si>
  <si>
    <t>ORD00814</t>
  </si>
  <si>
    <t>ORD00815</t>
  </si>
  <si>
    <t>ORD00816</t>
  </si>
  <si>
    <t>ORD00817</t>
  </si>
  <si>
    <t>ORD00818</t>
  </si>
  <si>
    <t>ORD00819</t>
  </si>
  <si>
    <t>ORD00820</t>
  </si>
  <si>
    <t>ORD00821</t>
  </si>
  <si>
    <t>ORD00822</t>
  </si>
  <si>
    <t>CUST0190</t>
  </si>
  <si>
    <t>ORD00823</t>
  </si>
  <si>
    <t>ORD00824</t>
  </si>
  <si>
    <t>ORD00825</t>
  </si>
  <si>
    <t>ORD00826</t>
  </si>
  <si>
    <t>ORD00827</t>
  </si>
  <si>
    <t>CUST0076</t>
  </si>
  <si>
    <t>ORD00828</t>
  </si>
  <si>
    <t>ORD00829</t>
  </si>
  <si>
    <t>ORD00830</t>
  </si>
  <si>
    <t>ORD00831</t>
  </si>
  <si>
    <t>ORD00832</t>
  </si>
  <si>
    <t>ORD00833</t>
  </si>
  <si>
    <t>ORD00834</t>
  </si>
  <si>
    <t>ORD00835</t>
  </si>
  <si>
    <t>ORD00836</t>
  </si>
  <si>
    <t>ORD00837</t>
  </si>
  <si>
    <t>ORD00838</t>
  </si>
  <si>
    <t>ORD00839</t>
  </si>
  <si>
    <t>ORD00840</t>
  </si>
  <si>
    <t>ORD00841</t>
  </si>
  <si>
    <t>ORD00842</t>
  </si>
  <si>
    <t>ORD00843</t>
  </si>
  <si>
    <t>ORD00844</t>
  </si>
  <si>
    <t>ORD00845</t>
  </si>
  <si>
    <t>ORD00846</t>
  </si>
  <si>
    <t>ORD00847</t>
  </si>
  <si>
    <t>ORD00848</t>
  </si>
  <si>
    <t>ORD00849</t>
  </si>
  <si>
    <t>ORD00850</t>
  </si>
  <si>
    <t>ORD00851</t>
  </si>
  <si>
    <t>ORD00852</t>
  </si>
  <si>
    <t>ORD00853</t>
  </si>
  <si>
    <t>ORD00854</t>
  </si>
  <si>
    <t>ORD00855</t>
  </si>
  <si>
    <t>ORD00856</t>
  </si>
  <si>
    <t>ORD00857</t>
  </si>
  <si>
    <t>ORD00858</t>
  </si>
  <si>
    <t>ORD00859</t>
  </si>
  <si>
    <t>ORD00860</t>
  </si>
  <si>
    <t>ORD00861</t>
  </si>
  <si>
    <t>ORD00862</t>
  </si>
  <si>
    <t>ORD00863</t>
  </si>
  <si>
    <t>ORD00864</t>
  </si>
  <si>
    <t>ORD00865</t>
  </si>
  <si>
    <t>ORD00866</t>
  </si>
  <si>
    <t>ORD00867</t>
  </si>
  <si>
    <t>ORD00868</t>
  </si>
  <si>
    <t>ORD00869</t>
  </si>
  <si>
    <t>ORD00870</t>
  </si>
  <si>
    <t>ORD00871</t>
  </si>
  <si>
    <t>ORD00872</t>
  </si>
  <si>
    <t>ORD00873</t>
  </si>
  <si>
    <t>ORD00874</t>
  </si>
  <si>
    <t>ORD00875</t>
  </si>
  <si>
    <t>ORD00876</t>
  </si>
  <si>
    <t>ORD00877</t>
  </si>
  <si>
    <t>ORD00878</t>
  </si>
  <si>
    <t>ORD00879</t>
  </si>
  <si>
    <t>ORD00880</t>
  </si>
  <si>
    <t>ORD00881</t>
  </si>
  <si>
    <t>ORD00882</t>
  </si>
  <si>
    <t>ORD00883</t>
  </si>
  <si>
    <t>ORD00884</t>
  </si>
  <si>
    <t>ORD00885</t>
  </si>
  <si>
    <t>ORD00886</t>
  </si>
  <si>
    <t>ORD00887</t>
  </si>
  <si>
    <t>ORD00888</t>
  </si>
  <si>
    <t>ORD00889</t>
  </si>
  <si>
    <t>ORD00890</t>
  </si>
  <si>
    <t>ORD00891</t>
  </si>
  <si>
    <t>ORD00892</t>
  </si>
  <si>
    <t>ORD00893</t>
  </si>
  <si>
    <t>ORD00894</t>
  </si>
  <si>
    <t>ORD00895</t>
  </si>
  <si>
    <t>ORD00896</t>
  </si>
  <si>
    <t>ORD00897</t>
  </si>
  <si>
    <t>ORD00898</t>
  </si>
  <si>
    <t>ORD00899</t>
  </si>
  <si>
    <t>ORD00900</t>
  </si>
  <si>
    <t>ORD00901</t>
  </si>
  <si>
    <t>ORD00902</t>
  </si>
  <si>
    <t>ORD00903</t>
  </si>
  <si>
    <t>ORD00904</t>
  </si>
  <si>
    <t>ORD00905</t>
  </si>
  <si>
    <t>ORD00906</t>
  </si>
  <si>
    <t>ORD00907</t>
  </si>
  <si>
    <t>ORD00908</t>
  </si>
  <si>
    <t>CUST0072</t>
  </si>
  <si>
    <t>ORD00909</t>
  </si>
  <si>
    <t>ORD00910</t>
  </si>
  <si>
    <t>ORD00911</t>
  </si>
  <si>
    <t>ORD00912</t>
  </si>
  <si>
    <t>ORD00913</t>
  </si>
  <si>
    <t>ORD00914</t>
  </si>
  <si>
    <t>ORD00915</t>
  </si>
  <si>
    <t>ORD00916</t>
  </si>
  <si>
    <t>ORD00917</t>
  </si>
  <si>
    <t>ORD00918</t>
  </si>
  <si>
    <t>ORD00919</t>
  </si>
  <si>
    <t>ORD00920</t>
  </si>
  <si>
    <t>ORD00921</t>
  </si>
  <si>
    <t>ORD00922</t>
  </si>
  <si>
    <t>ORD00923</t>
  </si>
  <si>
    <t>ORD00924</t>
  </si>
  <si>
    <t>ORD00925</t>
  </si>
  <si>
    <t>ORD00926</t>
  </si>
  <si>
    <t>ORD00927</t>
  </si>
  <si>
    <t>CUST0241</t>
  </si>
  <si>
    <t>ORD00928</t>
  </si>
  <si>
    <t>ORD00929</t>
  </si>
  <si>
    <t>ORD00930</t>
  </si>
  <si>
    <t>ORD00931</t>
  </si>
  <si>
    <t>ORD00932</t>
  </si>
  <si>
    <t>ORD00933</t>
  </si>
  <si>
    <t>ORD00934</t>
  </si>
  <si>
    <t>ORD00935</t>
  </si>
  <si>
    <t>ORD00936</t>
  </si>
  <si>
    <t>ORD00937</t>
  </si>
  <si>
    <t>ORD00938</t>
  </si>
  <si>
    <t>ORD00939</t>
  </si>
  <si>
    <t>ORD00940</t>
  </si>
  <si>
    <t>CUST0247</t>
  </si>
  <si>
    <t>ORD00941</t>
  </si>
  <si>
    <t>ORD00942</t>
  </si>
  <si>
    <t>ORD00943</t>
  </si>
  <si>
    <t>ORD00944</t>
  </si>
  <si>
    <t>ORD00945</t>
  </si>
  <si>
    <t>ORD00946</t>
  </si>
  <si>
    <t>ORD00947</t>
  </si>
  <si>
    <t>ORD00948</t>
  </si>
  <si>
    <t>ORD00949</t>
  </si>
  <si>
    <t>CUST0285</t>
  </si>
  <si>
    <t>ORD00950</t>
  </si>
  <si>
    <t>ORD00951</t>
  </si>
  <si>
    <t>ORD00952</t>
  </si>
  <si>
    <t>ORD00953</t>
  </si>
  <si>
    <t>ORD00954</t>
  </si>
  <si>
    <t>ORD00955</t>
  </si>
  <si>
    <t>ORD00956</t>
  </si>
  <si>
    <t>ORD00957</t>
  </si>
  <si>
    <t>ORD00958</t>
  </si>
  <si>
    <t>ORD00959</t>
  </si>
  <si>
    <t>CUST0009</t>
  </si>
  <si>
    <t>ORD00960</t>
  </si>
  <si>
    <t>ORD00961</t>
  </si>
  <si>
    <t>ORD00962</t>
  </si>
  <si>
    <t>ORD00963</t>
  </si>
  <si>
    <t>ORD00964</t>
  </si>
  <si>
    <t>ORD00965</t>
  </si>
  <si>
    <t>ORD00966</t>
  </si>
  <si>
    <t>ORD00967</t>
  </si>
  <si>
    <t>ORD00968</t>
  </si>
  <si>
    <t>ORD00969</t>
  </si>
  <si>
    <t>ORD00970</t>
  </si>
  <si>
    <t>ORD00971</t>
  </si>
  <si>
    <t>ORD00972</t>
  </si>
  <si>
    <t>ORD00973</t>
  </si>
  <si>
    <t>ORD00974</t>
  </si>
  <si>
    <t>ORD00975</t>
  </si>
  <si>
    <t>ORD00976</t>
  </si>
  <si>
    <t>ORD00977</t>
  </si>
  <si>
    <t>ORD00978</t>
  </si>
  <si>
    <t>ORD00979</t>
  </si>
  <si>
    <t>ORD00980</t>
  </si>
  <si>
    <t>ORD00981</t>
  </si>
  <si>
    <t>ORD00982</t>
  </si>
  <si>
    <t>ORD00983</t>
  </si>
  <si>
    <t>ORD00984</t>
  </si>
  <si>
    <t>ORD00985</t>
  </si>
  <si>
    <t>ORD00986</t>
  </si>
  <si>
    <t>ORD00987</t>
  </si>
  <si>
    <t>ORD00988</t>
  </si>
  <si>
    <t>ORD00989</t>
  </si>
  <si>
    <t>ORD00990</t>
  </si>
  <si>
    <t>ORD00991</t>
  </si>
  <si>
    <t>ORD00992</t>
  </si>
  <si>
    <t>ORD00993</t>
  </si>
  <si>
    <t>ORD00994</t>
  </si>
  <si>
    <t>ORD00995</t>
  </si>
  <si>
    <t>ORD00996</t>
  </si>
  <si>
    <t>ORD00997</t>
  </si>
  <si>
    <t>ORD00998</t>
  </si>
  <si>
    <t>ORD00999</t>
  </si>
  <si>
    <t>ORD01000</t>
  </si>
  <si>
    <t>ORD01001</t>
  </si>
  <si>
    <t>ORD01002</t>
  </si>
  <si>
    <t>ORD01003</t>
  </si>
  <si>
    <t>ORD01004</t>
  </si>
  <si>
    <t>ORD01005</t>
  </si>
  <si>
    <t>ORD01006</t>
  </si>
  <si>
    <t>ORD01007</t>
  </si>
  <si>
    <t>ORD01008</t>
  </si>
  <si>
    <t>ORD01009</t>
  </si>
  <si>
    <t>ORD01010</t>
  </si>
  <si>
    <t>CUST0217</t>
  </si>
  <si>
    <t>ORD01011</t>
  </si>
  <si>
    <t>ORD01012</t>
  </si>
  <si>
    <t>ORD01013</t>
  </si>
  <si>
    <t>ORD01014</t>
  </si>
  <si>
    <t>ORD01015</t>
  </si>
  <si>
    <t>ORD01016</t>
  </si>
  <si>
    <t>ORD01017</t>
  </si>
  <si>
    <t>ORD01018</t>
  </si>
  <si>
    <t>ORD01019</t>
  </si>
  <si>
    <t>ORD01020</t>
  </si>
  <si>
    <t>ORD01021</t>
  </si>
  <si>
    <t>CUST0035</t>
  </si>
  <si>
    <t>ORD01022</t>
  </si>
  <si>
    <t>ORD01023</t>
  </si>
  <si>
    <t>ORD01024</t>
  </si>
  <si>
    <t>ORD01025</t>
  </si>
  <si>
    <t>ORD01026</t>
  </si>
  <si>
    <t>ORD01027</t>
  </si>
  <si>
    <t>ORD01028</t>
  </si>
  <si>
    <t>ORD01029</t>
  </si>
  <si>
    <t>ORD01030</t>
  </si>
  <si>
    <t>ORD01031</t>
  </si>
  <si>
    <t>ORD01032</t>
  </si>
  <si>
    <t>ORD01033</t>
  </si>
  <si>
    <t>ORD01034</t>
  </si>
  <si>
    <t>ORD01035</t>
  </si>
  <si>
    <t>CUST0021</t>
  </si>
  <si>
    <t>ORD01036</t>
  </si>
  <si>
    <t>ORD01037</t>
  </si>
  <si>
    <t>ORD01038</t>
  </si>
  <si>
    <t>ORD01039</t>
  </si>
  <si>
    <t>ORD01040</t>
  </si>
  <si>
    <t>ORD01041</t>
  </si>
  <si>
    <t>ORD01042</t>
  </si>
  <si>
    <t>ORD01043</t>
  </si>
  <si>
    <t>ORD01044</t>
  </si>
  <si>
    <t>ORD01045</t>
  </si>
  <si>
    <t>ORD01046</t>
  </si>
  <si>
    <t>ORD01047</t>
  </si>
  <si>
    <t>ORD01048</t>
  </si>
  <si>
    <t>ORD01049</t>
  </si>
  <si>
    <t>CUST0086</t>
  </si>
  <si>
    <t>ORD01050</t>
  </si>
  <si>
    <t>CUST0016</t>
  </si>
  <si>
    <t>ORD01051</t>
  </si>
  <si>
    <t>ORD01052</t>
  </si>
  <si>
    <t>ORD01053</t>
  </si>
  <si>
    <t>ORD01054</t>
  </si>
  <si>
    <t>ORD01055</t>
  </si>
  <si>
    <t>ORD01056</t>
  </si>
  <si>
    <t>ORD01057</t>
  </si>
  <si>
    <t>ORD01058</t>
  </si>
  <si>
    <t>ORD01059</t>
  </si>
  <si>
    <t>ORD01060</t>
  </si>
  <si>
    <t>ORD01061</t>
  </si>
  <si>
    <t>ORD01062</t>
  </si>
  <si>
    <t>ORD01063</t>
  </si>
  <si>
    <t>ORD01064</t>
  </si>
  <si>
    <t>CUST0156</t>
  </si>
  <si>
    <t>ORD01065</t>
  </si>
  <si>
    <t>ORD01066</t>
  </si>
  <si>
    <t>ORD01067</t>
  </si>
  <si>
    <t>ORD01068</t>
  </si>
  <si>
    <t>ORD01069</t>
  </si>
  <si>
    <t>ORD01070</t>
  </si>
  <si>
    <t>ORD01071</t>
  </si>
  <si>
    <t>ORD01072</t>
  </si>
  <si>
    <t>ORD01073</t>
  </si>
  <si>
    <t>ORD01074</t>
  </si>
  <si>
    <t>ORD01075</t>
  </si>
  <si>
    <t>ORD01076</t>
  </si>
  <si>
    <t>ORD01077</t>
  </si>
  <si>
    <t>ORD01078</t>
  </si>
  <si>
    <t>ORD01079</t>
  </si>
  <si>
    <t>ORD01080</t>
  </si>
  <si>
    <t>ORD01081</t>
  </si>
  <si>
    <t>ORD01082</t>
  </si>
  <si>
    <t>ORD01083</t>
  </si>
  <si>
    <t>ORD01084</t>
  </si>
  <si>
    <t>ORD01085</t>
  </si>
  <si>
    <t>ORD01086</t>
  </si>
  <si>
    <t>ORD01087</t>
  </si>
  <si>
    <t>ORD01088</t>
  </si>
  <si>
    <t>ORD01089</t>
  </si>
  <si>
    <t>ORD01090</t>
  </si>
  <si>
    <t>ORD01091</t>
  </si>
  <si>
    <t>ORD01092</t>
  </si>
  <si>
    <t>ORD01093</t>
  </si>
  <si>
    <t>ORD01094</t>
  </si>
  <si>
    <t>ORD01095</t>
  </si>
  <si>
    <t>ORD01096</t>
  </si>
  <si>
    <t>ORD01097</t>
  </si>
  <si>
    <t>ORD01098</t>
  </si>
  <si>
    <t>ORD01099</t>
  </si>
  <si>
    <t>ORD01100</t>
  </si>
  <si>
    <t>ORD01101</t>
  </si>
  <si>
    <t>ORD01102</t>
  </si>
  <si>
    <t>CUST0005</t>
  </si>
  <si>
    <t>ORD01103</t>
  </si>
  <si>
    <t>ORD01104</t>
  </si>
  <si>
    <t>ORD01105</t>
  </si>
  <si>
    <t>ORD01106</t>
  </si>
  <si>
    <t>ORD01107</t>
  </si>
  <si>
    <t>ORD01108</t>
  </si>
  <si>
    <t>ORD01109</t>
  </si>
  <si>
    <t>ORD01110</t>
  </si>
  <si>
    <t>ORD01111</t>
  </si>
  <si>
    <t>ORD01112</t>
  </si>
  <si>
    <t>ORD01113</t>
  </si>
  <si>
    <t>ORD01114</t>
  </si>
  <si>
    <t>ORD01115</t>
  </si>
  <si>
    <t>ORD01116</t>
  </si>
  <si>
    <t>ORD01117</t>
  </si>
  <si>
    <t>ORD01118</t>
  </si>
  <si>
    <t>ORD01119</t>
  </si>
  <si>
    <t>ORD01120</t>
  </si>
  <si>
    <t>ORD01121</t>
  </si>
  <si>
    <t>ORD01122</t>
  </si>
  <si>
    <t>ORD01123</t>
  </si>
  <si>
    <t>ORD01124</t>
  </si>
  <si>
    <t>ORD01125</t>
  </si>
  <si>
    <t>ORD01126</t>
  </si>
  <si>
    <t>ORD01127</t>
  </si>
  <si>
    <t>CUST0249</t>
  </si>
  <si>
    <t>ORD01128</t>
  </si>
  <si>
    <t>ORD01129</t>
  </si>
  <si>
    <t>ORD01130</t>
  </si>
  <si>
    <t>ORD01131</t>
  </si>
  <si>
    <t>ORD01132</t>
  </si>
  <si>
    <t>ORD01133</t>
  </si>
  <si>
    <t>ORD01134</t>
  </si>
  <si>
    <t>ORD01135</t>
  </si>
  <si>
    <t>ORD01136</t>
  </si>
  <si>
    <t>ORD01137</t>
  </si>
  <si>
    <t>ORD01138</t>
  </si>
  <si>
    <t>ORD01139</t>
  </si>
  <si>
    <t>ORD01140</t>
  </si>
  <si>
    <t>ORD01141</t>
  </si>
  <si>
    <t>ORD01142</t>
  </si>
  <si>
    <t>ORD01143</t>
  </si>
  <si>
    <t>ORD01144</t>
  </si>
  <si>
    <t>ORD01145</t>
  </si>
  <si>
    <t>ORD01146</t>
  </si>
  <si>
    <t>ORD01147</t>
  </si>
  <si>
    <t>ORD01148</t>
  </si>
  <si>
    <t>ORD01149</t>
  </si>
  <si>
    <t>ORD01150</t>
  </si>
  <si>
    <t>ORD01151</t>
  </si>
  <si>
    <t>ORD01152</t>
  </si>
  <si>
    <t>ORD01153</t>
  </si>
  <si>
    <t>ORD01154</t>
  </si>
  <si>
    <t>ORD01155</t>
  </si>
  <si>
    <t>ORD01156</t>
  </si>
  <si>
    <t>ORD01157</t>
  </si>
  <si>
    <t>ORD01158</t>
  </si>
  <si>
    <t>ORD01159</t>
  </si>
  <si>
    <t>ORD01160</t>
  </si>
  <si>
    <t>ORD01161</t>
  </si>
  <si>
    <t>ORD01162</t>
  </si>
  <si>
    <t>ORD01163</t>
  </si>
  <si>
    <t>ORD01164</t>
  </si>
  <si>
    <t>ORD01165</t>
  </si>
  <si>
    <t>ORD01166</t>
  </si>
  <si>
    <t>ORD01167</t>
  </si>
  <si>
    <t>ORD01168</t>
  </si>
  <si>
    <t>ORD01169</t>
  </si>
  <si>
    <t>ORD01170</t>
  </si>
  <si>
    <t>ORD01171</t>
  </si>
  <si>
    <t>ORD01172</t>
  </si>
  <si>
    <t>ORD01173</t>
  </si>
  <si>
    <t>ORD01174</t>
  </si>
  <si>
    <t>ORD01175</t>
  </si>
  <si>
    <t>CUST0212</t>
  </si>
  <si>
    <t>ORD01176</t>
  </si>
  <si>
    <t>ORD01177</t>
  </si>
  <si>
    <t>ORD01178</t>
  </si>
  <si>
    <t>ORD01179</t>
  </si>
  <si>
    <t>ORD01180</t>
  </si>
  <si>
    <t>ORD01181</t>
  </si>
  <si>
    <t>ORD01182</t>
  </si>
  <si>
    <t>ORD01183</t>
  </si>
  <si>
    <t>ORD01184</t>
  </si>
  <si>
    <t>ORD01185</t>
  </si>
  <si>
    <t>ORD01186</t>
  </si>
  <si>
    <t>ORD01187</t>
  </si>
  <si>
    <t>ORD01188</t>
  </si>
  <si>
    <t>ORD01189</t>
  </si>
  <si>
    <t>ORD01190</t>
  </si>
  <si>
    <t>ORD01191</t>
  </si>
  <si>
    <t>ORD01192</t>
  </si>
  <si>
    <t>ORD01193</t>
  </si>
  <si>
    <t>ORD01194</t>
  </si>
  <si>
    <t>ORD01195</t>
  </si>
  <si>
    <t>ORD01196</t>
  </si>
  <si>
    <t>ORD01197</t>
  </si>
  <si>
    <t>CUST0054</t>
  </si>
  <si>
    <t>ORD01198</t>
  </si>
  <si>
    <t>ORD01199</t>
  </si>
  <si>
    <t>ORD01200</t>
  </si>
  <si>
    <t>ORD01201</t>
  </si>
  <si>
    <t>ORD01202</t>
  </si>
  <si>
    <t>ORD01203</t>
  </si>
  <si>
    <t>ORD01204</t>
  </si>
  <si>
    <t>ORD01205</t>
  </si>
  <si>
    <t>ORD01206</t>
  </si>
  <si>
    <t>ORD01207</t>
  </si>
  <si>
    <t>ORD01208</t>
  </si>
  <si>
    <t>ORD01209</t>
  </si>
  <si>
    <t>ORD01210</t>
  </si>
  <si>
    <t>ORD01211</t>
  </si>
  <si>
    <t>ORD01212</t>
  </si>
  <si>
    <t>ORD01213</t>
  </si>
  <si>
    <t>ORD01214</t>
  </si>
  <si>
    <t>ORD01215</t>
  </si>
  <si>
    <t>ORD01216</t>
  </si>
  <si>
    <t>ORD01217</t>
  </si>
  <si>
    <t>ORD01218</t>
  </si>
  <si>
    <t>ORD01219</t>
  </si>
  <si>
    <t>ORD01220</t>
  </si>
  <si>
    <t>ORD01221</t>
  </si>
  <si>
    <t>ORD01222</t>
  </si>
  <si>
    <t>ORD01223</t>
  </si>
  <si>
    <t>ORD01224</t>
  </si>
  <si>
    <t>ORD01225</t>
  </si>
  <si>
    <t>ORD01226</t>
  </si>
  <si>
    <t>ORD01227</t>
  </si>
  <si>
    <t>ORD01228</t>
  </si>
  <si>
    <t>ORD01229</t>
  </si>
  <si>
    <t>ORD01230</t>
  </si>
  <si>
    <t>ORD01231</t>
  </si>
  <si>
    <t>ORD01232</t>
  </si>
  <si>
    <t>ORD01233</t>
  </si>
  <si>
    <t>ORD01234</t>
  </si>
  <si>
    <t>ORD01235</t>
  </si>
  <si>
    <t>ORD01236</t>
  </si>
  <si>
    <t>ORD01237</t>
  </si>
  <si>
    <t>ORD01238</t>
  </si>
  <si>
    <t>ORD01239</t>
  </si>
  <si>
    <t>ORD01240</t>
  </si>
  <si>
    <t>ORD01241</t>
  </si>
  <si>
    <t>ORD01242</t>
  </si>
  <si>
    <t>ORD01243</t>
  </si>
  <si>
    <t>ORD01244</t>
  </si>
  <si>
    <t>ORD01245</t>
  </si>
  <si>
    <t>ORD01246</t>
  </si>
  <si>
    <t>ORD01247</t>
  </si>
  <si>
    <t>ORD01248</t>
  </si>
  <si>
    <t>ORD01249</t>
  </si>
  <si>
    <t>ORD01250</t>
  </si>
  <si>
    <t>ORD01251</t>
  </si>
  <si>
    <t>ORD01252</t>
  </si>
  <si>
    <t>ORD01253</t>
  </si>
  <si>
    <t>ORD01254</t>
  </si>
  <si>
    <t>ORD01255</t>
  </si>
  <si>
    <t>ORD01256</t>
  </si>
  <si>
    <t>ORD01257</t>
  </si>
  <si>
    <t>ORD01258</t>
  </si>
  <si>
    <t>ORD01259</t>
  </si>
  <si>
    <t>ORD01260</t>
  </si>
  <si>
    <t>ORD01261</t>
  </si>
  <si>
    <t>ORD01262</t>
  </si>
  <si>
    <t>ORD01263</t>
  </si>
  <si>
    <t>ORD01264</t>
  </si>
  <si>
    <t>ORD01265</t>
  </si>
  <si>
    <t>ORD01266</t>
  </si>
  <si>
    <t>ORD01267</t>
  </si>
  <si>
    <t>ORD01268</t>
  </si>
  <si>
    <t>ORD01269</t>
  </si>
  <si>
    <t>ORD01270</t>
  </si>
  <si>
    <t>ORD01271</t>
  </si>
  <si>
    <t>ORD01272</t>
  </si>
  <si>
    <t>ORD01273</t>
  </si>
  <si>
    <t>ORD01274</t>
  </si>
  <si>
    <t>ORD01275</t>
  </si>
  <si>
    <t>ORD01276</t>
  </si>
  <si>
    <t>ORD01277</t>
  </si>
  <si>
    <t>ORD01278</t>
  </si>
  <si>
    <t>ORD01279</t>
  </si>
  <si>
    <t>ORD01280</t>
  </si>
  <si>
    <t>ORD01281</t>
  </si>
  <si>
    <t>ORD01282</t>
  </si>
  <si>
    <t>ORD01283</t>
  </si>
  <si>
    <t>ORD01284</t>
  </si>
  <si>
    <t>ORD01285</t>
  </si>
  <si>
    <t>ORD01286</t>
  </si>
  <si>
    <t>ORD01287</t>
  </si>
  <si>
    <t>ORD01288</t>
  </si>
  <si>
    <t>ORD01289</t>
  </si>
  <si>
    <t>ORD01290</t>
  </si>
  <si>
    <t>ORD01291</t>
  </si>
  <si>
    <t>ORD01292</t>
  </si>
  <si>
    <t>ORD01293</t>
  </si>
  <si>
    <t>ORD01294</t>
  </si>
  <si>
    <t>ORD01295</t>
  </si>
  <si>
    <t>ORD01296</t>
  </si>
  <si>
    <t>ORD01297</t>
  </si>
  <si>
    <t>ORD01298</t>
  </si>
  <si>
    <t>ORD01299</t>
  </si>
  <si>
    <t>ORD01300</t>
  </si>
  <si>
    <t>ORD01301</t>
  </si>
  <si>
    <t>ORD01302</t>
  </si>
  <si>
    <t>ORD01303</t>
  </si>
  <si>
    <t>ORD01304</t>
  </si>
  <si>
    <t>ORD01305</t>
  </si>
  <si>
    <t>ORD01306</t>
  </si>
  <si>
    <t>ORD01307</t>
  </si>
  <si>
    <t>ORD01308</t>
  </si>
  <si>
    <t>ORD01309</t>
  </si>
  <si>
    <t>ORD01310</t>
  </si>
  <si>
    <t>ORD01311</t>
  </si>
  <si>
    <t>ORD01312</t>
  </si>
  <si>
    <t>ORD01313</t>
  </si>
  <si>
    <t>ORD01314</t>
  </si>
  <si>
    <t>ORD01315</t>
  </si>
  <si>
    <t>ORD01316</t>
  </si>
  <si>
    <t>ORD01317</t>
  </si>
  <si>
    <t>ORD01318</t>
  </si>
  <si>
    <t>ORD01319</t>
  </si>
  <si>
    <t>ORD01320</t>
  </si>
  <si>
    <t>ORD01321</t>
  </si>
  <si>
    <t>ORD01322</t>
  </si>
  <si>
    <t>ORD01323</t>
  </si>
  <si>
    <t>ORD01324</t>
  </si>
  <si>
    <t>ORD01325</t>
  </si>
  <si>
    <t>ORD01326</t>
  </si>
  <si>
    <t>ORD01327</t>
  </si>
  <si>
    <t>ORD01328</t>
  </si>
  <si>
    <t>ORD01329</t>
  </si>
  <si>
    <t>ORD01330</t>
  </si>
  <si>
    <t>ORD01331</t>
  </si>
  <si>
    <t>ORD01332</t>
  </si>
  <si>
    <t>ORD01333</t>
  </si>
  <si>
    <t>ORD01334</t>
  </si>
  <si>
    <t>ORD01335</t>
  </si>
  <si>
    <t>ORD01336</t>
  </si>
  <si>
    <t>ORD01337</t>
  </si>
  <si>
    <t>ORD01338</t>
  </si>
  <si>
    <t>ORD01339</t>
  </si>
  <si>
    <t>ORD01340</t>
  </si>
  <si>
    <t>ORD01341</t>
  </si>
  <si>
    <t>ORD01342</t>
  </si>
  <si>
    <t>ORD01343</t>
  </si>
  <si>
    <t>ORD01344</t>
  </si>
  <si>
    <t>ORD01345</t>
  </si>
  <si>
    <t>ORD01346</t>
  </si>
  <si>
    <t>ORD01347</t>
  </si>
  <si>
    <t>ORD01348</t>
  </si>
  <si>
    <t>ORD01349</t>
  </si>
  <si>
    <t>ORD01350</t>
  </si>
  <si>
    <t>ORD01351</t>
  </si>
  <si>
    <t>ORD01352</t>
  </si>
  <si>
    <t>ORD01353</t>
  </si>
  <si>
    <t>ORD01354</t>
  </si>
  <si>
    <t>ORD01355</t>
  </si>
  <si>
    <t>ORD01356</t>
  </si>
  <si>
    <t>ORD01357</t>
  </si>
  <si>
    <t>ORD01358</t>
  </si>
  <si>
    <t>ORD01359</t>
  </si>
  <si>
    <t>ORD01360</t>
  </si>
  <si>
    <t>ORD01361</t>
  </si>
  <si>
    <t>ORD01362</t>
  </si>
  <si>
    <t>ORD01363</t>
  </si>
  <si>
    <t>ORD01364</t>
  </si>
  <si>
    <t>ORD01365</t>
  </si>
  <si>
    <t>ORD01366</t>
  </si>
  <si>
    <t>ORD01367</t>
  </si>
  <si>
    <t>ORD01368</t>
  </si>
  <si>
    <t>ORD01369</t>
  </si>
  <si>
    <t>ORD01370</t>
  </si>
  <si>
    <t>ORD01371</t>
  </si>
  <si>
    <t>ORD01372</t>
  </si>
  <si>
    <t>ORD01373</t>
  </si>
  <si>
    <t>ORD01374</t>
  </si>
  <si>
    <t>ORD01375</t>
  </si>
  <si>
    <t>ORD01376</t>
  </si>
  <si>
    <t>ORD01377</t>
  </si>
  <si>
    <t>ORD01378</t>
  </si>
  <si>
    <t>ORD01379</t>
  </si>
  <si>
    <t>ORD01380</t>
  </si>
  <si>
    <t>ORD01381</t>
  </si>
  <si>
    <t>ORD01382</t>
  </si>
  <si>
    <t>ORD01383</t>
  </si>
  <si>
    <t>ORD01384</t>
  </si>
  <si>
    <t>ORD01385</t>
  </si>
  <si>
    <t>ORD01386</t>
  </si>
  <si>
    <t>ORD01387</t>
  </si>
  <si>
    <t>ORD01388</t>
  </si>
  <si>
    <t>ORD01389</t>
  </si>
  <si>
    <t>ORD01390</t>
  </si>
  <si>
    <t>ORD01391</t>
  </si>
  <si>
    <t>ORD01392</t>
  </si>
  <si>
    <t>ORD01393</t>
  </si>
  <si>
    <t>ORD01394</t>
  </si>
  <si>
    <t>ORD01395</t>
  </si>
  <si>
    <t>ORD01396</t>
  </si>
  <si>
    <t>ORD01397</t>
  </si>
  <si>
    <t>ORD01398</t>
  </si>
  <si>
    <t>ORD01399</t>
  </si>
  <si>
    <t>ORD01400</t>
  </si>
  <si>
    <t>ORD01401</t>
  </si>
  <si>
    <t>ORD01402</t>
  </si>
  <si>
    <t>ORD01403</t>
  </si>
  <si>
    <t>ORD01404</t>
  </si>
  <si>
    <t>ORD01405</t>
  </si>
  <si>
    <t>ORD01406</t>
  </si>
  <si>
    <t>ORD01407</t>
  </si>
  <si>
    <t>ORD01408</t>
  </si>
  <si>
    <t>ORD01409</t>
  </si>
  <si>
    <t>ORD01410</t>
  </si>
  <si>
    <t>ORD01411</t>
  </si>
  <si>
    <t>ORD01412</t>
  </si>
  <si>
    <t>ORD01413</t>
  </si>
  <si>
    <t>ORD01414</t>
  </si>
  <si>
    <t>ORD01415</t>
  </si>
  <si>
    <t>ORD01416</t>
  </si>
  <si>
    <t>ORD01417</t>
  </si>
  <si>
    <t>ORD01418</t>
  </si>
  <si>
    <t>ORD01419</t>
  </si>
  <si>
    <t>ORD01420</t>
  </si>
  <si>
    <t>ORD01421</t>
  </si>
  <si>
    <t>ORD01422</t>
  </si>
  <si>
    <t>ORD01423</t>
  </si>
  <si>
    <t>ORD01424</t>
  </si>
  <si>
    <t>ORD01425</t>
  </si>
  <si>
    <t>ORD01426</t>
  </si>
  <si>
    <t>ORD01427</t>
  </si>
  <si>
    <t>ORD01428</t>
  </si>
  <si>
    <t>ORD01429</t>
  </si>
  <si>
    <t>ORD01430</t>
  </si>
  <si>
    <t>ORD01431</t>
  </si>
  <si>
    <t>ORD01432</t>
  </si>
  <si>
    <t>ORD01433</t>
  </si>
  <si>
    <t>ORD01434</t>
  </si>
  <si>
    <t>ORD01435</t>
  </si>
  <si>
    <t>ORD01436</t>
  </si>
  <si>
    <t>ORD01437</t>
  </si>
  <si>
    <t>ORD01438</t>
  </si>
  <si>
    <t>ORD01439</t>
  </si>
  <si>
    <t>ORD01440</t>
  </si>
  <si>
    <t>ORD01441</t>
  </si>
  <si>
    <t>ORD01442</t>
  </si>
  <si>
    <t>ORD01443</t>
  </si>
  <si>
    <t>ORD01444</t>
  </si>
  <si>
    <t>ORD01445</t>
  </si>
  <si>
    <t>ORD01446</t>
  </si>
  <si>
    <t>ORD01447</t>
  </si>
  <si>
    <t>ORD01448</t>
  </si>
  <si>
    <t>ORD01449</t>
  </si>
  <si>
    <t>ORD01450</t>
  </si>
  <si>
    <t>ORD01451</t>
  </si>
  <si>
    <t>ORD01452</t>
  </si>
  <si>
    <t>ORD01453</t>
  </si>
  <si>
    <t>ORD01454</t>
  </si>
  <si>
    <t>ORD01455</t>
  </si>
  <si>
    <t>ORD01456</t>
  </si>
  <si>
    <t>ORD01457</t>
  </si>
  <si>
    <t>ORD01458</t>
  </si>
  <si>
    <t>ORD01459</t>
  </si>
  <si>
    <t>ORD01460</t>
  </si>
  <si>
    <t>ORD01461</t>
  </si>
  <si>
    <t>ORD01462</t>
  </si>
  <si>
    <t>ORD01463</t>
  </si>
  <si>
    <t>ORD01464</t>
  </si>
  <si>
    <t>ORD01465</t>
  </si>
  <si>
    <t>ORD01466</t>
  </si>
  <si>
    <t>ORD01467</t>
  </si>
  <si>
    <t>ORD01468</t>
  </si>
  <si>
    <t>ORD01469</t>
  </si>
  <si>
    <t>ORD01470</t>
  </si>
  <si>
    <t>ORD01471</t>
  </si>
  <si>
    <t>ORD01472</t>
  </si>
  <si>
    <t>ORD01473</t>
  </si>
  <si>
    <t>ORD01474</t>
  </si>
  <si>
    <t>ORD01475</t>
  </si>
  <si>
    <t>ORD01476</t>
  </si>
  <si>
    <t>ORD01477</t>
  </si>
  <si>
    <t>ORD01478</t>
  </si>
  <si>
    <t>ORD01479</t>
  </si>
  <si>
    <t>ORD01480</t>
  </si>
  <si>
    <t>ORD01481</t>
  </si>
  <si>
    <t>ORD01482</t>
  </si>
  <si>
    <t>ORD01483</t>
  </si>
  <si>
    <t>ORD01484</t>
  </si>
  <si>
    <t>ORD01485</t>
  </si>
  <si>
    <t>CUST0292</t>
  </si>
  <si>
    <t>ORD01486</t>
  </si>
  <si>
    <t>ORD01487</t>
  </si>
  <si>
    <t>ORD01488</t>
  </si>
  <si>
    <t>ORD01489</t>
  </si>
  <si>
    <t>ORD01490</t>
  </si>
  <si>
    <t>ORD01491</t>
  </si>
  <si>
    <t>ORD01492</t>
  </si>
  <si>
    <t>ORD01493</t>
  </si>
  <si>
    <t>ORD01494</t>
  </si>
  <si>
    <t>ORD01495</t>
  </si>
  <si>
    <t>ORD01496</t>
  </si>
  <si>
    <t>ORD01497</t>
  </si>
  <si>
    <t>ORD01498</t>
  </si>
  <si>
    <t>ORD01499</t>
  </si>
  <si>
    <t>ORD01500</t>
  </si>
  <si>
    <t>KPI'S</t>
  </si>
  <si>
    <t xml:space="preserve">TOTAL ORDERS </t>
  </si>
  <si>
    <t xml:space="preserve"> TOTAL SALES </t>
  </si>
  <si>
    <t xml:space="preserve"> TOTAL PROFIT</t>
  </si>
  <si>
    <t xml:space="preserve">COMPLETED    </t>
  </si>
  <si>
    <t xml:space="preserve"> PENDING     </t>
  </si>
  <si>
    <t xml:space="preserve"> AVG TAT</t>
  </si>
  <si>
    <t>COMPLETION %</t>
  </si>
  <si>
    <t>Grand Total</t>
  </si>
  <si>
    <t>(All)</t>
  </si>
  <si>
    <t>01-Jan</t>
  </si>
  <si>
    <t>02-Jan</t>
  </si>
  <si>
    <t>03-Jan</t>
  </si>
  <si>
    <t>04-Jan</t>
  </si>
  <si>
    <t>05-Jan</t>
  </si>
  <si>
    <t>06-Jan</t>
  </si>
  <si>
    <t>07-Jan</t>
  </si>
  <si>
    <t>08-Jan</t>
  </si>
  <si>
    <t>09-Jan</t>
  </si>
  <si>
    <t>10-Jan</t>
  </si>
  <si>
    <t>11-Jan</t>
  </si>
  <si>
    <t>12-Jan</t>
  </si>
  <si>
    <t>13-Jan</t>
  </si>
  <si>
    <t>14-Jan</t>
  </si>
  <si>
    <t>15-Jan</t>
  </si>
  <si>
    <t>16-Jan</t>
  </si>
  <si>
    <t>17-Jan</t>
  </si>
  <si>
    <t>18-Jan</t>
  </si>
  <si>
    <t>19-Jan</t>
  </si>
  <si>
    <t>20-Jan</t>
  </si>
  <si>
    <t>21-Jan</t>
  </si>
  <si>
    <t>22-Jan</t>
  </si>
  <si>
    <t>23-Jan</t>
  </si>
  <si>
    <t>25-Jan</t>
  </si>
  <si>
    <t>26-Jan</t>
  </si>
  <si>
    <t>27-Jan</t>
  </si>
  <si>
    <t>28-Jan</t>
  </si>
  <si>
    <t>29-Jan</t>
  </si>
  <si>
    <t>30-Jan</t>
  </si>
  <si>
    <t>31-Jan</t>
  </si>
  <si>
    <t>Date</t>
  </si>
  <si>
    <t>Orders</t>
  </si>
  <si>
    <t>Profits</t>
  </si>
  <si>
    <t>Emp_id</t>
  </si>
  <si>
    <t>01-Feb</t>
  </si>
  <si>
    <t>02-Feb</t>
  </si>
  <si>
    <t>03-Feb</t>
  </si>
  <si>
    <t>04-Feb</t>
  </si>
  <si>
    <t>05-Feb</t>
  </si>
  <si>
    <t>06-Feb</t>
  </si>
  <si>
    <t>07-Feb</t>
  </si>
  <si>
    <t>08-Feb</t>
  </si>
  <si>
    <t>09-Feb</t>
  </si>
  <si>
    <t>10-Feb</t>
  </si>
  <si>
    <t>11-Feb</t>
  </si>
  <si>
    <t>12-Feb</t>
  </si>
  <si>
    <t>13-Feb</t>
  </si>
  <si>
    <t>14-Feb</t>
  </si>
  <si>
    <t>15-Feb</t>
  </si>
  <si>
    <t>16-Feb</t>
  </si>
  <si>
    <t>17-Feb</t>
  </si>
  <si>
    <t>18-Feb</t>
  </si>
  <si>
    <t>19-Feb</t>
  </si>
  <si>
    <t>20-Feb</t>
  </si>
  <si>
    <t>21-Feb</t>
  </si>
  <si>
    <t>22-Feb</t>
  </si>
  <si>
    <t>23-Feb</t>
  </si>
  <si>
    <t>24-Feb</t>
  </si>
  <si>
    <t>25-Feb</t>
  </si>
  <si>
    <t>26-Feb</t>
  </si>
  <si>
    <t>27-Feb</t>
  </si>
  <si>
    <t>28-Feb</t>
  </si>
  <si>
    <t>01-Mar</t>
  </si>
  <si>
    <t>02-Mar</t>
  </si>
  <si>
    <t>03-Mar</t>
  </si>
  <si>
    <t>04-Mar</t>
  </si>
  <si>
    <t>05-Mar</t>
  </si>
  <si>
    <t>06-Mar</t>
  </si>
  <si>
    <t>07-Mar</t>
  </si>
  <si>
    <t>08-Mar</t>
  </si>
  <si>
    <t>09-Mar</t>
  </si>
  <si>
    <t>10-Mar</t>
  </si>
  <si>
    <t>11-Mar</t>
  </si>
  <si>
    <t>13-Mar</t>
  </si>
  <si>
    <t>14-Mar</t>
  </si>
  <si>
    <t>15-Mar</t>
  </si>
  <si>
    <t>16-Mar</t>
  </si>
  <si>
    <t>17-Mar</t>
  </si>
  <si>
    <t>19-Mar</t>
  </si>
  <si>
    <t>21-Mar</t>
  </si>
  <si>
    <t>22-Mar</t>
  </si>
  <si>
    <t>23-Mar</t>
  </si>
  <si>
    <t>24-Mar</t>
  </si>
  <si>
    <t>25-Mar</t>
  </si>
  <si>
    <t>26-Mar</t>
  </si>
  <si>
    <t>27-Mar</t>
  </si>
  <si>
    <t>28-Mar</t>
  </si>
  <si>
    <t>29-Mar</t>
  </si>
  <si>
    <t>30-Mar</t>
  </si>
  <si>
    <t>31-Mar</t>
  </si>
  <si>
    <t>01-Apr</t>
  </si>
  <si>
    <t>02-Apr</t>
  </si>
  <si>
    <t>03-Apr</t>
  </si>
  <si>
    <t>04-Apr</t>
  </si>
  <si>
    <t>05-Apr</t>
  </si>
  <si>
    <t>06-Apr</t>
  </si>
  <si>
    <t>07-Apr</t>
  </si>
  <si>
    <t>08-Apr</t>
  </si>
  <si>
    <t>09-Apr</t>
  </si>
  <si>
    <t>10-Apr</t>
  </si>
  <si>
    <t>11-Apr</t>
  </si>
  <si>
    <t>12-Apr</t>
  </si>
  <si>
    <t>13-Apr</t>
  </si>
  <si>
    <t>14-Apr</t>
  </si>
  <si>
    <t>15-Apr</t>
  </si>
  <si>
    <t>16-Apr</t>
  </si>
  <si>
    <t>17-Apr</t>
  </si>
  <si>
    <t>18-Apr</t>
  </si>
  <si>
    <t>19-Apr</t>
  </si>
  <si>
    <t>20-Apr</t>
  </si>
  <si>
    <t>21-Apr</t>
  </si>
  <si>
    <t>22-Apr</t>
  </si>
  <si>
    <t>23-Apr</t>
  </si>
  <si>
    <t>24-Apr</t>
  </si>
  <si>
    <t>25-Apr</t>
  </si>
  <si>
    <t>26-Apr</t>
  </si>
  <si>
    <t>27-Apr</t>
  </si>
  <si>
    <t>28-Apr</t>
  </si>
  <si>
    <t>29-Apr</t>
  </si>
  <si>
    <t>30-Apr</t>
  </si>
  <si>
    <t>01-May</t>
  </si>
  <si>
    <t>02-May</t>
  </si>
  <si>
    <t>03-May</t>
  </si>
  <si>
    <t>04-May</t>
  </si>
  <si>
    <t>05-May</t>
  </si>
  <si>
    <t>06-May</t>
  </si>
  <si>
    <t>07-May</t>
  </si>
  <si>
    <t>08-May</t>
  </si>
  <si>
    <t>09-May</t>
  </si>
  <si>
    <t>10-May</t>
  </si>
  <si>
    <t>11-May</t>
  </si>
  <si>
    <t>12-May</t>
  </si>
  <si>
    <t>13-May</t>
  </si>
  <si>
    <t>14-May</t>
  </si>
  <si>
    <t>15-May</t>
  </si>
  <si>
    <t>16-May</t>
  </si>
  <si>
    <t>17-May</t>
  </si>
  <si>
    <t>18-May</t>
  </si>
  <si>
    <t>19-May</t>
  </si>
  <si>
    <t>20-May</t>
  </si>
  <si>
    <t>21-May</t>
  </si>
  <si>
    <t>22-May</t>
  </si>
  <si>
    <t>23-May</t>
  </si>
  <si>
    <t>24-May</t>
  </si>
  <si>
    <t>25-May</t>
  </si>
  <si>
    <t>26-May</t>
  </si>
  <si>
    <t>27-May</t>
  </si>
  <si>
    <t>28-May</t>
  </si>
  <si>
    <t>29-May</t>
  </si>
  <si>
    <t>30-May</t>
  </si>
  <si>
    <t>31-May</t>
  </si>
  <si>
    <t>01-Jun</t>
  </si>
  <si>
    <t>02-Jun</t>
  </si>
  <si>
    <t>03-Jun</t>
  </si>
  <si>
    <t>04-Jun</t>
  </si>
  <si>
    <t>05-Jun</t>
  </si>
  <si>
    <t>06-Jun</t>
  </si>
  <si>
    <t>07-Jun</t>
  </si>
  <si>
    <t>08-Jun</t>
  </si>
  <si>
    <t>09-Jun</t>
  </si>
  <si>
    <t>10-Jun</t>
  </si>
  <si>
    <t>11-Jun</t>
  </si>
  <si>
    <t>12-Jun</t>
  </si>
  <si>
    <t>13-Jun</t>
  </si>
  <si>
    <t>14-Jun</t>
  </si>
  <si>
    <t>15-Jun</t>
  </si>
  <si>
    <t>16-Jun</t>
  </si>
  <si>
    <t>17-Jun</t>
  </si>
  <si>
    <t>18-Jun</t>
  </si>
  <si>
    <t>19-Jun</t>
  </si>
  <si>
    <t>20-Jun</t>
  </si>
  <si>
    <t>21-Jun</t>
  </si>
  <si>
    <t>22-Jun</t>
  </si>
  <si>
    <t>23-Jun</t>
  </si>
  <si>
    <t>24-Jun</t>
  </si>
  <si>
    <t>25-Jun</t>
  </si>
  <si>
    <t>26-Jun</t>
  </si>
  <si>
    <t>27-Jun</t>
  </si>
  <si>
    <t>28-Jun</t>
  </si>
  <si>
    <t>29-Jun</t>
  </si>
  <si>
    <t>30-Jun</t>
  </si>
  <si>
    <t>01-Jul</t>
  </si>
  <si>
    <t>02-Jul</t>
  </si>
  <si>
    <t>03-Jul</t>
  </si>
  <si>
    <t>04-Jul</t>
  </si>
  <si>
    <t>05-Jul</t>
  </si>
  <si>
    <t>06-Jul</t>
  </si>
  <si>
    <t>07-Jul</t>
  </si>
  <si>
    <t>08-Jul</t>
  </si>
  <si>
    <t>09-Jul</t>
  </si>
  <si>
    <t>10-Jul</t>
  </si>
  <si>
    <t>11-Jul</t>
  </si>
  <si>
    <t>12-Jul</t>
  </si>
  <si>
    <t>13-Jul</t>
  </si>
  <si>
    <t>14-Jul</t>
  </si>
  <si>
    <t>15-Jul</t>
  </si>
  <si>
    <t>16-Jul</t>
  </si>
  <si>
    <t>17-Jul</t>
  </si>
  <si>
    <t>18-Jul</t>
  </si>
  <si>
    <t>19-Jul</t>
  </si>
  <si>
    <t>20-Jul</t>
  </si>
  <si>
    <t>21-Jul</t>
  </si>
  <si>
    <t>22-Jul</t>
  </si>
  <si>
    <t>23-Jul</t>
  </si>
  <si>
    <t>24-Jul</t>
  </si>
  <si>
    <t>25-Jul</t>
  </si>
  <si>
    <t>26-Jul</t>
  </si>
  <si>
    <t>27-Jul</t>
  </si>
  <si>
    <t>28-Jul</t>
  </si>
  <si>
    <t>29-Jul</t>
  </si>
  <si>
    <t>30-Jul</t>
  </si>
  <si>
    <t>31-Jul</t>
  </si>
  <si>
    <t>01-Aug</t>
  </si>
  <si>
    <t>02-Aug</t>
  </si>
  <si>
    <t>03-Aug</t>
  </si>
  <si>
    <t>04-Aug</t>
  </si>
  <si>
    <t>05-Aug</t>
  </si>
  <si>
    <t>06-Aug</t>
  </si>
  <si>
    <t>07-Aug</t>
  </si>
  <si>
    <t>08-Aug</t>
  </si>
  <si>
    <t>09-Aug</t>
  </si>
  <si>
    <t>10-Aug</t>
  </si>
  <si>
    <t>11-Aug</t>
  </si>
  <si>
    <t>12-Aug</t>
  </si>
  <si>
    <t>13-Aug</t>
  </si>
  <si>
    <t>14-Aug</t>
  </si>
  <si>
    <t>15-Aug</t>
  </si>
  <si>
    <t>16-Aug</t>
  </si>
  <si>
    <t>17-Aug</t>
  </si>
  <si>
    <t>18-Aug</t>
  </si>
  <si>
    <t>19-Aug</t>
  </si>
  <si>
    <t>20-Aug</t>
  </si>
  <si>
    <t>21-Aug</t>
  </si>
  <si>
    <t>22-Aug</t>
  </si>
  <si>
    <t>23-Aug</t>
  </si>
  <si>
    <t>24-Aug</t>
  </si>
  <si>
    <t>25-Aug</t>
  </si>
  <si>
    <t>26-Aug</t>
  </si>
  <si>
    <t>27-Aug</t>
  </si>
  <si>
    <t>28-Aug</t>
  </si>
  <si>
    <t>29-Aug</t>
  </si>
  <si>
    <t>30-Aug</t>
  </si>
  <si>
    <t>31-Aug</t>
  </si>
  <si>
    <t>01-Sep</t>
  </si>
  <si>
    <t>03-Sep</t>
  </si>
  <si>
    <t>04-Sep</t>
  </si>
  <si>
    <t>06-Sep</t>
  </si>
  <si>
    <t>07-Sep</t>
  </si>
  <si>
    <t>08-Sep</t>
  </si>
  <si>
    <t>09-Sep</t>
  </si>
  <si>
    <t>10-Sep</t>
  </si>
  <si>
    <t>11-Sep</t>
  </si>
  <si>
    <t>12-Sep</t>
  </si>
  <si>
    <t>13-Sep</t>
  </si>
  <si>
    <t>14-Sep</t>
  </si>
  <si>
    <t>15-Sep</t>
  </si>
  <si>
    <t>16-Sep</t>
  </si>
  <si>
    <t>17-Sep</t>
  </si>
  <si>
    <t>18-Sep</t>
  </si>
  <si>
    <t>19-Sep</t>
  </si>
  <si>
    <t>20-Sep</t>
  </si>
  <si>
    <t>21-Sep</t>
  </si>
  <si>
    <t>22-Sep</t>
  </si>
  <si>
    <t>23-Sep</t>
  </si>
  <si>
    <t>24-Sep</t>
  </si>
  <si>
    <t>25-Sep</t>
  </si>
  <si>
    <t>26-Sep</t>
  </si>
  <si>
    <t>27-Sep</t>
  </si>
  <si>
    <t>28-Sep</t>
  </si>
  <si>
    <t>29-Sep</t>
  </si>
  <si>
    <t>30-Sep</t>
  </si>
  <si>
    <t>01-Oct</t>
  </si>
  <si>
    <t>02-Oct</t>
  </si>
  <si>
    <t>04-Oct</t>
  </si>
  <si>
    <t>05-Oct</t>
  </si>
  <si>
    <t>06-Oct</t>
  </si>
  <si>
    <t>07-Oct</t>
  </si>
  <si>
    <t>08-Oct</t>
  </si>
  <si>
    <t>09-Oct</t>
  </si>
  <si>
    <t>10-Oct</t>
  </si>
  <si>
    <t>11-Oct</t>
  </si>
  <si>
    <t>12-Oct</t>
  </si>
  <si>
    <t>13-Oct</t>
  </si>
  <si>
    <t>14-Oct</t>
  </si>
  <si>
    <t>15-Oct</t>
  </si>
  <si>
    <t>16-Oct</t>
  </si>
  <si>
    <t>17-Oct</t>
  </si>
  <si>
    <t>18-Oct</t>
  </si>
  <si>
    <t>19-Oct</t>
  </si>
  <si>
    <t>20-Oct</t>
  </si>
  <si>
    <t>21-Oct</t>
  </si>
  <si>
    <t>22-Oct</t>
  </si>
  <si>
    <t>23-Oct</t>
  </si>
  <si>
    <t>24-Oct</t>
  </si>
  <si>
    <t>25-Oct</t>
  </si>
  <si>
    <t>26-Oct</t>
  </si>
  <si>
    <t>27-Oct</t>
  </si>
  <si>
    <t>28-Oct</t>
  </si>
  <si>
    <t>29-Oct</t>
  </si>
  <si>
    <t>30-Oct</t>
  </si>
  <si>
    <t>31-Oct</t>
  </si>
  <si>
    <t>01-Nov</t>
  </si>
  <si>
    <t>02-Nov</t>
  </si>
  <si>
    <t>03-Nov</t>
  </si>
  <si>
    <t>04-Nov</t>
  </si>
  <si>
    <t>05-Nov</t>
  </si>
  <si>
    <t>06-Nov</t>
  </si>
  <si>
    <t>07-Nov</t>
  </si>
  <si>
    <t>08-Nov</t>
  </si>
  <si>
    <t>09-Nov</t>
  </si>
  <si>
    <t>10-Nov</t>
  </si>
  <si>
    <t>11-Nov</t>
  </si>
  <si>
    <t>12-Nov</t>
  </si>
  <si>
    <t>13-Nov</t>
  </si>
  <si>
    <t>14-Nov</t>
  </si>
  <si>
    <t>15-Nov</t>
  </si>
  <si>
    <t>16-Nov</t>
  </si>
  <si>
    <t>17-Nov</t>
  </si>
  <si>
    <t>18-Nov</t>
  </si>
  <si>
    <t>19-Nov</t>
  </si>
  <si>
    <t>20-Nov</t>
  </si>
  <si>
    <t>21-Nov</t>
  </si>
  <si>
    <t>22-Nov</t>
  </si>
  <si>
    <t>23-Nov</t>
  </si>
  <si>
    <t>24-Nov</t>
  </si>
  <si>
    <t>25-Nov</t>
  </si>
  <si>
    <t>26-Nov</t>
  </si>
  <si>
    <t>27-Nov</t>
  </si>
  <si>
    <t>28-Nov</t>
  </si>
  <si>
    <t>29-Nov</t>
  </si>
  <si>
    <t>30-Nov</t>
  </si>
  <si>
    <t>01-Dec</t>
  </si>
  <si>
    <t>02-Dec</t>
  </si>
  <si>
    <t>03-Dec</t>
  </si>
  <si>
    <t>04-Dec</t>
  </si>
  <si>
    <t>05-Dec</t>
  </si>
  <si>
    <t>06-Dec</t>
  </si>
  <si>
    <t>07-Dec</t>
  </si>
  <si>
    <t>08-Dec</t>
  </si>
  <si>
    <t>09-Dec</t>
  </si>
  <si>
    <t>10-Dec</t>
  </si>
  <si>
    <t>11-Dec</t>
  </si>
  <si>
    <t>12-Dec</t>
  </si>
  <si>
    <t>13-Dec</t>
  </si>
  <si>
    <t>14-Dec</t>
  </si>
  <si>
    <t>15-Dec</t>
  </si>
  <si>
    <t>16-Dec</t>
  </si>
  <si>
    <t>17-Dec</t>
  </si>
  <si>
    <t>18-Dec</t>
  </si>
  <si>
    <t>19-Dec</t>
  </si>
  <si>
    <t>20-Dec</t>
  </si>
  <si>
    <t>21-Dec</t>
  </si>
  <si>
    <t>22-Dec</t>
  </si>
  <si>
    <t>23-Dec</t>
  </si>
  <si>
    <t>24-Dec</t>
  </si>
  <si>
    <t>25-Dec</t>
  </si>
  <si>
    <t>26-Dec</t>
  </si>
  <si>
    <t>27-Dec</t>
  </si>
  <si>
    <t>28-Dec</t>
  </si>
  <si>
    <t>29-Dec</t>
  </si>
  <si>
    <t>30-Dec</t>
  </si>
  <si>
    <t>31-Dec</t>
  </si>
  <si>
    <t>Sales</t>
  </si>
  <si>
    <t>Completed_Flag</t>
  </si>
  <si>
    <t>Pending_Flag</t>
  </si>
  <si>
    <t>Delayed_Flag</t>
  </si>
  <si>
    <t>Cancelled_Flag</t>
  </si>
  <si>
    <t>TOTAL SALES</t>
  </si>
  <si>
    <t>TOTAL ORDERS</t>
  </si>
  <si>
    <t>TOTAL PROFIT</t>
  </si>
  <si>
    <t>COMPLETED ORDERS</t>
  </si>
  <si>
    <t>PENDING ORDERS</t>
  </si>
  <si>
    <t>AVG TAT</t>
  </si>
  <si>
    <t>Completion %</t>
  </si>
  <si>
    <t>Sum of Profit</t>
  </si>
  <si>
    <t>Avg TAT Hours</t>
  </si>
  <si>
    <t>Net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</si>
</sst>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₹&quot;\ #,##0.00"/>
    <numFmt numFmtId="165" formatCode="0.0"/>
    <numFmt numFmtId="166" formatCode="&quot;₹&quot;\ #,##0"/>
    <numFmt numFmtId="167" formatCode="[$-10409]hh:mm\ AM/PM;@"/>
    <numFmt numFmtId="168" formatCode="[$-14009]dd\ mmmm\ yyyy;@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4"/>
      <color theme="0" tint="-4.9989318521683403E-2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1" tint="0.499984740745262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9">
    <xf numFmtId="0" fontId="0" fillId="0" borderId="0" xfId="0"/>
    <xf numFmtId="14" fontId="0" fillId="0" borderId="0" xfId="0" applyNumberFormat="1"/>
    <xf numFmtId="22" fontId="0" fillId="0" borderId="0" xfId="0" applyNumberFormat="1"/>
    <xf numFmtId="0" fontId="16" fillId="0" borderId="0" xfId="0" applyFont="1"/>
    <xf numFmtId="164" fontId="0" fillId="0" borderId="0" xfId="0" applyNumberFormat="1"/>
    <xf numFmtId="164" fontId="16" fillId="0" borderId="0" xfId="0" applyNumberFormat="1" applyFont="1"/>
    <xf numFmtId="1" fontId="16" fillId="0" borderId="0" xfId="0" applyNumberFormat="1" applyFont="1"/>
    <xf numFmtId="1" fontId="0" fillId="0" borderId="0" xfId="0" applyNumberFormat="1"/>
    <xf numFmtId="14" fontId="16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167" fontId="0" fillId="0" borderId="0" xfId="0" applyNumberFormat="1"/>
    <xf numFmtId="166" fontId="0" fillId="0" borderId="0" xfId="0" applyNumberFormat="1"/>
    <xf numFmtId="0" fontId="18" fillId="34" borderId="15" xfId="0" applyFont="1" applyFill="1" applyBorder="1" applyAlignment="1">
      <alignment horizontal="center" vertical="center"/>
    </xf>
    <xf numFmtId="0" fontId="18" fillId="34" borderId="0" xfId="0" applyFont="1" applyFill="1" applyAlignment="1">
      <alignment horizontal="center" vertical="center"/>
    </xf>
    <xf numFmtId="0" fontId="19" fillId="33" borderId="13" xfId="0" applyFont="1" applyFill="1" applyBorder="1" applyAlignment="1">
      <alignment horizontal="center" vertical="center"/>
    </xf>
    <xf numFmtId="0" fontId="19" fillId="33" borderId="14" xfId="0" applyFont="1" applyFill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166" fontId="19" fillId="0" borderId="11" xfId="0" applyNumberFormat="1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165" fontId="19" fillId="0" borderId="12" xfId="0" applyNumberFormat="1" applyFont="1" applyBorder="1" applyAlignment="1">
      <alignment horizontal="center" vertical="center"/>
    </xf>
    <xf numFmtId="10" fontId="19" fillId="0" borderId="0" xfId="0" applyNumberFormat="1" applyFont="1"/>
    <xf numFmtId="9" fontId="16" fillId="0" borderId="0" xfId="0" applyNumberFormat="1" applyFont="1"/>
    <xf numFmtId="9" fontId="0" fillId="0" borderId="0" xfId="0" applyNumberFormat="1"/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3" formatCode="0%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9" formatCode="dd/mm/yyyy"/>
    </dxf>
    <dxf>
      <numFmt numFmtId="27" formatCode="dd/mm/yyyy\ hh:mm"/>
    </dxf>
    <dxf>
      <numFmt numFmtId="1" formatCode="0"/>
    </dxf>
    <dxf>
      <numFmt numFmtId="1" formatCode="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" formatCode="0"/>
    </dxf>
    <dxf>
      <numFmt numFmtId="1" formatCode="0"/>
    </dxf>
    <dxf>
      <numFmt numFmtId="19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[MIS Project.xlsx]Monthly MIS!PivotTable5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MONTHLY SALES TREND</a:t>
            </a:r>
          </a:p>
        </c:rich>
      </c:tx>
      <c:layout>
        <c:manualLayout>
          <c:xMode val="edge"/>
          <c:yMode val="edge"/>
          <c:x val="0.42757751239196418"/>
          <c:y val="0.1008311461067366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'Monthly MIS'!$B$3</c:f>
              <c:strCache>
                <c:ptCount val="1"/>
                <c:pt idx="0">
                  <c:v>Orders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'Monthly MIS'!$A$4:$A$16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'Monthly MIS'!$B$4:$B$16</c:f>
              <c:numCache>
                <c:formatCode>General</c:formatCode>
                <c:ptCount val="12"/>
                <c:pt idx="0">
                  <c:v>123</c:v>
                </c:pt>
                <c:pt idx="1">
                  <c:v>125</c:v>
                </c:pt>
                <c:pt idx="2">
                  <c:v>98</c:v>
                </c:pt>
                <c:pt idx="3">
                  <c:v>137</c:v>
                </c:pt>
                <c:pt idx="4">
                  <c:v>138</c:v>
                </c:pt>
                <c:pt idx="5">
                  <c:v>132</c:v>
                </c:pt>
                <c:pt idx="6">
                  <c:v>107</c:v>
                </c:pt>
                <c:pt idx="7">
                  <c:v>142</c:v>
                </c:pt>
                <c:pt idx="8">
                  <c:v>121</c:v>
                </c:pt>
                <c:pt idx="9">
                  <c:v>131</c:v>
                </c:pt>
                <c:pt idx="10">
                  <c:v>120</c:v>
                </c:pt>
                <c:pt idx="11">
                  <c:v>126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F2-469C-B89B-69A08B971D7F}"/>
            </c:ext>
          </c:extLst>
        </c:ser>
        <c:ser>
          <c:idx val="1"/>
          <c:order val="1"/>
          <c:tx>
            <c:strRef>
              <c:f>'Monthly MIS'!$C$3</c:f>
              <c:strCache>
                <c:ptCount val="1"/>
                <c:pt idx="0">
                  <c:v>Sales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'Monthly MIS'!$A$4:$A$16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'Monthly MIS'!$C$4:$C$16</c:f>
              <c:numCache>
                <c:formatCode>"₹"\ #,##0</c:formatCode>
                <c:ptCount val="12"/>
                <c:pt idx="0">
                  <c:v>1881520.2699999984</c:v>
                </c:pt>
                <c:pt idx="1">
                  <c:v>2145980.7400000002</c:v>
                </c:pt>
                <c:pt idx="2">
                  <c:v>1446389.42</c:v>
                </c:pt>
                <c:pt idx="3">
                  <c:v>2096996.5799999991</c:v>
                </c:pt>
                <c:pt idx="4">
                  <c:v>2241453.1800000002</c:v>
                </c:pt>
                <c:pt idx="5">
                  <c:v>2189682.2800000003</c:v>
                </c:pt>
                <c:pt idx="6">
                  <c:v>1578357.1100000003</c:v>
                </c:pt>
                <c:pt idx="7">
                  <c:v>2263949.4799999995</c:v>
                </c:pt>
                <c:pt idx="8">
                  <c:v>1853111.7600000005</c:v>
                </c:pt>
                <c:pt idx="9">
                  <c:v>1860227.6699999995</c:v>
                </c:pt>
                <c:pt idx="10">
                  <c:v>1902034.15</c:v>
                </c:pt>
                <c:pt idx="11">
                  <c:v>1886145.8599999999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FF2-469C-B89B-69A08B971D7F}"/>
            </c:ext>
          </c:extLst>
        </c:ser>
        <c:ser>
          <c:idx val="2"/>
          <c:order val="2"/>
          <c:tx>
            <c:strRef>
              <c:f>'Monthly MIS'!$D$3</c:f>
              <c:strCache>
                <c:ptCount val="1"/>
                <c:pt idx="0">
                  <c:v>Profits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'Monthly MIS'!$A$4:$A$16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'Monthly MIS'!$D$4:$D$16</c:f>
              <c:numCache>
                <c:formatCode>"₹"\ #,##0</c:formatCode>
                <c:ptCount val="12"/>
                <c:pt idx="0">
                  <c:v>558167.25999999989</c:v>
                </c:pt>
                <c:pt idx="1">
                  <c:v>583742.2300000001</c:v>
                </c:pt>
                <c:pt idx="2">
                  <c:v>408285.65000000008</c:v>
                </c:pt>
                <c:pt idx="3">
                  <c:v>585908.33000000007</c:v>
                </c:pt>
                <c:pt idx="4">
                  <c:v>645913.34</c:v>
                </c:pt>
                <c:pt idx="5">
                  <c:v>630337.29999999993</c:v>
                </c:pt>
                <c:pt idx="6">
                  <c:v>448112.54000000004</c:v>
                </c:pt>
                <c:pt idx="7">
                  <c:v>644713.74</c:v>
                </c:pt>
                <c:pt idx="8">
                  <c:v>518129.13000000006</c:v>
                </c:pt>
                <c:pt idx="9">
                  <c:v>527672.25999999966</c:v>
                </c:pt>
                <c:pt idx="10">
                  <c:v>539650.72999999963</c:v>
                </c:pt>
                <c:pt idx="11">
                  <c:v>544479.87000000011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FF2-469C-B89B-69A08B971D7F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825305920"/>
        <c:axId val="1812370192"/>
      </c:lineChart>
      <c:catAx>
        <c:axId val="825305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2370192"/>
        <c:crosses val="autoZero"/>
        <c:auto val="1"/>
        <c:lblAlgn val="ctr"/>
        <c:lblOffset val="100"/>
        <c:noMultiLvlLbl val="0"/>
      </c:catAx>
      <c:valAx>
        <c:axId val="1812370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53059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[MIS Project.xlsx]Category  wise sales!PivotTable2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Category</a:t>
            </a:r>
            <a:r>
              <a:rPr lang="en-IN" baseline="0"/>
              <a:t> wise Sales</a:t>
            </a:r>
            <a:endParaRPr lang="en-IN"/>
          </a:p>
        </c:rich>
      </c:tx>
      <c:layout>
        <c:manualLayout>
          <c:xMode val="edge"/>
          <c:yMode val="edge"/>
          <c:x val="0.26167078664801652"/>
          <c:y val="6.389763779527558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-3.6407699037620297E-2"/>
              <c:y val="9.9854184893554979E-2"/>
            </c:manualLayout>
          </c:layout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-5.6097112860892494E-2"/>
              <c:y val="-5.8785360163312921E-2"/>
            </c:manualLayout>
          </c:layout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3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1.6301618547681487E-2"/>
              <c:y val="-1.4635097696121318E-2"/>
            </c:manualLayout>
          </c:layout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4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4.9704068241469813E-2"/>
              <c:y val="-1.348753280839895E-2"/>
            </c:manualLayout>
          </c:layout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5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5.8533245844269444E-2"/>
              <c:y val="0.1100100247885681"/>
            </c:manualLayout>
          </c:layout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8155555555555555"/>
                  <c:h val="0.16393518518518516"/>
                </c:manualLayout>
              </c15:layout>
            </c:ext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'Category  wise sales'!$B$2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2321-463A-AAC9-92A0E9C74F7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2321-463A-AAC9-92A0E9C74F7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2321-463A-AAC9-92A0E9C74F7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2321-463A-AAC9-92A0E9C74F7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2321-463A-AAC9-92A0E9C74F74}"/>
              </c:ext>
            </c:extLst>
          </c:dPt>
          <c:dLbls>
            <c:dLbl>
              <c:idx val="0"/>
              <c:layout>
                <c:manualLayout>
                  <c:x val="-3.6407699037620297E-2"/>
                  <c:y val="9.9854184893554979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321-463A-AAC9-92A0E9C74F74}"/>
                </c:ext>
              </c:extLst>
            </c:dLbl>
            <c:dLbl>
              <c:idx val="1"/>
              <c:layout>
                <c:manualLayout>
                  <c:x val="-5.6097112860892494E-2"/>
                  <c:y val="-5.8785360163312921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321-463A-AAC9-92A0E9C74F74}"/>
                </c:ext>
              </c:extLst>
            </c:dLbl>
            <c:dLbl>
              <c:idx val="2"/>
              <c:layout>
                <c:manualLayout>
                  <c:x val="1.6301618547681487E-2"/>
                  <c:y val="-1.4635097696121318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321-463A-AAC9-92A0E9C74F74}"/>
                </c:ext>
              </c:extLst>
            </c:dLbl>
            <c:dLbl>
              <c:idx val="3"/>
              <c:layout>
                <c:manualLayout>
                  <c:x val="4.9704068241469813E-2"/>
                  <c:y val="-1.348753280839895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2321-463A-AAC9-92A0E9C74F74}"/>
                </c:ext>
              </c:extLst>
            </c:dLbl>
            <c:dLbl>
              <c:idx val="4"/>
              <c:layout>
                <c:manualLayout>
                  <c:x val="5.8533245844269444E-2"/>
                  <c:y val="0.1100100247885681"/>
                </c:manualLayout>
              </c:layout>
              <c:spPr>
                <a:pattFill prst="pct75">
                  <a:fgClr>
                    <a:sysClr val="windowText" lastClr="000000">
                      <a:lumMod val="75000"/>
                      <a:lumOff val="25000"/>
                    </a:sysClr>
                  </a:fgClr>
                  <a:bgClr>
                    <a:sysClr val="windowText" lastClr="000000">
                      <a:lumMod val="65000"/>
                      <a:lumOff val="35000"/>
                    </a:sysClr>
                  </a:bgClr>
                </a:pattFill>
                <a:ln>
                  <a:noFill/>
                </a:ln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8155555555555555"/>
                      <c:h val="0.16393518518518516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9-2321-463A-AAC9-92A0E9C74F74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'Category  wise sales'!$A$3:$A$8</c:f>
              <c:strCache>
                <c:ptCount val="5"/>
                <c:pt idx="0">
                  <c:v>Beauty</c:v>
                </c:pt>
                <c:pt idx="1">
                  <c:v>Electronics</c:v>
                </c:pt>
                <c:pt idx="2">
                  <c:v>Fashion</c:v>
                </c:pt>
                <c:pt idx="3">
                  <c:v>Home &amp; Kitchen</c:v>
                </c:pt>
                <c:pt idx="4">
                  <c:v>Office Supplies</c:v>
                </c:pt>
              </c:strCache>
            </c:strRef>
          </c:cat>
          <c:val>
            <c:numRef>
              <c:f>'Category  wise sales'!$B$3:$B$8</c:f>
              <c:numCache>
                <c:formatCode>"₹"\ #,##0</c:formatCode>
                <c:ptCount val="5"/>
                <c:pt idx="0">
                  <c:v>4478609.8900000015</c:v>
                </c:pt>
                <c:pt idx="1">
                  <c:v>5092164.9499999983</c:v>
                </c:pt>
                <c:pt idx="2">
                  <c:v>4610228.4399999995</c:v>
                </c:pt>
                <c:pt idx="3">
                  <c:v>4106242.8499999982</c:v>
                </c:pt>
                <c:pt idx="4">
                  <c:v>5058602.370000002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2321-463A-AAC9-92A0E9C74F74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[MIS Project.xlsx]City wise performance!PivotTable3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Profits by city</a:t>
            </a:r>
          </a:p>
        </c:rich>
      </c:tx>
      <c:layout>
        <c:manualLayout>
          <c:xMode val="edge"/>
          <c:yMode val="edge"/>
          <c:x val="0.41041051591942934"/>
          <c:y val="5.34710065282279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circle"/>
          <c:size val="6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dLbl>
          <c:idx val="0"/>
          <c:layout>
            <c:manualLayout>
              <c:x val="5.117478256019399E-2"/>
              <c:y val="-0.1884960390834390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dLbl>
          <c:idx val="0"/>
          <c:layout>
            <c:manualLayout>
              <c:x val="5.3868192168625255E-3"/>
              <c:y val="-0.1636939286777233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dLbl>
          <c:idx val="0"/>
          <c:layout>
            <c:manualLayout>
              <c:x val="1.3467048042156314E-2"/>
              <c:y val="-0.1934564611645821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dLbl>
          <c:idx val="0"/>
          <c:layout>
            <c:manualLayout>
              <c:x val="2.6934096084312627E-3"/>
              <c:y val="-0.238100259894870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dLbl>
          <c:idx val="0"/>
          <c:layout>
            <c:manualLayout>
              <c:x val="-2.6934096084312627E-3"/>
              <c:y val="-0.1884960390834390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dLbl>
          <c:idx val="0"/>
          <c:layout>
            <c:manualLayout>
              <c:x val="0"/>
              <c:y val="-0.2430606819760134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dLbl>
          <c:idx val="0"/>
          <c:layout>
            <c:manualLayout>
              <c:x val="0"/>
              <c:y val="-0.1984168832457252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dLbl>
          <c:idx val="0"/>
          <c:layout>
            <c:manualLayout>
              <c:x val="5.3868192168625255E-3"/>
              <c:y val="-0.16865435075886645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'City wise performance'!$B$2</c:f>
              <c:strCache>
                <c:ptCount val="1"/>
                <c:pt idx="0">
                  <c:v>Total</c:v>
                </c:pt>
              </c:strCache>
            </c:strRef>
          </c:tx>
          <c:spPr>
            <a:pattFill prst="narHorz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dLbls>
            <c:dLbl>
              <c:idx val="0"/>
              <c:layout>
                <c:manualLayout>
                  <c:x val="-2.6934096084312627E-3"/>
                  <c:y val="-0.1884960390834390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173-4257-A800-FCF8C4AC0A8C}"/>
                </c:ext>
              </c:extLst>
            </c:dLbl>
            <c:dLbl>
              <c:idx val="1"/>
              <c:layout>
                <c:manualLayout>
                  <c:x val="0"/>
                  <c:y val="-0.2430606819760134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7173-4257-A800-FCF8C4AC0A8C}"/>
                </c:ext>
              </c:extLst>
            </c:dLbl>
            <c:dLbl>
              <c:idx val="2"/>
              <c:layout>
                <c:manualLayout>
                  <c:x val="0"/>
                  <c:y val="-0.1984168832457252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7173-4257-A800-FCF8C4AC0A8C}"/>
                </c:ext>
              </c:extLst>
            </c:dLbl>
            <c:dLbl>
              <c:idx val="3"/>
              <c:layout>
                <c:manualLayout>
                  <c:x val="5.3868192168625255E-3"/>
                  <c:y val="-0.1686543507588664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7173-4257-A800-FCF8C4AC0A8C}"/>
                </c:ext>
              </c:extLst>
            </c:dLbl>
            <c:dLbl>
              <c:idx val="4"/>
              <c:layout>
                <c:manualLayout>
                  <c:x val="2.6934096084312627E-3"/>
                  <c:y val="-0.238100259894870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173-4257-A800-FCF8C4AC0A8C}"/>
                </c:ext>
              </c:extLst>
            </c:dLbl>
            <c:dLbl>
              <c:idx val="5"/>
              <c:layout>
                <c:manualLayout>
                  <c:x val="1.3467048042156314E-2"/>
                  <c:y val="-0.1934564611645821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173-4257-A800-FCF8C4AC0A8C}"/>
                </c:ext>
              </c:extLst>
            </c:dLbl>
            <c:dLbl>
              <c:idx val="6"/>
              <c:layout>
                <c:manualLayout>
                  <c:x val="5.3868192168625255E-3"/>
                  <c:y val="-0.1636939286777233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173-4257-A800-FCF8C4AC0A8C}"/>
                </c:ext>
              </c:extLst>
            </c:dLbl>
            <c:dLbl>
              <c:idx val="7"/>
              <c:layout>
                <c:manualLayout>
                  <c:x val="5.117478256019399E-2"/>
                  <c:y val="-0.1884960390834390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173-4257-A800-FCF8C4AC0A8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'City wise performance'!$A$3:$A$11</c:f>
              <c:strCache>
                <c:ptCount val="8"/>
                <c:pt idx="0">
                  <c:v>Ahmedabad</c:v>
                </c:pt>
                <c:pt idx="1">
                  <c:v>Bengaluru</c:v>
                </c:pt>
                <c:pt idx="2">
                  <c:v>Chennai</c:v>
                </c:pt>
                <c:pt idx="3">
                  <c:v>Delhi</c:v>
                </c:pt>
                <c:pt idx="4">
                  <c:v>Hyderabad</c:v>
                </c:pt>
                <c:pt idx="5">
                  <c:v>Kolkata</c:v>
                </c:pt>
                <c:pt idx="6">
                  <c:v>Mumbai</c:v>
                </c:pt>
                <c:pt idx="7">
                  <c:v>Pune</c:v>
                </c:pt>
              </c:strCache>
            </c:strRef>
          </c:cat>
          <c:val>
            <c:numRef>
              <c:f>'City wise performance'!$B$3:$B$11</c:f>
              <c:numCache>
                <c:formatCode>"₹"\ #,##0</c:formatCode>
                <c:ptCount val="8"/>
                <c:pt idx="0">
                  <c:v>827521.93999999971</c:v>
                </c:pt>
                <c:pt idx="1">
                  <c:v>937402.82999999984</c:v>
                </c:pt>
                <c:pt idx="2">
                  <c:v>867964.17999999959</c:v>
                </c:pt>
                <c:pt idx="3">
                  <c:v>808320.68000000028</c:v>
                </c:pt>
                <c:pt idx="4">
                  <c:v>846620.28000000038</c:v>
                </c:pt>
                <c:pt idx="5">
                  <c:v>828194.89999999991</c:v>
                </c:pt>
                <c:pt idx="6">
                  <c:v>672916.47000000009</c:v>
                </c:pt>
                <c:pt idx="7">
                  <c:v>846171.1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73-4257-A800-FCF8C4AC0A8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821523328"/>
        <c:axId val="1812376432"/>
      </c:barChart>
      <c:catAx>
        <c:axId val="1821523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2376432"/>
        <c:crosses val="autoZero"/>
        <c:auto val="1"/>
        <c:lblAlgn val="ctr"/>
        <c:lblOffset val="100"/>
        <c:noMultiLvlLbl val="0"/>
      </c:catAx>
      <c:valAx>
        <c:axId val="1812376432"/>
        <c:scaling>
          <c:orientation val="minMax"/>
        </c:scaling>
        <c:delete val="0"/>
        <c:axPos val="l"/>
        <c:majorGridlines>
          <c:spPr>
            <a:ln>
              <a:solidFill>
                <a:schemeClr val="tx1">
                  <a:lumMod val="15000"/>
                  <a:lumOff val="85000"/>
                </a:schemeClr>
              </a:solidFill>
            </a:ln>
            <a:effectLst/>
          </c:spPr>
        </c:majorGridlines>
        <c:numFmt formatCode="&quot;₹&quot;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1523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9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pattFill prst="ltDn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>
        <a:solidFill>
          <a:schemeClr val="phClr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6755</xdr:colOff>
      <xdr:row>0</xdr:row>
      <xdr:rowOff>12330</xdr:rowOff>
    </xdr:from>
    <xdr:ext cx="9116467" cy="530193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E804E0D-B5FC-BC33-4376-0D53A847072C}"/>
            </a:ext>
          </a:extLst>
        </xdr:cNvPr>
        <xdr:cNvSpPr txBox="1"/>
      </xdr:nvSpPr>
      <xdr:spPr>
        <a:xfrm>
          <a:off x="1006542" y="12330"/>
          <a:ext cx="9116467" cy="530193"/>
        </a:xfrm>
        <a:prstGeom prst="rect">
          <a:avLst/>
        </a:prstGeom>
        <a:solidFill>
          <a:schemeClr val="tx2">
            <a:lumMod val="90000"/>
            <a:lumOff val="1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IN" sz="20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E-COMMERCE OPERATIONS MIS DASHBOARD</a:t>
          </a:r>
        </a:p>
        <a:p>
          <a:pPr algn="ctr"/>
          <a:r>
            <a:rPr lang="en-IN" sz="1000" b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Management Overview</a:t>
          </a:r>
        </a:p>
      </xdr:txBody>
    </xdr:sp>
    <xdr:clientData/>
  </xdr:oneCellAnchor>
  <xdr:twoCellAnchor>
    <xdr:from>
      <xdr:col>0</xdr:col>
      <xdr:colOff>991982</xdr:colOff>
      <xdr:row>5</xdr:row>
      <xdr:rowOff>2556</xdr:rowOff>
    </xdr:from>
    <xdr:to>
      <xdr:col>14</xdr:col>
      <xdr:colOff>607389</xdr:colOff>
      <xdr:row>17</xdr:row>
      <xdr:rowOff>168883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A2FA789-DBAF-433A-BE96-A2A56F6C2D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989023</xdr:colOff>
      <xdr:row>18</xdr:row>
      <xdr:rowOff>6755</xdr:rowOff>
    </xdr:from>
    <xdr:to>
      <xdr:col>8</xdr:col>
      <xdr:colOff>9621</xdr:colOff>
      <xdr:row>31</xdr:row>
      <xdr:rowOff>175638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E4B4976D-7B42-494B-876C-182565427E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8471</xdr:colOff>
      <xdr:row>18</xdr:row>
      <xdr:rowOff>0</xdr:rowOff>
    </xdr:from>
    <xdr:to>
      <xdr:col>14</xdr:col>
      <xdr:colOff>605231</xdr:colOff>
      <xdr:row>32</xdr:row>
      <xdr:rowOff>6755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50CB860F-EF65-43A0-9A84-891BDCF3AC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irajuddin" refreshedDate="46246.500006018519" createdVersion="8" refreshedVersion="8" minRefreshableVersion="3" recordCount="1500" xr:uid="{B4BA5568-DBD9-4204-9858-D44FE3F0EB8C}">
  <cacheSource type="worksheet">
    <worksheetSource name="orders"/>
  </cacheSource>
  <cacheFields count="25">
    <cacheField name="Order_ID" numFmtId="0">
      <sharedItems count="1500">
        <s v="ORD00001"/>
        <s v="ORD00002"/>
        <s v="ORD00003"/>
        <s v="ORD00004"/>
        <s v="ORD00005"/>
        <s v="ORD00006"/>
        <s v="ORD00007"/>
        <s v="ORD00008"/>
        <s v="ORD00009"/>
        <s v="ORD00010"/>
        <s v="ORD00011"/>
        <s v="ORD00012"/>
        <s v="ORD00013"/>
        <s v="ORD00014"/>
        <s v="ORD00015"/>
        <s v="ORD00016"/>
        <s v="ORD00017"/>
        <s v="ORD00018"/>
        <s v="ORD00019"/>
        <s v="ORD00020"/>
        <s v="ORD00021"/>
        <s v="ORD00022"/>
        <s v="ORD00023"/>
        <s v="ORD00024"/>
        <s v="ORD00025"/>
        <s v="ORD00026"/>
        <s v="ORD00027"/>
        <s v="ORD00028"/>
        <s v="ORD00029"/>
        <s v="ORD00030"/>
        <s v="ORD00031"/>
        <s v="ORD00032"/>
        <s v="ORD00033"/>
        <s v="ORD00034"/>
        <s v="ORD00035"/>
        <s v="ORD00036"/>
        <s v="ORD00037"/>
        <s v="ORD00038"/>
        <s v="ORD00039"/>
        <s v="ORD00040"/>
        <s v="ORD00041"/>
        <s v="ORD00042"/>
        <s v="ORD00043"/>
        <s v="ORD00044"/>
        <s v="ORD00045"/>
        <s v="ORD00046"/>
        <s v="ORD00047"/>
        <s v="ORD00048"/>
        <s v="ORD00049"/>
        <s v="ORD00050"/>
        <s v="ORD00051"/>
        <s v="ORD00052"/>
        <s v="ORD00053"/>
        <s v="ORD00054"/>
        <s v="ORD00055"/>
        <s v="ORD00056"/>
        <s v="ORD00057"/>
        <s v="ORD00058"/>
        <s v="ORD00059"/>
        <s v="ORD00060"/>
        <s v="ORD00061"/>
        <s v="ORD00062"/>
        <s v="ORD00063"/>
        <s v="ORD00064"/>
        <s v="ORD00065"/>
        <s v="ORD00066"/>
        <s v="ORD00067"/>
        <s v="ORD00068"/>
        <s v="ORD00069"/>
        <s v="ORD00070"/>
        <s v="ORD00071"/>
        <s v="ORD00072"/>
        <s v="ORD00073"/>
        <s v="ORD00074"/>
        <s v="ORD00075"/>
        <s v="ORD00076"/>
        <s v="ORD00077"/>
        <s v="ORD00078"/>
        <s v="ORD00079"/>
        <s v="ORD00080"/>
        <s v="ORD00081"/>
        <s v="ORD00082"/>
        <s v="ORD00083"/>
        <s v="ORD00084"/>
        <s v="ORD00085"/>
        <s v="ORD00086"/>
        <s v="ORD00087"/>
        <s v="ORD00088"/>
        <s v="ORD00089"/>
        <s v="ORD00090"/>
        <s v="ORD00091"/>
        <s v="ORD00092"/>
        <s v="ORD00093"/>
        <s v="ORD00094"/>
        <s v="ORD00095"/>
        <s v="ORD00096"/>
        <s v="ORD00097"/>
        <s v="ORD00098"/>
        <s v="ORD00099"/>
        <s v="ORD00100"/>
        <s v="ORD00101"/>
        <s v="ORD00102"/>
        <s v="ORD00103"/>
        <s v="ORD00104"/>
        <s v="ORD00105"/>
        <s v="ORD00106"/>
        <s v="ORD00107"/>
        <s v="ORD00108"/>
        <s v="ORD00109"/>
        <s v="ORD00110"/>
        <s v="ORD00111"/>
        <s v="ORD00112"/>
        <s v="ORD00113"/>
        <s v="ORD00114"/>
        <s v="ORD00115"/>
        <s v="ORD00116"/>
        <s v="ORD00117"/>
        <s v="ORD00118"/>
        <s v="ORD00119"/>
        <s v="ORD00120"/>
        <s v="ORD00121"/>
        <s v="ORD00122"/>
        <s v="ORD00123"/>
        <s v="ORD00124"/>
        <s v="ORD00125"/>
        <s v="ORD00126"/>
        <s v="ORD00127"/>
        <s v="ORD00128"/>
        <s v="ORD00129"/>
        <s v="ORD00130"/>
        <s v="ORD00131"/>
        <s v="ORD00132"/>
        <s v="ORD00133"/>
        <s v="ORD00134"/>
        <s v="ORD00135"/>
        <s v="ORD00136"/>
        <s v="ORD00137"/>
        <s v="ORD00138"/>
        <s v="ORD00139"/>
        <s v="ORD00140"/>
        <s v="ORD00141"/>
        <s v="ORD00142"/>
        <s v="ORD00143"/>
        <s v="ORD00144"/>
        <s v="ORD00145"/>
        <s v="ORD00146"/>
        <s v="ORD00147"/>
        <s v="ORD00148"/>
        <s v="ORD00149"/>
        <s v="ORD00150"/>
        <s v="ORD00151"/>
        <s v="ORD00152"/>
        <s v="ORD00153"/>
        <s v="ORD00154"/>
        <s v="ORD00155"/>
        <s v="ORD00156"/>
        <s v="ORD00157"/>
        <s v="ORD00158"/>
        <s v="ORD00159"/>
        <s v="ORD00160"/>
        <s v="ORD00161"/>
        <s v="ORD00162"/>
        <s v="ORD00163"/>
        <s v="ORD00164"/>
        <s v="ORD00165"/>
        <s v="ORD00166"/>
        <s v="ORD00167"/>
        <s v="ORD00168"/>
        <s v="ORD00169"/>
        <s v="ORD00170"/>
        <s v="ORD00171"/>
        <s v="ORD00172"/>
        <s v="ORD00173"/>
        <s v="ORD00174"/>
        <s v="ORD00175"/>
        <s v="ORD00176"/>
        <s v="ORD00177"/>
        <s v="ORD00178"/>
        <s v="ORD00179"/>
        <s v="ORD00180"/>
        <s v="ORD00181"/>
        <s v="ORD00182"/>
        <s v="ORD00183"/>
        <s v="ORD00184"/>
        <s v="ORD00185"/>
        <s v="ORD00186"/>
        <s v="ORD00187"/>
        <s v="ORD00188"/>
        <s v="ORD00189"/>
        <s v="ORD00190"/>
        <s v="ORD00191"/>
        <s v="ORD00192"/>
        <s v="ORD00193"/>
        <s v="ORD00194"/>
        <s v="ORD00195"/>
        <s v="ORD00196"/>
        <s v="ORD00197"/>
        <s v="ORD00198"/>
        <s v="ORD00199"/>
        <s v="ORD00200"/>
        <s v="ORD00201"/>
        <s v="ORD00202"/>
        <s v="ORD00203"/>
        <s v="ORD00204"/>
        <s v="ORD00205"/>
        <s v="ORD00206"/>
        <s v="ORD00207"/>
        <s v="ORD00208"/>
        <s v="ORD00209"/>
        <s v="ORD00210"/>
        <s v="ORD00211"/>
        <s v="ORD00212"/>
        <s v="ORD00213"/>
        <s v="ORD00214"/>
        <s v="ORD00215"/>
        <s v="ORD00216"/>
        <s v="ORD00217"/>
        <s v="ORD00218"/>
        <s v="ORD00219"/>
        <s v="ORD00220"/>
        <s v="ORD00221"/>
        <s v="ORD00222"/>
        <s v="ORD00223"/>
        <s v="ORD00224"/>
        <s v="ORD00225"/>
        <s v="ORD00226"/>
        <s v="ORD00227"/>
        <s v="ORD00228"/>
        <s v="ORD00229"/>
        <s v="ORD00230"/>
        <s v="ORD00231"/>
        <s v="ORD00232"/>
        <s v="ORD00233"/>
        <s v="ORD00234"/>
        <s v="ORD00235"/>
        <s v="ORD00236"/>
        <s v="ORD00237"/>
        <s v="ORD00238"/>
        <s v="ORD00239"/>
        <s v="ORD00240"/>
        <s v="ORD00241"/>
        <s v="ORD00242"/>
        <s v="ORD00243"/>
        <s v="ORD00244"/>
        <s v="ORD00245"/>
        <s v="ORD00246"/>
        <s v="ORD00247"/>
        <s v="ORD00248"/>
        <s v="ORD00249"/>
        <s v="ORD00250"/>
        <s v="ORD00251"/>
        <s v="ORD00252"/>
        <s v="ORD00253"/>
        <s v="ORD00254"/>
        <s v="ORD00255"/>
        <s v="ORD00256"/>
        <s v="ORD00257"/>
        <s v="ORD00258"/>
        <s v="ORD00259"/>
        <s v="ORD00260"/>
        <s v="ORD00261"/>
        <s v="ORD00262"/>
        <s v="ORD00263"/>
        <s v="ORD00264"/>
        <s v="ORD00265"/>
        <s v="ORD00266"/>
        <s v="ORD00267"/>
        <s v="ORD00268"/>
        <s v="ORD00269"/>
        <s v="ORD00270"/>
        <s v="ORD00271"/>
        <s v="ORD00272"/>
        <s v="ORD00273"/>
        <s v="ORD00274"/>
        <s v="ORD00275"/>
        <s v="ORD00276"/>
        <s v="ORD00277"/>
        <s v="ORD00278"/>
        <s v="ORD00279"/>
        <s v="ORD00280"/>
        <s v="ORD00281"/>
        <s v="ORD00282"/>
        <s v="ORD00283"/>
        <s v="ORD00284"/>
        <s v="ORD00285"/>
        <s v="ORD00286"/>
        <s v="ORD00287"/>
        <s v="ORD00288"/>
        <s v="ORD00289"/>
        <s v="ORD00290"/>
        <s v="ORD00291"/>
        <s v="ORD00292"/>
        <s v="ORD00293"/>
        <s v="ORD00294"/>
        <s v="ORD00295"/>
        <s v="ORD00296"/>
        <s v="ORD00297"/>
        <s v="ORD00298"/>
        <s v="ORD00299"/>
        <s v="ORD00300"/>
        <s v="ORD00301"/>
        <s v="ORD00302"/>
        <s v="ORD00303"/>
        <s v="ORD00304"/>
        <s v="ORD00305"/>
        <s v="ORD00306"/>
        <s v="ORD00307"/>
        <s v="ORD00308"/>
        <s v="ORD00309"/>
        <s v="ORD00310"/>
        <s v="ORD00311"/>
        <s v="ORD00312"/>
        <s v="ORD00313"/>
        <s v="ORD00314"/>
        <s v="ORD00315"/>
        <s v="ORD00316"/>
        <s v="ORD00317"/>
        <s v="ORD00318"/>
        <s v="ORD00319"/>
        <s v="ORD00320"/>
        <s v="ORD00321"/>
        <s v="ORD00322"/>
        <s v="ORD00323"/>
        <s v="ORD00324"/>
        <s v="ORD00325"/>
        <s v="ORD00326"/>
        <s v="ORD00327"/>
        <s v="ORD00328"/>
        <s v="ORD00329"/>
        <s v="ORD00330"/>
        <s v="ORD00331"/>
        <s v="ORD00332"/>
        <s v="ORD00333"/>
        <s v="ORD00334"/>
        <s v="ORD00335"/>
        <s v="ORD00336"/>
        <s v="ORD00337"/>
        <s v="ORD00338"/>
        <s v="ORD00339"/>
        <s v="ORD00340"/>
        <s v="ORD00341"/>
        <s v="ORD00342"/>
        <s v="ORD00343"/>
        <s v="ORD00344"/>
        <s v="ORD00345"/>
        <s v="ORD00346"/>
        <s v="ORD00347"/>
        <s v="ORD00348"/>
        <s v="ORD00349"/>
        <s v="ORD00350"/>
        <s v="ORD00351"/>
        <s v="ORD00352"/>
        <s v="ORD00353"/>
        <s v="ORD00354"/>
        <s v="ORD00355"/>
        <s v="ORD00356"/>
        <s v="ORD00357"/>
        <s v="ORD00358"/>
        <s v="ORD00359"/>
        <s v="ORD00360"/>
        <s v="ORD00361"/>
        <s v="ORD00362"/>
        <s v="ORD00363"/>
        <s v="ORD00364"/>
        <s v="ORD00365"/>
        <s v="ORD00366"/>
        <s v="ORD00367"/>
        <s v="ORD00368"/>
        <s v="ORD00369"/>
        <s v="ORD00370"/>
        <s v="ORD00371"/>
        <s v="ORD00372"/>
        <s v="ORD00373"/>
        <s v="ORD00374"/>
        <s v="ORD00375"/>
        <s v="ORD00376"/>
        <s v="ORD00377"/>
        <s v="ORD00378"/>
        <s v="ORD00379"/>
        <s v="ORD00380"/>
        <s v="ORD00381"/>
        <s v="ORD00382"/>
        <s v="ORD00383"/>
        <s v="ORD00384"/>
        <s v="ORD00385"/>
        <s v="ORD00386"/>
        <s v="ORD00387"/>
        <s v="ORD00388"/>
        <s v="ORD00389"/>
        <s v="ORD00390"/>
        <s v="ORD00391"/>
        <s v="ORD00392"/>
        <s v="ORD00393"/>
        <s v="ORD00394"/>
        <s v="ORD00395"/>
        <s v="ORD00396"/>
        <s v="ORD00397"/>
        <s v="ORD00398"/>
        <s v="ORD00399"/>
        <s v="ORD00400"/>
        <s v="ORD00401"/>
        <s v="ORD00402"/>
        <s v="ORD00403"/>
        <s v="ORD00404"/>
        <s v="ORD00405"/>
        <s v="ORD00406"/>
        <s v="ORD00407"/>
        <s v="ORD00408"/>
        <s v="ORD00409"/>
        <s v="ORD00410"/>
        <s v="ORD00411"/>
        <s v="ORD00412"/>
        <s v="ORD00413"/>
        <s v="ORD00414"/>
        <s v="ORD00415"/>
        <s v="ORD00416"/>
        <s v="ORD00417"/>
        <s v="ORD00418"/>
        <s v="ORD00419"/>
        <s v="ORD00420"/>
        <s v="ORD00421"/>
        <s v="ORD00422"/>
        <s v="ORD00423"/>
        <s v="ORD00424"/>
        <s v="ORD00425"/>
        <s v="ORD00426"/>
        <s v="ORD00427"/>
        <s v="ORD00428"/>
        <s v="ORD00429"/>
        <s v="ORD00430"/>
        <s v="ORD00431"/>
        <s v="ORD00432"/>
        <s v="ORD00433"/>
        <s v="ORD00434"/>
        <s v="ORD00435"/>
        <s v="ORD00436"/>
        <s v="ORD00437"/>
        <s v="ORD00438"/>
        <s v="ORD00439"/>
        <s v="ORD00440"/>
        <s v="ORD00441"/>
        <s v="ORD00442"/>
        <s v="ORD00443"/>
        <s v="ORD00444"/>
        <s v="ORD00445"/>
        <s v="ORD00446"/>
        <s v="ORD00447"/>
        <s v="ORD00448"/>
        <s v="ORD00449"/>
        <s v="ORD00450"/>
        <s v="ORD00451"/>
        <s v="ORD00452"/>
        <s v="ORD00453"/>
        <s v="ORD00454"/>
        <s v="ORD00455"/>
        <s v="ORD00456"/>
        <s v="ORD00457"/>
        <s v="ORD00458"/>
        <s v="ORD00459"/>
        <s v="ORD00460"/>
        <s v="ORD00461"/>
        <s v="ORD00462"/>
        <s v="ORD00463"/>
        <s v="ORD00464"/>
        <s v="ORD00465"/>
        <s v="ORD00466"/>
        <s v="ORD00467"/>
        <s v="ORD00468"/>
        <s v="ORD00469"/>
        <s v="ORD00470"/>
        <s v="ORD00471"/>
        <s v="ORD00472"/>
        <s v="ORD00473"/>
        <s v="ORD00474"/>
        <s v="ORD00475"/>
        <s v="ORD00476"/>
        <s v="ORD00477"/>
        <s v="ORD00478"/>
        <s v="ORD00479"/>
        <s v="ORD00480"/>
        <s v="ORD00481"/>
        <s v="ORD00482"/>
        <s v="ORD00483"/>
        <s v="ORD00484"/>
        <s v="ORD00485"/>
        <s v="ORD00486"/>
        <s v="ORD00487"/>
        <s v="ORD00488"/>
        <s v="ORD00489"/>
        <s v="ORD00490"/>
        <s v="ORD00491"/>
        <s v="ORD00492"/>
        <s v="ORD00493"/>
        <s v="ORD00494"/>
        <s v="ORD00495"/>
        <s v="ORD00496"/>
        <s v="ORD00497"/>
        <s v="ORD00498"/>
        <s v="ORD00499"/>
        <s v="ORD00500"/>
        <s v="ORD00501"/>
        <s v="ORD00502"/>
        <s v="ORD00503"/>
        <s v="ORD00504"/>
        <s v="ORD00505"/>
        <s v="ORD00506"/>
        <s v="ORD00507"/>
        <s v="ORD00508"/>
        <s v="ORD00509"/>
        <s v="ORD00510"/>
        <s v="ORD00511"/>
        <s v="ORD00512"/>
        <s v="ORD00513"/>
        <s v="ORD00514"/>
        <s v="ORD00515"/>
        <s v="ORD00516"/>
        <s v="ORD00517"/>
        <s v="ORD00518"/>
        <s v="ORD00519"/>
        <s v="ORD00520"/>
        <s v="ORD00521"/>
        <s v="ORD00522"/>
        <s v="ORD00523"/>
        <s v="ORD00524"/>
        <s v="ORD00525"/>
        <s v="ORD00526"/>
        <s v="ORD00527"/>
        <s v="ORD00528"/>
        <s v="ORD00529"/>
        <s v="ORD00530"/>
        <s v="ORD00531"/>
        <s v="ORD00532"/>
        <s v="ORD00533"/>
        <s v="ORD00534"/>
        <s v="ORD00535"/>
        <s v="ORD00536"/>
        <s v="ORD00537"/>
        <s v="ORD00538"/>
        <s v="ORD00539"/>
        <s v="ORD00540"/>
        <s v="ORD00541"/>
        <s v="ORD00542"/>
        <s v="ORD00543"/>
        <s v="ORD00544"/>
        <s v="ORD00545"/>
        <s v="ORD00546"/>
        <s v="ORD00547"/>
        <s v="ORD00548"/>
        <s v="ORD00549"/>
        <s v="ORD00550"/>
        <s v="ORD00551"/>
        <s v="ORD00552"/>
        <s v="ORD00553"/>
        <s v="ORD00554"/>
        <s v="ORD00555"/>
        <s v="ORD00556"/>
        <s v="ORD00557"/>
        <s v="ORD00558"/>
        <s v="ORD00559"/>
        <s v="ORD00560"/>
        <s v="ORD00561"/>
        <s v="ORD00562"/>
        <s v="ORD00563"/>
        <s v="ORD00564"/>
        <s v="ORD00565"/>
        <s v="ORD00566"/>
        <s v="ORD00567"/>
        <s v="ORD00568"/>
        <s v="ORD00569"/>
        <s v="ORD00570"/>
        <s v="ORD00571"/>
        <s v="ORD00572"/>
        <s v="ORD00573"/>
        <s v="ORD00574"/>
        <s v="ORD00575"/>
        <s v="ORD00576"/>
        <s v="ORD00577"/>
        <s v="ORD00578"/>
        <s v="ORD00579"/>
        <s v="ORD00580"/>
        <s v="ORD00581"/>
        <s v="ORD00582"/>
        <s v="ORD00583"/>
        <s v="ORD00584"/>
        <s v="ORD00585"/>
        <s v="ORD00586"/>
        <s v="ORD00587"/>
        <s v="ORD00588"/>
        <s v="ORD00589"/>
        <s v="ORD00590"/>
        <s v="ORD00591"/>
        <s v="ORD00592"/>
        <s v="ORD00593"/>
        <s v="ORD00594"/>
        <s v="ORD00595"/>
        <s v="ORD00596"/>
        <s v="ORD00597"/>
        <s v="ORD00598"/>
        <s v="ORD00599"/>
        <s v="ORD00600"/>
        <s v="ORD00601"/>
        <s v="ORD00602"/>
        <s v="ORD00603"/>
        <s v="ORD00604"/>
        <s v="ORD00605"/>
        <s v="ORD00606"/>
        <s v="ORD00607"/>
        <s v="ORD00608"/>
        <s v="ORD00609"/>
        <s v="ORD00610"/>
        <s v="ORD00611"/>
        <s v="ORD00612"/>
        <s v="ORD00613"/>
        <s v="ORD00614"/>
        <s v="ORD00615"/>
        <s v="ORD00616"/>
        <s v="ORD00617"/>
        <s v="ORD00618"/>
        <s v="ORD00619"/>
        <s v="ORD00620"/>
        <s v="ORD00621"/>
        <s v="ORD00622"/>
        <s v="ORD00623"/>
        <s v="ORD00624"/>
        <s v="ORD00625"/>
        <s v="ORD00626"/>
        <s v="ORD00627"/>
        <s v="ORD00628"/>
        <s v="ORD00629"/>
        <s v="ORD00630"/>
        <s v="ORD00631"/>
        <s v="ORD00632"/>
        <s v="ORD00633"/>
        <s v="ORD00634"/>
        <s v="ORD00635"/>
        <s v="ORD00636"/>
        <s v="ORD00637"/>
        <s v="ORD00638"/>
        <s v="ORD00639"/>
        <s v="ORD00640"/>
        <s v="ORD00641"/>
        <s v="ORD00642"/>
        <s v="ORD00643"/>
        <s v="ORD00644"/>
        <s v="ORD00645"/>
        <s v="ORD00646"/>
        <s v="ORD00647"/>
        <s v="ORD00648"/>
        <s v="ORD00649"/>
        <s v="ORD00650"/>
        <s v="ORD00651"/>
        <s v="ORD00652"/>
        <s v="ORD00653"/>
        <s v="ORD00654"/>
        <s v="ORD00655"/>
        <s v="ORD00656"/>
        <s v="ORD00657"/>
        <s v="ORD00658"/>
        <s v="ORD00659"/>
        <s v="ORD00660"/>
        <s v="ORD00661"/>
        <s v="ORD00662"/>
        <s v="ORD00663"/>
        <s v="ORD00664"/>
        <s v="ORD00665"/>
        <s v="ORD00666"/>
        <s v="ORD00667"/>
        <s v="ORD00668"/>
        <s v="ORD00669"/>
        <s v="ORD00670"/>
        <s v="ORD00671"/>
        <s v="ORD00672"/>
        <s v="ORD00673"/>
        <s v="ORD00674"/>
        <s v="ORD00675"/>
        <s v="ORD00676"/>
        <s v="ORD00677"/>
        <s v="ORD00678"/>
        <s v="ORD00679"/>
        <s v="ORD00680"/>
        <s v="ORD00681"/>
        <s v="ORD00682"/>
        <s v="ORD00683"/>
        <s v="ORD00684"/>
        <s v="ORD00685"/>
        <s v="ORD00686"/>
        <s v="ORD00687"/>
        <s v="ORD00688"/>
        <s v="ORD00689"/>
        <s v="ORD00690"/>
        <s v="ORD00691"/>
        <s v="ORD00692"/>
        <s v="ORD00693"/>
        <s v="ORD00694"/>
        <s v="ORD00695"/>
        <s v="ORD00696"/>
        <s v="ORD00697"/>
        <s v="ORD00698"/>
        <s v="ORD00699"/>
        <s v="ORD00700"/>
        <s v="ORD00701"/>
        <s v="ORD00702"/>
        <s v="ORD00703"/>
        <s v="ORD00704"/>
        <s v="ORD00705"/>
        <s v="ORD00706"/>
        <s v="ORD00707"/>
        <s v="ORD00708"/>
        <s v="ORD00709"/>
        <s v="ORD00710"/>
        <s v="ORD00711"/>
        <s v="ORD00712"/>
        <s v="ORD00713"/>
        <s v="ORD00714"/>
        <s v="ORD00715"/>
        <s v="ORD00716"/>
        <s v="ORD00717"/>
        <s v="ORD00718"/>
        <s v="ORD00719"/>
        <s v="ORD00720"/>
        <s v="ORD00721"/>
        <s v="ORD00722"/>
        <s v="ORD00723"/>
        <s v="ORD00724"/>
        <s v="ORD00725"/>
        <s v="ORD00726"/>
        <s v="ORD00727"/>
        <s v="ORD00728"/>
        <s v="ORD00729"/>
        <s v="ORD00730"/>
        <s v="ORD00731"/>
        <s v="ORD00732"/>
        <s v="ORD00733"/>
        <s v="ORD00734"/>
        <s v="ORD00735"/>
        <s v="ORD00736"/>
        <s v="ORD00737"/>
        <s v="ORD00738"/>
        <s v="ORD00739"/>
        <s v="ORD00740"/>
        <s v="ORD00741"/>
        <s v="ORD00742"/>
        <s v="ORD00743"/>
        <s v="ORD00744"/>
        <s v="ORD00745"/>
        <s v="ORD00746"/>
        <s v="ORD00747"/>
        <s v="ORD00748"/>
        <s v="ORD00749"/>
        <s v="ORD00750"/>
        <s v="ORD00751"/>
        <s v="ORD00752"/>
        <s v="ORD00753"/>
        <s v="ORD00754"/>
        <s v="ORD00755"/>
        <s v="ORD00756"/>
        <s v="ORD00757"/>
        <s v="ORD00758"/>
        <s v="ORD00759"/>
        <s v="ORD00760"/>
        <s v="ORD00761"/>
        <s v="ORD00762"/>
        <s v="ORD00763"/>
        <s v="ORD00764"/>
        <s v="ORD00765"/>
        <s v="ORD00766"/>
        <s v="ORD00767"/>
        <s v="ORD00768"/>
        <s v="ORD00769"/>
        <s v="ORD00770"/>
        <s v="ORD00771"/>
        <s v="ORD00772"/>
        <s v="ORD00773"/>
        <s v="ORD00774"/>
        <s v="ORD00775"/>
        <s v="ORD00776"/>
        <s v="ORD00777"/>
        <s v="ORD00778"/>
        <s v="ORD00779"/>
        <s v="ORD00780"/>
        <s v="ORD00781"/>
        <s v="ORD00782"/>
        <s v="ORD00783"/>
        <s v="ORD00784"/>
        <s v="ORD00785"/>
        <s v="ORD00786"/>
        <s v="ORD00787"/>
        <s v="ORD00788"/>
        <s v="ORD00789"/>
        <s v="ORD00790"/>
        <s v="ORD00791"/>
        <s v="ORD00792"/>
        <s v="ORD00793"/>
        <s v="ORD00794"/>
        <s v="ORD00795"/>
        <s v="ORD00796"/>
        <s v="ORD00797"/>
        <s v="ORD00798"/>
        <s v="ORD00799"/>
        <s v="ORD00800"/>
        <s v="ORD00801"/>
        <s v="ORD00802"/>
        <s v="ORD00803"/>
        <s v="ORD00804"/>
        <s v="ORD00805"/>
        <s v="ORD00806"/>
        <s v="ORD00807"/>
        <s v="ORD00808"/>
        <s v="ORD00809"/>
        <s v="ORD00810"/>
        <s v="ORD00811"/>
        <s v="ORD00812"/>
        <s v="ORD00813"/>
        <s v="ORD00814"/>
        <s v="ORD00815"/>
        <s v="ORD00816"/>
        <s v="ORD00817"/>
        <s v="ORD00818"/>
        <s v="ORD00819"/>
        <s v="ORD00820"/>
        <s v="ORD00821"/>
        <s v="ORD00822"/>
        <s v="ORD00823"/>
        <s v="ORD00824"/>
        <s v="ORD00825"/>
        <s v="ORD00826"/>
        <s v="ORD00827"/>
        <s v="ORD00828"/>
        <s v="ORD00829"/>
        <s v="ORD00830"/>
        <s v="ORD00831"/>
        <s v="ORD00832"/>
        <s v="ORD00833"/>
        <s v="ORD00834"/>
        <s v="ORD00835"/>
        <s v="ORD00836"/>
        <s v="ORD00837"/>
        <s v="ORD00838"/>
        <s v="ORD00839"/>
        <s v="ORD00840"/>
        <s v="ORD00841"/>
        <s v="ORD00842"/>
        <s v="ORD00843"/>
        <s v="ORD00844"/>
        <s v="ORD00845"/>
        <s v="ORD00846"/>
        <s v="ORD00847"/>
        <s v="ORD00848"/>
        <s v="ORD00849"/>
        <s v="ORD00850"/>
        <s v="ORD00851"/>
        <s v="ORD00852"/>
        <s v="ORD00853"/>
        <s v="ORD00854"/>
        <s v="ORD00855"/>
        <s v="ORD00856"/>
        <s v="ORD00857"/>
        <s v="ORD00858"/>
        <s v="ORD00859"/>
        <s v="ORD00860"/>
        <s v="ORD00861"/>
        <s v="ORD00862"/>
        <s v="ORD00863"/>
        <s v="ORD00864"/>
        <s v="ORD00865"/>
        <s v="ORD00866"/>
        <s v="ORD00867"/>
        <s v="ORD00868"/>
        <s v="ORD00869"/>
        <s v="ORD00870"/>
        <s v="ORD00871"/>
        <s v="ORD00872"/>
        <s v="ORD00873"/>
        <s v="ORD00874"/>
        <s v="ORD00875"/>
        <s v="ORD00876"/>
        <s v="ORD00877"/>
        <s v="ORD00878"/>
        <s v="ORD00879"/>
        <s v="ORD00880"/>
        <s v="ORD00881"/>
        <s v="ORD00882"/>
        <s v="ORD00883"/>
        <s v="ORD00884"/>
        <s v="ORD00885"/>
        <s v="ORD00886"/>
        <s v="ORD00887"/>
        <s v="ORD00888"/>
        <s v="ORD00889"/>
        <s v="ORD00890"/>
        <s v="ORD00891"/>
        <s v="ORD00892"/>
        <s v="ORD00893"/>
        <s v="ORD00894"/>
        <s v="ORD00895"/>
        <s v="ORD00896"/>
        <s v="ORD00897"/>
        <s v="ORD00898"/>
        <s v="ORD00899"/>
        <s v="ORD00900"/>
        <s v="ORD00901"/>
        <s v="ORD00902"/>
        <s v="ORD00903"/>
        <s v="ORD00904"/>
        <s v="ORD00905"/>
        <s v="ORD00906"/>
        <s v="ORD00907"/>
        <s v="ORD00908"/>
        <s v="ORD00909"/>
        <s v="ORD00910"/>
        <s v="ORD00911"/>
        <s v="ORD00912"/>
        <s v="ORD00913"/>
        <s v="ORD00914"/>
        <s v="ORD00915"/>
        <s v="ORD00916"/>
        <s v="ORD00917"/>
        <s v="ORD00918"/>
        <s v="ORD00919"/>
        <s v="ORD00920"/>
        <s v="ORD00921"/>
        <s v="ORD00922"/>
        <s v="ORD00923"/>
        <s v="ORD00924"/>
        <s v="ORD00925"/>
        <s v="ORD00926"/>
        <s v="ORD00927"/>
        <s v="ORD00928"/>
        <s v="ORD00929"/>
        <s v="ORD00930"/>
        <s v="ORD00931"/>
        <s v="ORD00932"/>
        <s v="ORD00933"/>
        <s v="ORD00934"/>
        <s v="ORD00935"/>
        <s v="ORD00936"/>
        <s v="ORD00937"/>
        <s v="ORD00938"/>
        <s v="ORD00939"/>
        <s v="ORD00940"/>
        <s v="ORD00941"/>
        <s v="ORD00942"/>
        <s v="ORD00943"/>
        <s v="ORD00944"/>
        <s v="ORD00945"/>
        <s v="ORD00946"/>
        <s v="ORD00947"/>
        <s v="ORD00948"/>
        <s v="ORD00949"/>
        <s v="ORD00950"/>
        <s v="ORD00951"/>
        <s v="ORD00952"/>
        <s v="ORD00953"/>
        <s v="ORD00954"/>
        <s v="ORD00955"/>
        <s v="ORD00956"/>
        <s v="ORD00957"/>
        <s v="ORD00958"/>
        <s v="ORD00959"/>
        <s v="ORD00960"/>
        <s v="ORD00961"/>
        <s v="ORD00962"/>
        <s v="ORD00963"/>
        <s v="ORD00964"/>
        <s v="ORD00965"/>
        <s v="ORD00966"/>
        <s v="ORD00967"/>
        <s v="ORD00968"/>
        <s v="ORD00969"/>
        <s v="ORD00970"/>
        <s v="ORD00971"/>
        <s v="ORD00972"/>
        <s v="ORD00973"/>
        <s v="ORD00974"/>
        <s v="ORD00975"/>
        <s v="ORD00976"/>
        <s v="ORD00977"/>
        <s v="ORD00978"/>
        <s v="ORD00979"/>
        <s v="ORD00980"/>
        <s v="ORD00981"/>
        <s v="ORD00982"/>
        <s v="ORD00983"/>
        <s v="ORD00984"/>
        <s v="ORD00985"/>
        <s v="ORD00986"/>
        <s v="ORD00987"/>
        <s v="ORD00988"/>
        <s v="ORD00989"/>
        <s v="ORD00990"/>
        <s v="ORD00991"/>
        <s v="ORD00992"/>
        <s v="ORD00993"/>
        <s v="ORD00994"/>
        <s v="ORD00995"/>
        <s v="ORD00996"/>
        <s v="ORD00997"/>
        <s v="ORD00998"/>
        <s v="ORD00999"/>
        <s v="ORD01000"/>
        <s v="ORD01001"/>
        <s v="ORD01002"/>
        <s v="ORD01003"/>
        <s v="ORD01004"/>
        <s v="ORD01005"/>
        <s v="ORD01006"/>
        <s v="ORD01007"/>
        <s v="ORD01008"/>
        <s v="ORD01009"/>
        <s v="ORD01010"/>
        <s v="ORD01011"/>
        <s v="ORD01012"/>
        <s v="ORD01013"/>
        <s v="ORD01014"/>
        <s v="ORD01015"/>
        <s v="ORD01016"/>
        <s v="ORD01017"/>
        <s v="ORD01018"/>
        <s v="ORD01019"/>
        <s v="ORD01020"/>
        <s v="ORD01021"/>
        <s v="ORD01022"/>
        <s v="ORD01023"/>
        <s v="ORD01024"/>
        <s v="ORD01025"/>
        <s v="ORD01026"/>
        <s v="ORD01027"/>
        <s v="ORD01028"/>
        <s v="ORD01029"/>
        <s v="ORD01030"/>
        <s v="ORD01031"/>
        <s v="ORD01032"/>
        <s v="ORD01033"/>
        <s v="ORD01034"/>
        <s v="ORD01035"/>
        <s v="ORD01036"/>
        <s v="ORD01037"/>
        <s v="ORD01038"/>
        <s v="ORD01039"/>
        <s v="ORD01040"/>
        <s v="ORD01041"/>
        <s v="ORD01042"/>
        <s v="ORD01043"/>
        <s v="ORD01044"/>
        <s v="ORD01045"/>
        <s v="ORD01046"/>
        <s v="ORD01047"/>
        <s v="ORD01048"/>
        <s v="ORD01049"/>
        <s v="ORD01050"/>
        <s v="ORD01051"/>
        <s v="ORD01052"/>
        <s v="ORD01053"/>
        <s v="ORD01054"/>
        <s v="ORD01055"/>
        <s v="ORD01056"/>
        <s v="ORD01057"/>
        <s v="ORD01058"/>
        <s v="ORD01059"/>
        <s v="ORD01060"/>
        <s v="ORD01061"/>
        <s v="ORD01062"/>
        <s v="ORD01063"/>
        <s v="ORD01064"/>
        <s v="ORD01065"/>
        <s v="ORD01066"/>
        <s v="ORD01067"/>
        <s v="ORD01068"/>
        <s v="ORD01069"/>
        <s v="ORD01070"/>
        <s v="ORD01071"/>
        <s v="ORD01072"/>
        <s v="ORD01073"/>
        <s v="ORD01074"/>
        <s v="ORD01075"/>
        <s v="ORD01076"/>
        <s v="ORD01077"/>
        <s v="ORD01078"/>
        <s v="ORD01079"/>
        <s v="ORD01080"/>
        <s v="ORD01081"/>
        <s v="ORD01082"/>
        <s v="ORD01083"/>
        <s v="ORD01084"/>
        <s v="ORD01085"/>
        <s v="ORD01086"/>
        <s v="ORD01087"/>
        <s v="ORD01088"/>
        <s v="ORD01089"/>
        <s v="ORD01090"/>
        <s v="ORD01091"/>
        <s v="ORD01092"/>
        <s v="ORD01093"/>
        <s v="ORD01094"/>
        <s v="ORD01095"/>
        <s v="ORD01096"/>
        <s v="ORD01097"/>
        <s v="ORD01098"/>
        <s v="ORD01099"/>
        <s v="ORD01100"/>
        <s v="ORD01101"/>
        <s v="ORD01102"/>
        <s v="ORD01103"/>
        <s v="ORD01104"/>
        <s v="ORD01105"/>
        <s v="ORD01106"/>
        <s v="ORD01107"/>
        <s v="ORD01108"/>
        <s v="ORD01109"/>
        <s v="ORD01110"/>
        <s v="ORD01111"/>
        <s v="ORD01112"/>
        <s v="ORD01113"/>
        <s v="ORD01114"/>
        <s v="ORD01115"/>
        <s v="ORD01116"/>
        <s v="ORD01117"/>
        <s v="ORD01118"/>
        <s v="ORD01119"/>
        <s v="ORD01120"/>
        <s v="ORD01121"/>
        <s v="ORD01122"/>
        <s v="ORD01123"/>
        <s v="ORD01124"/>
        <s v="ORD01125"/>
        <s v="ORD01126"/>
        <s v="ORD01127"/>
        <s v="ORD01128"/>
        <s v="ORD01129"/>
        <s v="ORD01130"/>
        <s v="ORD01131"/>
        <s v="ORD01132"/>
        <s v="ORD01133"/>
        <s v="ORD01134"/>
        <s v="ORD01135"/>
        <s v="ORD01136"/>
        <s v="ORD01137"/>
        <s v="ORD01138"/>
        <s v="ORD01139"/>
        <s v="ORD01140"/>
        <s v="ORD01141"/>
        <s v="ORD01142"/>
        <s v="ORD01143"/>
        <s v="ORD01144"/>
        <s v="ORD01145"/>
        <s v="ORD01146"/>
        <s v="ORD01147"/>
        <s v="ORD01148"/>
        <s v="ORD01149"/>
        <s v="ORD01150"/>
        <s v="ORD01151"/>
        <s v="ORD01152"/>
        <s v="ORD01153"/>
        <s v="ORD01154"/>
        <s v="ORD01155"/>
        <s v="ORD01156"/>
        <s v="ORD01157"/>
        <s v="ORD01158"/>
        <s v="ORD01159"/>
        <s v="ORD01160"/>
        <s v="ORD01161"/>
        <s v="ORD01162"/>
        <s v="ORD01163"/>
        <s v="ORD01164"/>
        <s v="ORD01165"/>
        <s v="ORD01166"/>
        <s v="ORD01167"/>
        <s v="ORD01168"/>
        <s v="ORD01169"/>
        <s v="ORD01170"/>
        <s v="ORD01171"/>
        <s v="ORD01172"/>
        <s v="ORD01173"/>
        <s v="ORD01174"/>
        <s v="ORD01175"/>
        <s v="ORD01176"/>
        <s v="ORD01177"/>
        <s v="ORD01178"/>
        <s v="ORD01179"/>
        <s v="ORD01180"/>
        <s v="ORD01181"/>
        <s v="ORD01182"/>
        <s v="ORD01183"/>
        <s v="ORD01184"/>
        <s v="ORD01185"/>
        <s v="ORD01186"/>
        <s v="ORD01187"/>
        <s v="ORD01188"/>
        <s v="ORD01189"/>
        <s v="ORD01190"/>
        <s v="ORD01191"/>
        <s v="ORD01192"/>
        <s v="ORD01193"/>
        <s v="ORD01194"/>
        <s v="ORD01195"/>
        <s v="ORD01196"/>
        <s v="ORD01197"/>
        <s v="ORD01198"/>
        <s v="ORD01199"/>
        <s v="ORD01200"/>
        <s v="ORD01201"/>
        <s v="ORD01202"/>
        <s v="ORD01203"/>
        <s v="ORD01204"/>
        <s v="ORD01205"/>
        <s v="ORD01206"/>
        <s v="ORD01207"/>
        <s v="ORD01208"/>
        <s v="ORD01209"/>
        <s v="ORD01210"/>
        <s v="ORD01211"/>
        <s v="ORD01212"/>
        <s v="ORD01213"/>
        <s v="ORD01214"/>
        <s v="ORD01215"/>
        <s v="ORD01216"/>
        <s v="ORD01217"/>
        <s v="ORD01218"/>
        <s v="ORD01219"/>
        <s v="ORD01220"/>
        <s v="ORD01221"/>
        <s v="ORD01222"/>
        <s v="ORD01223"/>
        <s v="ORD01224"/>
        <s v="ORD01225"/>
        <s v="ORD01226"/>
        <s v="ORD01227"/>
        <s v="ORD01228"/>
        <s v="ORD01229"/>
        <s v="ORD01230"/>
        <s v="ORD01231"/>
        <s v="ORD01232"/>
        <s v="ORD01233"/>
        <s v="ORD01234"/>
        <s v="ORD01235"/>
        <s v="ORD01236"/>
        <s v="ORD01237"/>
        <s v="ORD01238"/>
        <s v="ORD01239"/>
        <s v="ORD01240"/>
        <s v="ORD01241"/>
        <s v="ORD01242"/>
        <s v="ORD01243"/>
        <s v="ORD01244"/>
        <s v="ORD01245"/>
        <s v="ORD01246"/>
        <s v="ORD01247"/>
        <s v="ORD01248"/>
        <s v="ORD01249"/>
        <s v="ORD01250"/>
        <s v="ORD01251"/>
        <s v="ORD01252"/>
        <s v="ORD01253"/>
        <s v="ORD01254"/>
        <s v="ORD01255"/>
        <s v="ORD01256"/>
        <s v="ORD01257"/>
        <s v="ORD01258"/>
        <s v="ORD01259"/>
        <s v="ORD01260"/>
        <s v="ORD01261"/>
        <s v="ORD01262"/>
        <s v="ORD01263"/>
        <s v="ORD01264"/>
        <s v="ORD01265"/>
        <s v="ORD01266"/>
        <s v="ORD01267"/>
        <s v="ORD01268"/>
        <s v="ORD01269"/>
        <s v="ORD01270"/>
        <s v="ORD01271"/>
        <s v="ORD01272"/>
        <s v="ORD01273"/>
        <s v="ORD01274"/>
        <s v="ORD01275"/>
        <s v="ORD01276"/>
        <s v="ORD01277"/>
        <s v="ORD01278"/>
        <s v="ORD01279"/>
        <s v="ORD01280"/>
        <s v="ORD01281"/>
        <s v="ORD01282"/>
        <s v="ORD01283"/>
        <s v="ORD01284"/>
        <s v="ORD01285"/>
        <s v="ORD01286"/>
        <s v="ORD01287"/>
        <s v="ORD01288"/>
        <s v="ORD01289"/>
        <s v="ORD01290"/>
        <s v="ORD01291"/>
        <s v="ORD01292"/>
        <s v="ORD01293"/>
        <s v="ORD01294"/>
        <s v="ORD01295"/>
        <s v="ORD01296"/>
        <s v="ORD01297"/>
        <s v="ORD01298"/>
        <s v="ORD01299"/>
        <s v="ORD01300"/>
        <s v="ORD01301"/>
        <s v="ORD01302"/>
        <s v="ORD01303"/>
        <s v="ORD01304"/>
        <s v="ORD01305"/>
        <s v="ORD01306"/>
        <s v="ORD01307"/>
        <s v="ORD01308"/>
        <s v="ORD01309"/>
        <s v="ORD01310"/>
        <s v="ORD01311"/>
        <s v="ORD01312"/>
        <s v="ORD01313"/>
        <s v="ORD01314"/>
        <s v="ORD01315"/>
        <s v="ORD01316"/>
        <s v="ORD01317"/>
        <s v="ORD01318"/>
        <s v="ORD01319"/>
        <s v="ORD01320"/>
        <s v="ORD01321"/>
        <s v="ORD01322"/>
        <s v="ORD01323"/>
        <s v="ORD01324"/>
        <s v="ORD01325"/>
        <s v="ORD01326"/>
        <s v="ORD01327"/>
        <s v="ORD01328"/>
        <s v="ORD01329"/>
        <s v="ORD01330"/>
        <s v="ORD01331"/>
        <s v="ORD01332"/>
        <s v="ORD01333"/>
        <s v="ORD01334"/>
        <s v="ORD01335"/>
        <s v="ORD01336"/>
        <s v="ORD01337"/>
        <s v="ORD01338"/>
        <s v="ORD01339"/>
        <s v="ORD01340"/>
        <s v="ORD01341"/>
        <s v="ORD01342"/>
        <s v="ORD01343"/>
        <s v="ORD01344"/>
        <s v="ORD01345"/>
        <s v="ORD01346"/>
        <s v="ORD01347"/>
        <s v="ORD01348"/>
        <s v="ORD01349"/>
        <s v="ORD01350"/>
        <s v="ORD01351"/>
        <s v="ORD01352"/>
        <s v="ORD01353"/>
        <s v="ORD01354"/>
        <s v="ORD01355"/>
        <s v="ORD01356"/>
        <s v="ORD01357"/>
        <s v="ORD01358"/>
        <s v="ORD01359"/>
        <s v="ORD01360"/>
        <s v="ORD01361"/>
        <s v="ORD01362"/>
        <s v="ORD01363"/>
        <s v="ORD01364"/>
        <s v="ORD01365"/>
        <s v="ORD01366"/>
        <s v="ORD01367"/>
        <s v="ORD01368"/>
        <s v="ORD01369"/>
        <s v="ORD01370"/>
        <s v="ORD01371"/>
        <s v="ORD01372"/>
        <s v="ORD01373"/>
        <s v="ORD01374"/>
        <s v="ORD01375"/>
        <s v="ORD01376"/>
        <s v="ORD01377"/>
        <s v="ORD01378"/>
        <s v="ORD01379"/>
        <s v="ORD01380"/>
        <s v="ORD01381"/>
        <s v="ORD01382"/>
        <s v="ORD01383"/>
        <s v="ORD01384"/>
        <s v="ORD01385"/>
        <s v="ORD01386"/>
        <s v="ORD01387"/>
        <s v="ORD01388"/>
        <s v="ORD01389"/>
        <s v="ORD01390"/>
        <s v="ORD01391"/>
        <s v="ORD01392"/>
        <s v="ORD01393"/>
        <s v="ORD01394"/>
        <s v="ORD01395"/>
        <s v="ORD01396"/>
        <s v="ORD01397"/>
        <s v="ORD01398"/>
        <s v="ORD01399"/>
        <s v="ORD01400"/>
        <s v="ORD01401"/>
        <s v="ORD01402"/>
        <s v="ORD01403"/>
        <s v="ORD01404"/>
        <s v="ORD01405"/>
        <s v="ORD01406"/>
        <s v="ORD01407"/>
        <s v="ORD01408"/>
        <s v="ORD01409"/>
        <s v="ORD01410"/>
        <s v="ORD01411"/>
        <s v="ORD01412"/>
        <s v="ORD01413"/>
        <s v="ORD01414"/>
        <s v="ORD01415"/>
        <s v="ORD01416"/>
        <s v="ORD01417"/>
        <s v="ORD01418"/>
        <s v="ORD01419"/>
        <s v="ORD01420"/>
        <s v="ORD01421"/>
        <s v="ORD01422"/>
        <s v="ORD01423"/>
        <s v="ORD01424"/>
        <s v="ORD01425"/>
        <s v="ORD01426"/>
        <s v="ORD01427"/>
        <s v="ORD01428"/>
        <s v="ORD01429"/>
        <s v="ORD01430"/>
        <s v="ORD01431"/>
        <s v="ORD01432"/>
        <s v="ORD01433"/>
        <s v="ORD01434"/>
        <s v="ORD01435"/>
        <s v="ORD01436"/>
        <s v="ORD01437"/>
        <s v="ORD01438"/>
        <s v="ORD01439"/>
        <s v="ORD01440"/>
        <s v="ORD01441"/>
        <s v="ORD01442"/>
        <s v="ORD01443"/>
        <s v="ORD01444"/>
        <s v="ORD01445"/>
        <s v="ORD01446"/>
        <s v="ORD01447"/>
        <s v="ORD01448"/>
        <s v="ORD01449"/>
        <s v="ORD01450"/>
        <s v="ORD01451"/>
        <s v="ORD01452"/>
        <s v="ORD01453"/>
        <s v="ORD01454"/>
        <s v="ORD01455"/>
        <s v="ORD01456"/>
        <s v="ORD01457"/>
        <s v="ORD01458"/>
        <s v="ORD01459"/>
        <s v="ORD01460"/>
        <s v="ORD01461"/>
        <s v="ORD01462"/>
        <s v="ORD01463"/>
        <s v="ORD01464"/>
        <s v="ORD01465"/>
        <s v="ORD01466"/>
        <s v="ORD01467"/>
        <s v="ORD01468"/>
        <s v="ORD01469"/>
        <s v="ORD01470"/>
        <s v="ORD01471"/>
        <s v="ORD01472"/>
        <s v="ORD01473"/>
        <s v="ORD01474"/>
        <s v="ORD01475"/>
        <s v="ORD01476"/>
        <s v="ORD01477"/>
        <s v="ORD01478"/>
        <s v="ORD01479"/>
        <s v="ORD01480"/>
        <s v="ORD01481"/>
        <s v="ORD01482"/>
        <s v="ORD01483"/>
        <s v="ORD01484"/>
        <s v="ORD01485"/>
        <s v="ORD01486"/>
        <s v="ORD01487"/>
        <s v="ORD01488"/>
        <s v="ORD01489"/>
        <s v="ORD01490"/>
        <s v="ORD01491"/>
        <s v="ORD01492"/>
        <s v="ORD01493"/>
        <s v="ORD01494"/>
        <s v="ORD01495"/>
        <s v="ORD01496"/>
        <s v="ORD01497"/>
        <s v="ORD01498"/>
        <s v="ORD01499"/>
        <s v="ORD01500"/>
      </sharedItems>
    </cacheField>
    <cacheField name="Order_Date" numFmtId="14">
      <sharedItems containsSemiMixedTypes="0" containsNonDate="0" containsDate="1" containsString="0" minDate="2025-01-01T00:00:00" maxDate="2026-01-01T00:00:00" count="358">
        <d v="2025-04-13T00:00:00"/>
        <d v="2025-12-15T00:00:00"/>
        <d v="2025-09-28T00:00:00"/>
        <d v="2025-04-17T00:00:00"/>
        <d v="2025-03-13T00:00:00"/>
        <d v="2025-07-08T00:00:00"/>
        <d v="2025-01-21T00:00:00"/>
        <d v="2025-05-02T00:00:00"/>
        <d v="2025-08-03T00:00:00"/>
        <d v="2025-11-27T00:00:00"/>
        <d v="2025-03-29T00:00:00"/>
        <d v="2025-04-10T00:00:00"/>
        <d v="2025-12-26T00:00:00"/>
        <d v="2025-06-01T00:00:00"/>
        <d v="2025-05-11T00:00:00"/>
        <d v="2025-05-30T00:00:00"/>
        <d v="2025-11-05T00:00:00"/>
        <d v="2025-09-15T00:00:00"/>
        <d v="2025-12-10T00:00:00"/>
        <d v="2025-10-21T00:00:00"/>
        <d v="2025-07-11T00:00:00"/>
        <d v="2025-10-04T00:00:00"/>
        <d v="2025-06-10T00:00:00"/>
        <d v="2025-11-10T00:00:00"/>
        <d v="2025-01-22T00:00:00"/>
        <d v="2025-09-10T00:00:00"/>
        <d v="2025-08-24T00:00:00"/>
        <d v="2025-12-11T00:00:00"/>
        <d v="2025-02-18T00:00:00"/>
        <d v="2025-02-28T00:00:00"/>
        <d v="2025-06-19T00:00:00"/>
        <d v="2025-07-07T00:00:00"/>
        <d v="2025-07-09T00:00:00"/>
        <d v="2025-06-24T00:00:00"/>
        <d v="2025-02-20T00:00:00"/>
        <d v="2025-12-30T00:00:00"/>
        <d v="2025-02-24T00:00:00"/>
        <d v="2025-09-01T00:00:00"/>
        <d v="2025-11-16T00:00:00"/>
        <d v="2025-11-03T00:00:00"/>
        <d v="2025-05-15T00:00:00"/>
        <d v="2025-11-25T00:00:00"/>
        <d v="2025-06-16T00:00:00"/>
        <d v="2025-10-01T00:00:00"/>
        <d v="2025-03-30T00:00:00"/>
        <d v="2025-11-12T00:00:00"/>
        <d v="2025-01-14T00:00:00"/>
        <d v="2025-08-30T00:00:00"/>
        <d v="2025-09-22T00:00:00"/>
        <d v="2025-12-12T00:00:00"/>
        <d v="2025-02-22T00:00:00"/>
        <d v="2025-12-06T00:00:00"/>
        <d v="2025-04-02T00:00:00"/>
        <d v="2025-09-21T00:00:00"/>
        <d v="2025-02-04T00:00:00"/>
        <d v="2025-07-25T00:00:00"/>
        <d v="2025-03-22T00:00:00"/>
        <d v="2025-02-19T00:00:00"/>
        <d v="2025-01-02T00:00:00"/>
        <d v="2025-02-23T00:00:00"/>
        <d v="2025-04-16T00:00:00"/>
        <d v="2025-09-17T00:00:00"/>
        <d v="2025-11-06T00:00:00"/>
        <d v="2025-07-10T00:00:00"/>
        <d v="2025-08-06T00:00:00"/>
        <d v="2025-02-13T00:00:00"/>
        <d v="2025-06-11T00:00:00"/>
        <d v="2025-07-21T00:00:00"/>
        <d v="2025-09-27T00:00:00"/>
        <d v="2025-12-17T00:00:00"/>
        <d v="2025-10-31T00:00:00"/>
        <d v="2025-09-09T00:00:00"/>
        <d v="2025-10-23T00:00:00"/>
        <d v="2025-08-01T00:00:00"/>
        <d v="2025-07-27T00:00:00"/>
        <d v="2025-08-25T00:00:00"/>
        <d v="2025-12-04T00:00:00"/>
        <d v="2025-10-07T00:00:00"/>
        <d v="2025-08-05T00:00:00"/>
        <d v="2025-02-10T00:00:00"/>
        <d v="2025-06-06T00:00:00"/>
        <d v="2025-01-15T00:00:00"/>
        <d v="2025-10-28T00:00:00"/>
        <d v="2025-03-06T00:00:00"/>
        <d v="2025-11-23T00:00:00"/>
        <d v="2025-01-09T00:00:00"/>
        <d v="2025-05-09T00:00:00"/>
        <d v="2025-05-16T00:00:00"/>
        <d v="2025-03-04T00:00:00"/>
        <d v="2025-05-19T00:00:00"/>
        <d v="2025-06-12T00:00:00"/>
        <d v="2025-10-16T00:00:00"/>
        <d v="2025-09-18T00:00:00"/>
        <d v="2025-08-19T00:00:00"/>
        <d v="2025-01-28T00:00:00"/>
        <d v="2025-07-20T00:00:00"/>
        <d v="2025-11-24T00:00:00"/>
        <d v="2025-09-25T00:00:00"/>
        <d v="2025-02-02T00:00:00"/>
        <d v="2025-02-17T00:00:00"/>
        <d v="2025-03-03T00:00:00"/>
        <d v="2025-08-04T00:00:00"/>
        <d v="2025-10-20T00:00:00"/>
        <d v="2025-04-09T00:00:00"/>
        <d v="2025-06-21T00:00:00"/>
        <d v="2025-08-02T00:00:00"/>
        <d v="2025-08-15T00:00:00"/>
        <d v="2025-04-11T00:00:00"/>
        <d v="2025-09-14T00:00:00"/>
        <d v="2025-01-05T00:00:00"/>
        <d v="2025-09-12T00:00:00"/>
        <d v="2025-12-25T00:00:00"/>
        <d v="2025-10-10T00:00:00"/>
        <d v="2025-07-26T00:00:00"/>
        <d v="2025-02-11T00:00:00"/>
        <d v="2025-06-28T00:00:00"/>
        <d v="2025-12-18T00:00:00"/>
        <d v="2025-08-29T00:00:00"/>
        <d v="2025-02-21T00:00:00"/>
        <d v="2025-04-06T00:00:00"/>
        <d v="2025-08-10T00:00:00"/>
        <d v="2025-05-23T00:00:00"/>
        <d v="2025-06-20T00:00:00"/>
        <d v="2025-01-29T00:00:00"/>
        <d v="2025-02-05T00:00:00"/>
        <d v="2025-01-13T00:00:00"/>
        <d v="2025-06-09T00:00:00"/>
        <d v="2025-07-06T00:00:00"/>
        <d v="2025-08-31T00:00:00"/>
        <d v="2025-03-27T00:00:00"/>
        <d v="2025-10-11T00:00:00"/>
        <d v="2025-03-07T00:00:00"/>
        <d v="2025-02-14T00:00:00"/>
        <d v="2025-05-14T00:00:00"/>
        <d v="2025-04-18T00:00:00"/>
        <d v="2025-10-13T00:00:00"/>
        <d v="2025-05-08T00:00:00"/>
        <d v="2025-12-14T00:00:00"/>
        <d v="2025-08-13T00:00:00"/>
        <d v="2025-05-01T00:00:00"/>
        <d v="2025-04-26T00:00:00"/>
        <d v="2025-08-21T00:00:00"/>
        <d v="2025-09-16T00:00:00"/>
        <d v="2025-07-17T00:00:00"/>
        <d v="2025-05-17T00:00:00"/>
        <d v="2025-11-14T00:00:00"/>
        <d v="2025-06-14T00:00:00"/>
        <d v="2025-08-22T00:00:00"/>
        <d v="2025-11-11T00:00:00"/>
        <d v="2025-06-29T00:00:00"/>
        <d v="2025-04-23T00:00:00"/>
        <d v="2025-10-22T00:00:00"/>
        <d v="2025-05-10T00:00:00"/>
        <d v="2025-08-08T00:00:00"/>
        <d v="2025-12-09T00:00:00"/>
        <d v="2025-08-12T00:00:00"/>
        <d v="2025-05-06T00:00:00"/>
        <d v="2025-09-04T00:00:00"/>
        <d v="2025-11-20T00:00:00"/>
        <d v="2025-07-22T00:00:00"/>
        <d v="2025-07-03T00:00:00"/>
        <d v="2025-05-03T00:00:00"/>
        <d v="2025-11-21T00:00:00"/>
        <d v="2025-04-08T00:00:00"/>
        <d v="2025-08-28T00:00:00"/>
        <d v="2025-05-24T00:00:00"/>
        <d v="2025-04-07T00:00:00"/>
        <d v="2025-05-04T00:00:00"/>
        <d v="2025-11-22T00:00:00"/>
        <d v="2025-05-28T00:00:00"/>
        <d v="2025-05-27T00:00:00"/>
        <d v="2025-07-18T00:00:00"/>
        <d v="2025-11-04T00:00:00"/>
        <d v="2025-02-08T00:00:00"/>
        <d v="2025-09-24T00:00:00"/>
        <d v="2025-05-31T00:00:00"/>
        <d v="2025-10-25T00:00:00"/>
        <d v="2025-09-20T00:00:00"/>
        <d v="2025-04-22T00:00:00"/>
        <d v="2025-03-01T00:00:00"/>
        <d v="2025-09-11T00:00:00"/>
        <d v="2025-05-20T00:00:00"/>
        <d v="2025-02-06T00:00:00"/>
        <d v="2025-04-30T00:00:00"/>
        <d v="2025-03-16T00:00:00"/>
        <d v="2025-04-14T00:00:00"/>
        <d v="2025-06-02T00:00:00"/>
        <d v="2025-07-13T00:00:00"/>
        <d v="2025-06-18T00:00:00"/>
        <d v="2025-03-09T00:00:00"/>
        <d v="2025-07-14T00:00:00"/>
        <d v="2025-06-25T00:00:00"/>
        <d v="2025-08-26T00:00:00"/>
        <d v="2025-06-07T00:00:00"/>
        <d v="2025-02-07T00:00:00"/>
        <d v="2025-08-18T00:00:00"/>
        <d v="2025-12-31T00:00:00"/>
        <d v="2025-01-27T00:00:00"/>
        <d v="2025-08-14T00:00:00"/>
        <d v="2025-11-13T00:00:00"/>
        <d v="2025-01-04T00:00:00"/>
        <d v="2025-01-17T00:00:00"/>
        <d v="2025-02-15T00:00:00"/>
        <d v="2025-01-06T00:00:00"/>
        <d v="2025-10-29T00:00:00"/>
        <d v="2025-06-30T00:00:00"/>
        <d v="2025-04-05T00:00:00"/>
        <d v="2025-09-13T00:00:00"/>
        <d v="2025-11-19T00:00:00"/>
        <d v="2025-01-18T00:00:00"/>
        <d v="2025-10-08T00:00:00"/>
        <d v="2025-08-11T00:00:00"/>
        <d v="2025-02-27T00:00:00"/>
        <d v="2025-06-23T00:00:00"/>
        <d v="2025-04-24T00:00:00"/>
        <d v="2025-10-15T00:00:00"/>
        <d v="2025-12-08T00:00:00"/>
        <d v="2025-05-07T00:00:00"/>
        <d v="2025-06-04T00:00:00"/>
        <d v="2025-09-30T00:00:00"/>
        <d v="2025-10-26T00:00:00"/>
        <d v="2025-09-03T00:00:00"/>
        <d v="2025-01-26T00:00:00"/>
        <d v="2025-12-21T00:00:00"/>
        <d v="2025-11-02T00:00:00"/>
        <d v="2025-11-09T00:00:00"/>
        <d v="2025-06-22T00:00:00"/>
        <d v="2025-01-20T00:00:00"/>
        <d v="2025-11-17T00:00:00"/>
        <d v="2025-05-22T00:00:00"/>
        <d v="2025-12-20T00:00:00"/>
        <d v="2025-11-18T00:00:00"/>
        <d v="2025-07-05T00:00:00"/>
        <d v="2025-05-05T00:00:00"/>
        <d v="2025-11-01T00:00:00"/>
        <d v="2025-07-15T00:00:00"/>
        <d v="2025-09-19T00:00:00"/>
        <d v="2025-12-16T00:00:00"/>
        <d v="2025-02-16T00:00:00"/>
        <d v="2025-11-07T00:00:00"/>
        <d v="2025-09-26T00:00:00"/>
        <d v="2025-05-25T00:00:00"/>
        <d v="2025-11-15T00:00:00"/>
        <d v="2025-10-02T00:00:00"/>
        <d v="2025-08-17T00:00:00"/>
        <d v="2025-04-27T00:00:00"/>
        <d v="2025-10-06T00:00:00"/>
        <d v="2025-01-01T00:00:00"/>
        <d v="2025-08-27T00:00:00"/>
        <d v="2025-10-17T00:00:00"/>
        <d v="2025-04-28T00:00:00"/>
        <d v="2025-09-29T00:00:00"/>
        <d v="2025-03-10T00:00:00"/>
        <d v="2025-10-05T00:00:00"/>
        <d v="2025-03-17T00:00:00"/>
        <d v="2025-06-03T00:00:00"/>
        <d v="2025-07-04T00:00:00"/>
        <d v="2025-10-12T00:00:00"/>
        <d v="2025-04-04T00:00:00"/>
        <d v="2025-07-23T00:00:00"/>
        <d v="2025-12-07T00:00:00"/>
        <d v="2025-12-23T00:00:00"/>
        <d v="2025-01-23T00:00:00"/>
        <d v="2025-09-07T00:00:00"/>
        <d v="2025-01-10T00:00:00"/>
        <d v="2025-01-16T00:00:00"/>
        <d v="2025-12-02T00:00:00"/>
        <d v="2025-06-27T00:00:00"/>
        <d v="2025-06-17T00:00:00"/>
        <d v="2025-11-26T00:00:00"/>
        <d v="2025-02-12T00:00:00"/>
        <d v="2025-01-12T00:00:00"/>
        <d v="2025-12-03T00:00:00"/>
        <d v="2025-03-31T00:00:00"/>
        <d v="2025-04-03T00:00:00"/>
        <d v="2025-04-25T00:00:00"/>
        <d v="2025-04-15T00:00:00"/>
        <d v="2025-09-06T00:00:00"/>
        <d v="2025-06-13T00:00:00"/>
        <d v="2025-06-26T00:00:00"/>
        <d v="2025-07-02T00:00:00"/>
        <d v="2025-12-27T00:00:00"/>
        <d v="2025-03-25T00:00:00"/>
        <d v="2025-01-19T00:00:00"/>
        <d v="2025-12-05T00:00:00"/>
        <d v="2025-01-25T00:00:00"/>
        <d v="2025-02-26T00:00:00"/>
        <d v="2025-04-19T00:00:00"/>
        <d v="2025-05-13T00:00:00"/>
        <d v="2025-08-09T00:00:00"/>
        <d v="2025-08-23T00:00:00"/>
        <d v="2025-05-26T00:00:00"/>
        <d v="2025-03-15T00:00:00"/>
        <d v="2025-01-07T00:00:00"/>
        <d v="2025-05-21T00:00:00"/>
        <d v="2025-05-12T00:00:00"/>
        <d v="2025-10-19T00:00:00"/>
        <d v="2025-03-11T00:00:00"/>
        <d v="2025-07-01T00:00:00"/>
        <d v="2025-04-01T00:00:00"/>
        <d v="2025-11-08T00:00:00"/>
        <d v="2025-10-30T00:00:00"/>
        <d v="2025-05-29T00:00:00"/>
        <d v="2025-03-21T00:00:00"/>
        <d v="2025-12-24T00:00:00"/>
        <d v="2025-06-05T00:00:00"/>
        <d v="2025-01-08T00:00:00"/>
        <d v="2025-08-16T00:00:00"/>
        <d v="2025-07-31T00:00:00"/>
        <d v="2025-03-23T00:00:00"/>
        <d v="2025-07-16T00:00:00"/>
        <d v="2025-09-08T00:00:00"/>
        <d v="2025-04-29T00:00:00"/>
        <d v="2025-10-09T00:00:00"/>
        <d v="2025-03-24T00:00:00"/>
        <d v="2025-03-26T00:00:00"/>
        <d v="2025-03-19T00:00:00"/>
        <d v="2025-07-24T00:00:00"/>
        <d v="2025-02-03T00:00:00"/>
        <d v="2025-12-01T00:00:00"/>
        <d v="2025-12-13T00:00:00"/>
        <d v="2025-06-15T00:00:00"/>
        <d v="2025-01-30T00:00:00"/>
        <d v="2025-05-18T00:00:00"/>
        <d v="2025-04-21T00:00:00"/>
        <d v="2025-03-02T00:00:00"/>
        <d v="2025-03-14T00:00:00"/>
        <d v="2025-02-25T00:00:00"/>
        <d v="2025-01-03T00:00:00"/>
        <d v="2025-12-29T00:00:00"/>
        <d v="2025-10-27T00:00:00"/>
        <d v="2025-03-08T00:00:00"/>
        <d v="2025-01-31T00:00:00"/>
        <d v="2025-02-09T00:00:00"/>
        <d v="2025-12-22T00:00:00"/>
        <d v="2025-11-29T00:00:00"/>
        <d v="2025-11-30T00:00:00"/>
        <d v="2025-10-18T00:00:00"/>
        <d v="2025-12-19T00:00:00"/>
        <d v="2025-06-08T00:00:00"/>
        <d v="2025-11-28T00:00:00"/>
        <d v="2025-01-11T00:00:00"/>
        <d v="2025-07-19T00:00:00"/>
        <d v="2025-07-29T00:00:00"/>
        <d v="2025-10-14T00:00:00"/>
        <d v="2025-10-24T00:00:00"/>
        <d v="2025-04-20T00:00:00"/>
        <d v="2025-07-30T00:00:00"/>
        <d v="2025-02-01T00:00:00"/>
        <d v="2025-09-23T00:00:00"/>
        <d v="2025-03-28T00:00:00"/>
        <d v="2025-07-28T00:00:00"/>
        <d v="2025-12-28T00:00:00"/>
        <d v="2025-08-07T00:00:00"/>
        <d v="2025-03-05T00:00:00"/>
        <d v="2025-07-12T00:00:00"/>
        <d v="2025-08-20T00:00:00"/>
        <d v="2025-04-12T00:00:00"/>
      </sharedItems>
      <fieldGroup par="24"/>
    </cacheField>
    <cacheField name="Customer_ID" numFmtId="0">
      <sharedItems/>
    </cacheField>
    <cacheField name="Employee_ID" numFmtId="0">
      <sharedItems count="10">
        <s v="EMP002"/>
        <s v="EMP003"/>
        <s v="EMP007"/>
        <s v="EMP004"/>
        <s v="EMP001"/>
        <s v="EMP005"/>
        <s v="EMP009"/>
        <s v="EMP008"/>
        <s v="EMP010"/>
        <s v="EMP006"/>
      </sharedItems>
    </cacheField>
    <cacheField name="City" numFmtId="0">
      <sharedItems count="8">
        <s v="Delhi"/>
        <s v="Chennai"/>
        <s v="Kolkata"/>
        <s v="Mumbai"/>
        <s v="Bengaluru"/>
        <s v="Ahmedabad"/>
        <s v="Pune"/>
        <s v="Hyderabad"/>
      </sharedItems>
    </cacheField>
    <cacheField name="Category" numFmtId="0">
      <sharedItems count="5">
        <s v="Beauty"/>
        <s v="Electronics"/>
        <s v="Office Supplies"/>
        <s v="Fashion"/>
        <s v="Home &amp; Kitchen"/>
      </sharedItems>
    </cacheField>
    <cacheField name="Product" numFmtId="0">
      <sharedItems count="25">
        <s v="Face Wash"/>
        <s v="Power Bank"/>
        <s v="File Folder"/>
        <s v="Pen Set"/>
        <s v="Headphones"/>
        <s v="USB Hub"/>
        <s v="Hair Dryer"/>
        <s v="Jacket"/>
        <s v="Keyboard"/>
        <s v="Storage Box"/>
        <s v="Wireless Mouse"/>
        <s v="Desk Organizer"/>
        <s v="Backpack"/>
        <s v="Water Bottle"/>
        <s v="Shampoo"/>
        <s v="Calculator"/>
        <s v="T-Shirt"/>
        <s v="Perfume"/>
        <s v="Jeans"/>
        <s v="Moisturizer"/>
        <s v="Sneakers"/>
        <s v="Cookware Set"/>
        <s v="Mixer Grinder"/>
        <s v="Table Lamp"/>
        <s v="Notebook"/>
      </sharedItems>
    </cacheField>
    <cacheField name="Quantity" numFmtId="1">
      <sharedItems containsSemiMixedTypes="0" containsString="0" containsNumber="1" containsInteger="1" minValue="1" maxValue="7"/>
    </cacheField>
    <cacheField name="Gross_Sales" numFmtId="164">
      <sharedItems containsSemiMixedTypes="0" containsString="0" containsNumber="1" minValue="156.24" maxValue="59444.42"/>
    </cacheField>
    <cacheField name="Discount" numFmtId="9">
      <sharedItems containsSemiMixedTypes="0" containsString="0" containsNumber="1" minValue="0" maxValue="0.25"/>
    </cacheField>
    <cacheField name="Net_Sales" numFmtId="164">
      <sharedItems containsSemiMixedTypes="0" containsString="0" containsNumber="1" minValue="132.80000000000001" maxValue="57641.78"/>
    </cacheField>
    <cacheField name="Cost" numFmtId="164">
      <sharedItems containsSemiMixedTypes="0" containsString="0" containsNumber="1" minValue="81.13" maxValue="43192.23"/>
    </cacheField>
    <cacheField name="Profit" numFmtId="164">
      <sharedItems containsSemiMixedTypes="0" containsString="0" containsNumber="1" minValue="41.87" maxValue="23291.02"/>
    </cacheField>
    <cacheField name="Status" numFmtId="0">
      <sharedItems count="4">
        <s v="Completed"/>
        <s v="Cancelled"/>
        <s v="Delayed"/>
        <s v="Pending"/>
      </sharedItems>
    </cacheField>
    <cacheField name="TAT_Hours" numFmtId="1">
      <sharedItems containsSemiMixedTypes="0" containsString="0" containsNumber="1" containsInteger="1" minValue="0" maxValue="96"/>
    </cacheField>
    <cacheField name="Delivery_Date" numFmtId="22">
      <sharedItems containsSemiMixedTypes="0" containsNonDate="0" containsDate="1" containsString="0" minDate="2025-01-01T14:00:00" maxDate="2026-01-01T19:00:00"/>
    </cacheField>
    <cacheField name="Month" numFmtId="0">
      <sharedItems/>
    </cacheField>
    <cacheField name="Month_No" numFmtId="0">
      <sharedItems containsSemiMixedTypes="0" containsString="0" containsNumber="1" containsInteger="1" minValue="1" maxValue="12"/>
    </cacheField>
    <cacheField name="Quarter" numFmtId="0">
      <sharedItems/>
    </cacheField>
    <cacheField name="Completed_Flag" numFmtId="0">
      <sharedItems containsSemiMixedTypes="0" containsString="0" containsNumber="1" containsInteger="1" minValue="0" maxValue="1" count="2">
        <n v="1"/>
        <n v="0"/>
      </sharedItems>
    </cacheField>
    <cacheField name="Pending_Flag" numFmtId="0">
      <sharedItems containsSemiMixedTypes="0" containsString="0" containsNumber="1" containsInteger="1" minValue="0" maxValue="1" count="2">
        <n v="0"/>
        <n v="1"/>
      </sharedItems>
    </cacheField>
    <cacheField name="Delayed_Flag" numFmtId="0">
      <sharedItems containsSemiMixedTypes="0" containsString="0" containsNumber="1" containsInteger="1" minValue="0" maxValue="1" count="2">
        <n v="0"/>
        <n v="1"/>
      </sharedItems>
    </cacheField>
    <cacheField name="Cancelled_Flag" numFmtId="0">
      <sharedItems containsSemiMixedTypes="0" containsString="0" containsNumber="1" containsInteger="1" minValue="0" maxValue="1" count="2">
        <n v="0"/>
        <n v="1"/>
      </sharedItems>
    </cacheField>
    <cacheField name="Days (Order_Date)" numFmtId="0" databaseField="0">
      <fieldGroup base="1">
        <rangePr groupBy="days" startDate="2025-01-01T00:00:00" endDate="2026-01-01T00:00:00"/>
        <groupItems count="368">
          <s v="&lt;01-01-2025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01-01-2026"/>
        </groupItems>
      </fieldGroup>
    </cacheField>
    <cacheField name="Months (Order_Date)" numFmtId="0" databaseField="0">
      <fieldGroup base="1">
        <rangePr groupBy="months" startDate="2025-01-01T00:00:00" endDate="2026-01-01T00:00:00"/>
        <groupItems count="14">
          <s v="&lt;01-01-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-01-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00">
  <r>
    <x v="0"/>
    <x v="0"/>
    <s v="CUST0256"/>
    <x v="0"/>
    <x v="0"/>
    <x v="0"/>
    <x v="0"/>
    <n v="3"/>
    <n v="11626.56"/>
    <n v="0.1"/>
    <n v="10463.9"/>
    <n v="9098.4500000000007"/>
    <n v="1365.45"/>
    <x v="0"/>
    <n v="37"/>
    <d v="2025-04-14T13:00:00"/>
    <s v="Apr"/>
    <n v="4"/>
    <s v="Q2"/>
    <x v="0"/>
    <x v="0"/>
    <x v="0"/>
    <x v="0"/>
  </r>
  <r>
    <x v="1"/>
    <x v="1"/>
    <s v="CUST0116"/>
    <x v="1"/>
    <x v="1"/>
    <x v="1"/>
    <x v="1"/>
    <n v="2"/>
    <n v="9551.4599999999991"/>
    <n v="0.05"/>
    <n v="9073.89"/>
    <n v="7754.25"/>
    <n v="1319.64"/>
    <x v="0"/>
    <n v="13"/>
    <d v="2025-12-15T13:00:00"/>
    <s v="Dec"/>
    <n v="12"/>
    <s v="Q4"/>
    <x v="0"/>
    <x v="0"/>
    <x v="0"/>
    <x v="0"/>
  </r>
  <r>
    <x v="2"/>
    <x v="2"/>
    <s v="CUST0049"/>
    <x v="2"/>
    <x v="0"/>
    <x v="2"/>
    <x v="2"/>
    <n v="5"/>
    <n v="13189.6"/>
    <n v="0"/>
    <n v="13189.6"/>
    <n v="11102.28"/>
    <n v="2087.3200000000002"/>
    <x v="0"/>
    <n v="8"/>
    <d v="2025-09-28T08:00:00"/>
    <s v="Sep"/>
    <n v="9"/>
    <s v="Q3"/>
    <x v="0"/>
    <x v="0"/>
    <x v="0"/>
    <x v="0"/>
  </r>
  <r>
    <x v="3"/>
    <x v="3"/>
    <s v="CUST0227"/>
    <x v="3"/>
    <x v="2"/>
    <x v="2"/>
    <x v="3"/>
    <n v="1"/>
    <n v="3949.88"/>
    <n v="0"/>
    <n v="3949.88"/>
    <n v="2761.71"/>
    <n v="1188.17"/>
    <x v="1"/>
    <n v="16"/>
    <d v="2025-04-17T16:00:00"/>
    <s v="Apr"/>
    <n v="4"/>
    <s v="Q2"/>
    <x v="1"/>
    <x v="0"/>
    <x v="0"/>
    <x v="1"/>
  </r>
  <r>
    <x v="4"/>
    <x v="4"/>
    <s v="CUST0069"/>
    <x v="4"/>
    <x v="3"/>
    <x v="1"/>
    <x v="4"/>
    <n v="2"/>
    <n v="3031.34"/>
    <n v="0.1"/>
    <n v="2728.21"/>
    <n v="2272.25"/>
    <n v="455.96"/>
    <x v="0"/>
    <n v="6"/>
    <d v="2025-03-13T06:00:00"/>
    <s v="Mar"/>
    <n v="3"/>
    <s v="Q1"/>
    <x v="0"/>
    <x v="0"/>
    <x v="0"/>
    <x v="0"/>
  </r>
  <r>
    <x v="5"/>
    <x v="5"/>
    <s v="CUST0126"/>
    <x v="5"/>
    <x v="4"/>
    <x v="2"/>
    <x v="2"/>
    <n v="7"/>
    <n v="18826.009999999998"/>
    <n v="0.15"/>
    <n v="16002.11"/>
    <n v="9056.7199999999993"/>
    <n v="6945.39"/>
    <x v="0"/>
    <n v="22"/>
    <d v="2025-07-08T22:00:00"/>
    <s v="Jul"/>
    <n v="7"/>
    <s v="Q3"/>
    <x v="0"/>
    <x v="0"/>
    <x v="0"/>
    <x v="0"/>
  </r>
  <r>
    <x v="6"/>
    <x v="6"/>
    <s v="CUST0213"/>
    <x v="6"/>
    <x v="4"/>
    <x v="1"/>
    <x v="5"/>
    <n v="4"/>
    <n v="21344.959999999999"/>
    <n v="0"/>
    <n v="21344.959999999999"/>
    <n v="12785.86"/>
    <n v="8559.1"/>
    <x v="1"/>
    <n v="23"/>
    <d v="2025-01-21T23:00:00"/>
    <s v="Jan"/>
    <n v="1"/>
    <s v="Q1"/>
    <x v="1"/>
    <x v="0"/>
    <x v="0"/>
    <x v="1"/>
  </r>
  <r>
    <x v="7"/>
    <x v="0"/>
    <s v="CUST0053"/>
    <x v="7"/>
    <x v="1"/>
    <x v="0"/>
    <x v="6"/>
    <n v="5"/>
    <n v="13350.15"/>
    <n v="0"/>
    <n v="13350.15"/>
    <n v="9166.34"/>
    <n v="4183.8100000000004"/>
    <x v="0"/>
    <n v="47"/>
    <d v="2025-04-14T23:00:00"/>
    <s v="Apr"/>
    <n v="4"/>
    <s v="Q2"/>
    <x v="0"/>
    <x v="0"/>
    <x v="0"/>
    <x v="0"/>
  </r>
  <r>
    <x v="8"/>
    <x v="7"/>
    <s v="CUST0112"/>
    <x v="6"/>
    <x v="0"/>
    <x v="3"/>
    <x v="7"/>
    <n v="1"/>
    <n v="7662.85"/>
    <n v="0.2"/>
    <n v="6130.28"/>
    <n v="4349.55"/>
    <n v="1780.73"/>
    <x v="0"/>
    <n v="38"/>
    <d v="2025-05-03T14:00:00"/>
    <s v="May"/>
    <n v="5"/>
    <s v="Q2"/>
    <x v="0"/>
    <x v="0"/>
    <x v="0"/>
    <x v="0"/>
  </r>
  <r>
    <x v="9"/>
    <x v="8"/>
    <s v="CUST0159"/>
    <x v="8"/>
    <x v="5"/>
    <x v="1"/>
    <x v="8"/>
    <n v="3"/>
    <n v="16191.6"/>
    <n v="0"/>
    <n v="16191.6"/>
    <n v="10313.36"/>
    <n v="5878.24"/>
    <x v="0"/>
    <n v="9"/>
    <d v="2025-08-03T09:00:00"/>
    <s v="Aug"/>
    <n v="8"/>
    <s v="Q3"/>
    <x v="0"/>
    <x v="0"/>
    <x v="0"/>
    <x v="0"/>
  </r>
  <r>
    <x v="10"/>
    <x v="9"/>
    <s v="CUST0240"/>
    <x v="6"/>
    <x v="5"/>
    <x v="4"/>
    <x v="9"/>
    <n v="7"/>
    <n v="26689.040000000001"/>
    <n v="0.2"/>
    <n v="21351.23"/>
    <n v="14254.88"/>
    <n v="7096.35"/>
    <x v="2"/>
    <n v="79"/>
    <d v="2025-11-30T07:00:00"/>
    <s v="Nov"/>
    <n v="11"/>
    <s v="Q4"/>
    <x v="1"/>
    <x v="0"/>
    <x v="1"/>
    <x v="0"/>
  </r>
  <r>
    <x v="11"/>
    <x v="10"/>
    <s v="CUST0150"/>
    <x v="2"/>
    <x v="3"/>
    <x v="1"/>
    <x v="10"/>
    <n v="1"/>
    <n v="473.62"/>
    <n v="0.05"/>
    <n v="449.94"/>
    <n v="271.64"/>
    <n v="178.3"/>
    <x v="0"/>
    <n v="7"/>
    <d v="2025-03-29T07:00:00"/>
    <s v="Mar"/>
    <n v="3"/>
    <s v="Q1"/>
    <x v="0"/>
    <x v="0"/>
    <x v="0"/>
    <x v="0"/>
  </r>
  <r>
    <x v="12"/>
    <x v="11"/>
    <s v="CUST0139"/>
    <x v="3"/>
    <x v="6"/>
    <x v="2"/>
    <x v="11"/>
    <n v="3"/>
    <n v="12963.69"/>
    <n v="0.15"/>
    <n v="11019.14"/>
    <n v="7839.17"/>
    <n v="3179.97"/>
    <x v="1"/>
    <n v="8"/>
    <d v="2025-04-10T08:00:00"/>
    <s v="Apr"/>
    <n v="4"/>
    <s v="Q2"/>
    <x v="1"/>
    <x v="0"/>
    <x v="0"/>
    <x v="1"/>
  </r>
  <r>
    <x v="13"/>
    <x v="12"/>
    <s v="CUST0113"/>
    <x v="5"/>
    <x v="2"/>
    <x v="0"/>
    <x v="6"/>
    <n v="5"/>
    <n v="32679.4"/>
    <n v="0.05"/>
    <n v="31045.43"/>
    <n v="25207.9"/>
    <n v="5837.53"/>
    <x v="1"/>
    <n v="14"/>
    <d v="2025-12-26T14:00:00"/>
    <s v="Dec"/>
    <n v="12"/>
    <s v="Q4"/>
    <x v="1"/>
    <x v="0"/>
    <x v="0"/>
    <x v="1"/>
  </r>
  <r>
    <x v="14"/>
    <x v="13"/>
    <s v="CUST0143"/>
    <x v="4"/>
    <x v="0"/>
    <x v="0"/>
    <x v="6"/>
    <n v="3"/>
    <n v="7102.23"/>
    <n v="0.2"/>
    <n v="5681.78"/>
    <n v="4365.0200000000004"/>
    <n v="1316.76"/>
    <x v="3"/>
    <n v="15"/>
    <d v="2025-06-01T15:00:00"/>
    <s v="Jun"/>
    <n v="6"/>
    <s v="Q2"/>
    <x v="1"/>
    <x v="1"/>
    <x v="0"/>
    <x v="0"/>
  </r>
  <r>
    <x v="15"/>
    <x v="14"/>
    <s v="CUST0138"/>
    <x v="4"/>
    <x v="5"/>
    <x v="1"/>
    <x v="4"/>
    <n v="4"/>
    <n v="27546.240000000002"/>
    <n v="0.15"/>
    <n v="23414.3"/>
    <n v="13710.75"/>
    <n v="9703.5499999999993"/>
    <x v="3"/>
    <n v="20"/>
    <d v="2025-05-11T20:00:00"/>
    <s v="May"/>
    <n v="5"/>
    <s v="Q2"/>
    <x v="1"/>
    <x v="1"/>
    <x v="0"/>
    <x v="0"/>
  </r>
  <r>
    <x v="16"/>
    <x v="15"/>
    <s v="CUST0031"/>
    <x v="1"/>
    <x v="5"/>
    <x v="3"/>
    <x v="12"/>
    <n v="7"/>
    <n v="15768.13"/>
    <n v="0.05"/>
    <n v="14979.72"/>
    <n v="10649.11"/>
    <n v="4330.6099999999997"/>
    <x v="1"/>
    <n v="7"/>
    <d v="2025-05-30T07:00:00"/>
    <s v="May"/>
    <n v="5"/>
    <s v="Q2"/>
    <x v="1"/>
    <x v="0"/>
    <x v="0"/>
    <x v="1"/>
  </r>
  <r>
    <x v="17"/>
    <x v="16"/>
    <s v="CUST0293"/>
    <x v="7"/>
    <x v="0"/>
    <x v="4"/>
    <x v="13"/>
    <n v="6"/>
    <n v="42169.68"/>
    <n v="0"/>
    <n v="42169.68"/>
    <n v="32901.769999999997"/>
    <n v="9267.91"/>
    <x v="1"/>
    <n v="15"/>
    <d v="2025-11-05T15:00:00"/>
    <s v="Nov"/>
    <n v="11"/>
    <s v="Q4"/>
    <x v="1"/>
    <x v="0"/>
    <x v="0"/>
    <x v="1"/>
  </r>
  <r>
    <x v="18"/>
    <x v="17"/>
    <s v="CUST0108"/>
    <x v="0"/>
    <x v="6"/>
    <x v="0"/>
    <x v="14"/>
    <n v="3"/>
    <n v="2585.9699999999998"/>
    <n v="0.15"/>
    <n v="2198.0700000000002"/>
    <n v="1593.3"/>
    <n v="604.77"/>
    <x v="0"/>
    <n v="23"/>
    <d v="2025-09-15T23:00:00"/>
    <s v="Sep"/>
    <n v="9"/>
    <s v="Q3"/>
    <x v="0"/>
    <x v="0"/>
    <x v="0"/>
    <x v="0"/>
  </r>
  <r>
    <x v="19"/>
    <x v="18"/>
    <s v="CUST0284"/>
    <x v="3"/>
    <x v="7"/>
    <x v="2"/>
    <x v="15"/>
    <n v="4"/>
    <n v="29530.52"/>
    <n v="0.1"/>
    <n v="26577.47"/>
    <n v="18052.82"/>
    <n v="8524.65"/>
    <x v="0"/>
    <n v="27"/>
    <d v="2025-12-11T03:00:00"/>
    <s v="Dec"/>
    <n v="12"/>
    <s v="Q4"/>
    <x v="0"/>
    <x v="0"/>
    <x v="0"/>
    <x v="0"/>
  </r>
  <r>
    <x v="20"/>
    <x v="19"/>
    <s v="CUST0159"/>
    <x v="0"/>
    <x v="2"/>
    <x v="2"/>
    <x v="2"/>
    <n v="6"/>
    <n v="25909.26"/>
    <n v="0"/>
    <n v="25909.26"/>
    <n v="19567.5"/>
    <n v="6341.76"/>
    <x v="0"/>
    <n v="38"/>
    <d v="2025-10-22T14:00:00"/>
    <s v="Oct"/>
    <n v="10"/>
    <s v="Q4"/>
    <x v="0"/>
    <x v="0"/>
    <x v="0"/>
    <x v="0"/>
  </r>
  <r>
    <x v="21"/>
    <x v="20"/>
    <s v="CUST0014"/>
    <x v="5"/>
    <x v="1"/>
    <x v="3"/>
    <x v="16"/>
    <n v="7"/>
    <n v="18382.63"/>
    <n v="0"/>
    <n v="18382.63"/>
    <n v="15986.47"/>
    <n v="2396.16"/>
    <x v="2"/>
    <n v="89"/>
    <d v="2025-07-14T17:00:00"/>
    <s v="Jul"/>
    <n v="7"/>
    <s v="Q3"/>
    <x v="1"/>
    <x v="0"/>
    <x v="1"/>
    <x v="0"/>
  </r>
  <r>
    <x v="22"/>
    <x v="21"/>
    <s v="CUST0122"/>
    <x v="6"/>
    <x v="2"/>
    <x v="0"/>
    <x v="17"/>
    <n v="5"/>
    <n v="11818.5"/>
    <n v="0.15"/>
    <n v="10045.719999999999"/>
    <n v="5839.77"/>
    <n v="4205.95"/>
    <x v="0"/>
    <n v="22"/>
    <d v="2025-10-04T22:00:00"/>
    <s v="Oct"/>
    <n v="10"/>
    <s v="Q4"/>
    <x v="0"/>
    <x v="0"/>
    <x v="0"/>
    <x v="0"/>
  </r>
  <r>
    <x v="23"/>
    <x v="22"/>
    <s v="CUST0215"/>
    <x v="4"/>
    <x v="3"/>
    <x v="1"/>
    <x v="4"/>
    <n v="5"/>
    <n v="18786.45"/>
    <n v="0.05"/>
    <n v="17847.13"/>
    <n v="12112.94"/>
    <n v="5734.19"/>
    <x v="2"/>
    <n v="61"/>
    <d v="2025-06-12T13:00:00"/>
    <s v="Jun"/>
    <n v="6"/>
    <s v="Q2"/>
    <x v="1"/>
    <x v="0"/>
    <x v="1"/>
    <x v="0"/>
  </r>
  <r>
    <x v="24"/>
    <x v="23"/>
    <s v="CUST0272"/>
    <x v="5"/>
    <x v="1"/>
    <x v="2"/>
    <x v="2"/>
    <n v="7"/>
    <n v="59444.42"/>
    <n v="0.1"/>
    <n v="53499.98"/>
    <n v="36603.61"/>
    <n v="16896.37"/>
    <x v="0"/>
    <n v="36"/>
    <d v="2025-11-11T12:00:00"/>
    <s v="Nov"/>
    <n v="11"/>
    <s v="Q4"/>
    <x v="0"/>
    <x v="0"/>
    <x v="0"/>
    <x v="0"/>
  </r>
  <r>
    <x v="25"/>
    <x v="24"/>
    <s v="CUST0025"/>
    <x v="6"/>
    <x v="6"/>
    <x v="3"/>
    <x v="18"/>
    <n v="7"/>
    <n v="13928.11"/>
    <n v="0.1"/>
    <n v="12535.3"/>
    <n v="9281.1299999999992"/>
    <n v="3254.17"/>
    <x v="0"/>
    <n v="5"/>
    <d v="2025-01-22T05:00:00"/>
    <s v="Jan"/>
    <n v="1"/>
    <s v="Q1"/>
    <x v="0"/>
    <x v="0"/>
    <x v="0"/>
    <x v="0"/>
  </r>
  <r>
    <x v="26"/>
    <x v="25"/>
    <s v="CUST0294"/>
    <x v="4"/>
    <x v="3"/>
    <x v="0"/>
    <x v="17"/>
    <n v="1"/>
    <n v="1011.86"/>
    <n v="0.2"/>
    <n v="809.49"/>
    <n v="485.87"/>
    <n v="323.62"/>
    <x v="2"/>
    <n v="88"/>
    <d v="2025-09-13T16:00:00"/>
    <s v="Sep"/>
    <n v="9"/>
    <s v="Q3"/>
    <x v="1"/>
    <x v="0"/>
    <x v="1"/>
    <x v="0"/>
  </r>
  <r>
    <x v="27"/>
    <x v="26"/>
    <s v="CUST0169"/>
    <x v="6"/>
    <x v="4"/>
    <x v="0"/>
    <x v="6"/>
    <n v="4"/>
    <n v="20140.16"/>
    <n v="0.2"/>
    <n v="16112.13"/>
    <n v="9800.8799999999992"/>
    <n v="6311.25"/>
    <x v="0"/>
    <n v="48"/>
    <d v="2025-08-26T00:00:00"/>
    <s v="Aug"/>
    <n v="8"/>
    <s v="Q3"/>
    <x v="0"/>
    <x v="0"/>
    <x v="0"/>
    <x v="0"/>
  </r>
  <r>
    <x v="28"/>
    <x v="27"/>
    <s v="CUST0103"/>
    <x v="7"/>
    <x v="4"/>
    <x v="0"/>
    <x v="19"/>
    <n v="4"/>
    <n v="16917.32"/>
    <n v="0.25"/>
    <n v="12687.99"/>
    <n v="8173.21"/>
    <n v="4514.78"/>
    <x v="3"/>
    <n v="14"/>
    <d v="2025-12-11T14:00:00"/>
    <s v="Dec"/>
    <n v="12"/>
    <s v="Q4"/>
    <x v="1"/>
    <x v="1"/>
    <x v="0"/>
    <x v="0"/>
  </r>
  <r>
    <x v="29"/>
    <x v="28"/>
    <s v="CUST0040"/>
    <x v="3"/>
    <x v="2"/>
    <x v="0"/>
    <x v="6"/>
    <n v="7"/>
    <n v="31689.279999999999"/>
    <n v="0"/>
    <n v="31689.279999999999"/>
    <n v="27425.08"/>
    <n v="4264.2"/>
    <x v="2"/>
    <n v="96"/>
    <d v="2025-02-22T00:00:00"/>
    <s v="Feb"/>
    <n v="2"/>
    <s v="Q1"/>
    <x v="1"/>
    <x v="0"/>
    <x v="1"/>
    <x v="0"/>
  </r>
  <r>
    <x v="30"/>
    <x v="29"/>
    <s v="CUST0235"/>
    <x v="8"/>
    <x v="3"/>
    <x v="0"/>
    <x v="19"/>
    <n v="2"/>
    <n v="11437.82"/>
    <n v="0.2"/>
    <n v="9150.26"/>
    <n v="7249.35"/>
    <n v="1900.91"/>
    <x v="0"/>
    <n v="33"/>
    <d v="2025-03-01T09:00:00"/>
    <s v="Feb"/>
    <n v="2"/>
    <s v="Q1"/>
    <x v="0"/>
    <x v="0"/>
    <x v="0"/>
    <x v="0"/>
  </r>
  <r>
    <x v="31"/>
    <x v="30"/>
    <s v="CUST0089"/>
    <x v="5"/>
    <x v="1"/>
    <x v="2"/>
    <x v="15"/>
    <n v="2"/>
    <n v="4761.3"/>
    <n v="0.05"/>
    <n v="4523.2299999999996"/>
    <n v="3475.46"/>
    <n v="1047.77"/>
    <x v="0"/>
    <n v="27"/>
    <d v="2025-06-20T03:00:00"/>
    <s v="Jun"/>
    <n v="6"/>
    <s v="Q2"/>
    <x v="0"/>
    <x v="0"/>
    <x v="0"/>
    <x v="0"/>
  </r>
  <r>
    <x v="32"/>
    <x v="31"/>
    <s v="CUST0100"/>
    <x v="5"/>
    <x v="1"/>
    <x v="3"/>
    <x v="20"/>
    <n v="6"/>
    <n v="46524.3"/>
    <n v="0.1"/>
    <n v="41871.870000000003"/>
    <n v="34318.019999999997"/>
    <n v="7553.85"/>
    <x v="2"/>
    <n v="64"/>
    <d v="2025-07-09T16:00:00"/>
    <s v="Jul"/>
    <n v="7"/>
    <s v="Q3"/>
    <x v="1"/>
    <x v="0"/>
    <x v="1"/>
    <x v="0"/>
  </r>
  <r>
    <x v="33"/>
    <x v="2"/>
    <s v="CUST0144"/>
    <x v="9"/>
    <x v="4"/>
    <x v="0"/>
    <x v="14"/>
    <n v="6"/>
    <n v="22727.16"/>
    <n v="0.1"/>
    <n v="20454.439999999999"/>
    <n v="12111.08"/>
    <n v="8343.36"/>
    <x v="1"/>
    <n v="13"/>
    <d v="2025-09-28T13:00:00"/>
    <s v="Sep"/>
    <n v="9"/>
    <s v="Q3"/>
    <x v="1"/>
    <x v="0"/>
    <x v="0"/>
    <x v="1"/>
  </r>
  <r>
    <x v="34"/>
    <x v="32"/>
    <s v="CUST0082"/>
    <x v="2"/>
    <x v="4"/>
    <x v="4"/>
    <x v="21"/>
    <n v="2"/>
    <n v="2455.7399999999998"/>
    <n v="0"/>
    <n v="2455.7399999999998"/>
    <n v="2047.06"/>
    <n v="408.68"/>
    <x v="0"/>
    <n v="44"/>
    <d v="2025-07-10T20:00:00"/>
    <s v="Jul"/>
    <n v="7"/>
    <s v="Q3"/>
    <x v="0"/>
    <x v="0"/>
    <x v="0"/>
    <x v="0"/>
  </r>
  <r>
    <x v="35"/>
    <x v="33"/>
    <s v="CUST0077"/>
    <x v="7"/>
    <x v="6"/>
    <x v="4"/>
    <x v="22"/>
    <n v="7"/>
    <n v="44437.33"/>
    <n v="0.2"/>
    <n v="35549.86"/>
    <n v="26530.68"/>
    <n v="9019.18"/>
    <x v="3"/>
    <n v="20"/>
    <d v="2025-06-24T20:00:00"/>
    <s v="Jun"/>
    <n v="6"/>
    <s v="Q2"/>
    <x v="1"/>
    <x v="1"/>
    <x v="0"/>
    <x v="0"/>
  </r>
  <r>
    <x v="36"/>
    <x v="34"/>
    <s v="CUST0059"/>
    <x v="7"/>
    <x v="3"/>
    <x v="3"/>
    <x v="18"/>
    <n v="7"/>
    <n v="38639.440000000002"/>
    <n v="0"/>
    <n v="38639.440000000002"/>
    <n v="25527.48"/>
    <n v="13111.96"/>
    <x v="0"/>
    <n v="21"/>
    <d v="2025-02-20T21:00:00"/>
    <s v="Feb"/>
    <n v="2"/>
    <s v="Q1"/>
    <x v="0"/>
    <x v="0"/>
    <x v="0"/>
    <x v="0"/>
  </r>
  <r>
    <x v="37"/>
    <x v="35"/>
    <s v="CUST0229"/>
    <x v="0"/>
    <x v="1"/>
    <x v="1"/>
    <x v="1"/>
    <n v="6"/>
    <n v="16718.759999999998"/>
    <n v="0.1"/>
    <n v="15046.88"/>
    <n v="12326.89"/>
    <n v="2719.99"/>
    <x v="0"/>
    <n v="22"/>
    <d v="2025-12-30T22:00:00"/>
    <s v="Dec"/>
    <n v="12"/>
    <s v="Q4"/>
    <x v="0"/>
    <x v="0"/>
    <x v="0"/>
    <x v="0"/>
  </r>
  <r>
    <x v="38"/>
    <x v="36"/>
    <s v="CUST0091"/>
    <x v="6"/>
    <x v="5"/>
    <x v="1"/>
    <x v="10"/>
    <n v="3"/>
    <n v="16019.04"/>
    <n v="0.15"/>
    <n v="13616.18"/>
    <n v="11095.09"/>
    <n v="2521.09"/>
    <x v="0"/>
    <n v="10"/>
    <d v="2025-02-24T10:00:00"/>
    <s v="Feb"/>
    <n v="2"/>
    <s v="Q1"/>
    <x v="0"/>
    <x v="0"/>
    <x v="0"/>
    <x v="0"/>
  </r>
  <r>
    <x v="39"/>
    <x v="37"/>
    <s v="CUST0001"/>
    <x v="2"/>
    <x v="6"/>
    <x v="1"/>
    <x v="4"/>
    <n v="7"/>
    <n v="13900.95"/>
    <n v="0.15"/>
    <n v="11815.81"/>
    <n v="9796.2999999999993"/>
    <n v="2019.51"/>
    <x v="3"/>
    <n v="0"/>
    <d v="2025-09-01T00:00:00"/>
    <s v="Sep"/>
    <n v="9"/>
    <s v="Q3"/>
    <x v="1"/>
    <x v="1"/>
    <x v="0"/>
    <x v="0"/>
  </r>
  <r>
    <x v="40"/>
    <x v="38"/>
    <s v="CUST0269"/>
    <x v="3"/>
    <x v="1"/>
    <x v="4"/>
    <x v="9"/>
    <n v="2"/>
    <n v="7728.82"/>
    <n v="0"/>
    <n v="7728.82"/>
    <n v="4545.4799999999996"/>
    <n v="3183.34"/>
    <x v="0"/>
    <n v="27"/>
    <d v="2025-11-17T03:00:00"/>
    <s v="Nov"/>
    <n v="11"/>
    <s v="Q4"/>
    <x v="0"/>
    <x v="0"/>
    <x v="0"/>
    <x v="0"/>
  </r>
  <r>
    <x v="41"/>
    <x v="14"/>
    <s v="CUST0286"/>
    <x v="3"/>
    <x v="4"/>
    <x v="1"/>
    <x v="5"/>
    <n v="4"/>
    <n v="30640.36"/>
    <n v="0.05"/>
    <n v="29108.34"/>
    <n v="25321.03"/>
    <n v="3787.31"/>
    <x v="0"/>
    <n v="18"/>
    <d v="2025-05-11T18:00:00"/>
    <s v="May"/>
    <n v="5"/>
    <s v="Q2"/>
    <x v="0"/>
    <x v="0"/>
    <x v="0"/>
    <x v="0"/>
  </r>
  <r>
    <x v="42"/>
    <x v="39"/>
    <s v="CUST0197"/>
    <x v="7"/>
    <x v="3"/>
    <x v="2"/>
    <x v="3"/>
    <n v="7"/>
    <n v="8855.07"/>
    <n v="0.15"/>
    <n v="7526.81"/>
    <n v="6523.31"/>
    <n v="1003.5"/>
    <x v="0"/>
    <n v="44"/>
    <d v="2025-11-04T20:00:00"/>
    <s v="Nov"/>
    <n v="11"/>
    <s v="Q4"/>
    <x v="0"/>
    <x v="0"/>
    <x v="0"/>
    <x v="0"/>
  </r>
  <r>
    <x v="43"/>
    <x v="40"/>
    <s v="CUST0274"/>
    <x v="3"/>
    <x v="7"/>
    <x v="0"/>
    <x v="19"/>
    <n v="7"/>
    <n v="23652.44"/>
    <n v="0.05"/>
    <n v="22469.82"/>
    <n v="15009.05"/>
    <n v="7460.77"/>
    <x v="0"/>
    <n v="45"/>
    <d v="2025-05-16T21:00:00"/>
    <s v="May"/>
    <n v="5"/>
    <s v="Q2"/>
    <x v="0"/>
    <x v="0"/>
    <x v="0"/>
    <x v="0"/>
  </r>
  <r>
    <x v="44"/>
    <x v="6"/>
    <s v="CUST0078"/>
    <x v="9"/>
    <x v="3"/>
    <x v="4"/>
    <x v="13"/>
    <n v="3"/>
    <n v="21019.62"/>
    <n v="0.1"/>
    <n v="18917.66"/>
    <n v="10816.08"/>
    <n v="8101.58"/>
    <x v="0"/>
    <n v="26"/>
    <d v="2025-01-22T02:00:00"/>
    <s v="Jan"/>
    <n v="1"/>
    <s v="Q1"/>
    <x v="0"/>
    <x v="0"/>
    <x v="0"/>
    <x v="0"/>
  </r>
  <r>
    <x v="45"/>
    <x v="41"/>
    <s v="CUST0141"/>
    <x v="5"/>
    <x v="0"/>
    <x v="3"/>
    <x v="12"/>
    <n v="6"/>
    <n v="49471.5"/>
    <n v="0.05"/>
    <n v="46997.919999999998"/>
    <n v="28439.77"/>
    <n v="18558.150000000001"/>
    <x v="3"/>
    <n v="1"/>
    <d v="2025-11-25T01:00:00"/>
    <s v="Nov"/>
    <n v="11"/>
    <s v="Q4"/>
    <x v="1"/>
    <x v="1"/>
    <x v="0"/>
    <x v="0"/>
  </r>
  <r>
    <x v="46"/>
    <x v="42"/>
    <s v="CUST0288"/>
    <x v="1"/>
    <x v="5"/>
    <x v="3"/>
    <x v="7"/>
    <n v="7"/>
    <n v="27581.96"/>
    <n v="0.1"/>
    <n v="24823.759999999998"/>
    <n v="21786.18"/>
    <n v="3037.58"/>
    <x v="0"/>
    <n v="41"/>
    <d v="2025-06-17T17:00:00"/>
    <s v="Jun"/>
    <n v="6"/>
    <s v="Q2"/>
    <x v="0"/>
    <x v="0"/>
    <x v="0"/>
    <x v="0"/>
  </r>
  <r>
    <x v="47"/>
    <x v="43"/>
    <s v="CUST0071"/>
    <x v="8"/>
    <x v="5"/>
    <x v="0"/>
    <x v="17"/>
    <n v="5"/>
    <n v="21917.25"/>
    <n v="0.2"/>
    <n v="17533.8"/>
    <n v="12901.27"/>
    <n v="4632.53"/>
    <x v="0"/>
    <n v="7"/>
    <d v="2025-10-01T07:00:00"/>
    <s v="Oct"/>
    <n v="10"/>
    <s v="Q4"/>
    <x v="0"/>
    <x v="0"/>
    <x v="0"/>
    <x v="0"/>
  </r>
  <r>
    <x v="48"/>
    <x v="44"/>
    <s v="CUST0050"/>
    <x v="0"/>
    <x v="5"/>
    <x v="4"/>
    <x v="23"/>
    <n v="1"/>
    <n v="4927.6400000000003"/>
    <n v="0.1"/>
    <n v="4434.88"/>
    <n v="2961.1"/>
    <n v="1473.78"/>
    <x v="1"/>
    <n v="22"/>
    <d v="2025-03-30T22:00:00"/>
    <s v="Mar"/>
    <n v="3"/>
    <s v="Q1"/>
    <x v="1"/>
    <x v="0"/>
    <x v="0"/>
    <x v="1"/>
  </r>
  <r>
    <x v="49"/>
    <x v="45"/>
    <s v="CUST0080"/>
    <x v="6"/>
    <x v="7"/>
    <x v="1"/>
    <x v="10"/>
    <n v="2"/>
    <n v="15870.22"/>
    <n v="0.1"/>
    <n v="14283.2"/>
    <n v="9214.19"/>
    <n v="5069.01"/>
    <x v="3"/>
    <n v="21"/>
    <d v="2025-11-12T21:00:00"/>
    <s v="Nov"/>
    <n v="11"/>
    <s v="Q4"/>
    <x v="1"/>
    <x v="1"/>
    <x v="0"/>
    <x v="0"/>
  </r>
  <r>
    <x v="50"/>
    <x v="46"/>
    <s v="CUST0235"/>
    <x v="8"/>
    <x v="2"/>
    <x v="1"/>
    <x v="4"/>
    <n v="5"/>
    <n v="36580.15"/>
    <n v="0.05"/>
    <n v="34751.14"/>
    <n v="22060.28"/>
    <n v="12690.86"/>
    <x v="1"/>
    <n v="7"/>
    <d v="2025-01-14T07:00:00"/>
    <s v="Jan"/>
    <n v="1"/>
    <s v="Q1"/>
    <x v="1"/>
    <x v="0"/>
    <x v="0"/>
    <x v="1"/>
  </r>
  <r>
    <x v="51"/>
    <x v="47"/>
    <s v="CUST0287"/>
    <x v="6"/>
    <x v="2"/>
    <x v="2"/>
    <x v="24"/>
    <n v="6"/>
    <n v="9447.1200000000008"/>
    <n v="0.1"/>
    <n v="8502.41"/>
    <n v="6539.8"/>
    <n v="1962.61"/>
    <x v="3"/>
    <n v="24"/>
    <d v="2025-08-31T00:00:00"/>
    <s v="Aug"/>
    <n v="8"/>
    <s v="Q3"/>
    <x v="1"/>
    <x v="1"/>
    <x v="0"/>
    <x v="0"/>
  </r>
  <r>
    <x v="52"/>
    <x v="48"/>
    <s v="CUST0155"/>
    <x v="4"/>
    <x v="6"/>
    <x v="2"/>
    <x v="24"/>
    <n v="4"/>
    <n v="15187.72"/>
    <n v="0"/>
    <n v="15187.72"/>
    <n v="10455.200000000001"/>
    <n v="4732.5200000000004"/>
    <x v="0"/>
    <n v="43"/>
    <d v="2025-09-23T19:00:00"/>
    <s v="Sep"/>
    <n v="9"/>
    <s v="Q3"/>
    <x v="0"/>
    <x v="0"/>
    <x v="0"/>
    <x v="0"/>
  </r>
  <r>
    <x v="53"/>
    <x v="49"/>
    <s v="CUST0060"/>
    <x v="8"/>
    <x v="7"/>
    <x v="1"/>
    <x v="8"/>
    <n v="1"/>
    <n v="4024.4"/>
    <n v="0.05"/>
    <n v="3823.18"/>
    <n v="3320.76"/>
    <n v="502.42"/>
    <x v="0"/>
    <n v="40"/>
    <d v="2025-12-13T16:00:00"/>
    <s v="Dec"/>
    <n v="12"/>
    <s v="Q4"/>
    <x v="0"/>
    <x v="0"/>
    <x v="0"/>
    <x v="0"/>
  </r>
  <r>
    <x v="54"/>
    <x v="50"/>
    <s v="CUST0033"/>
    <x v="1"/>
    <x v="7"/>
    <x v="3"/>
    <x v="12"/>
    <n v="5"/>
    <n v="33694.75"/>
    <n v="0.05"/>
    <n v="32010.01"/>
    <n v="24829.15"/>
    <n v="7180.86"/>
    <x v="0"/>
    <n v="14"/>
    <d v="2025-02-22T14:00:00"/>
    <s v="Feb"/>
    <n v="2"/>
    <s v="Q1"/>
    <x v="0"/>
    <x v="0"/>
    <x v="0"/>
    <x v="0"/>
  </r>
  <r>
    <x v="55"/>
    <x v="51"/>
    <s v="CUST0127"/>
    <x v="7"/>
    <x v="6"/>
    <x v="3"/>
    <x v="16"/>
    <n v="1"/>
    <n v="5184.16"/>
    <n v="0.1"/>
    <n v="4665.74"/>
    <n v="3785.66"/>
    <n v="880.08"/>
    <x v="0"/>
    <n v="14"/>
    <d v="2025-12-06T14:00:00"/>
    <s v="Dec"/>
    <n v="12"/>
    <s v="Q4"/>
    <x v="0"/>
    <x v="0"/>
    <x v="0"/>
    <x v="0"/>
  </r>
  <r>
    <x v="56"/>
    <x v="52"/>
    <s v="CUST0221"/>
    <x v="9"/>
    <x v="3"/>
    <x v="2"/>
    <x v="11"/>
    <n v="2"/>
    <n v="11225.48"/>
    <n v="0.1"/>
    <n v="10102.93"/>
    <n v="6532.6"/>
    <n v="3570.33"/>
    <x v="1"/>
    <n v="1"/>
    <d v="2025-04-02T01:00:00"/>
    <s v="Apr"/>
    <n v="4"/>
    <s v="Q2"/>
    <x v="1"/>
    <x v="0"/>
    <x v="0"/>
    <x v="1"/>
  </r>
  <r>
    <x v="57"/>
    <x v="53"/>
    <s v="CUST0200"/>
    <x v="5"/>
    <x v="6"/>
    <x v="0"/>
    <x v="0"/>
    <n v="6"/>
    <n v="50909.82"/>
    <n v="0.05"/>
    <n v="48364.33"/>
    <n v="27864.21"/>
    <n v="20500.12"/>
    <x v="0"/>
    <n v="17"/>
    <d v="2025-09-21T17:00:00"/>
    <s v="Sep"/>
    <n v="9"/>
    <s v="Q3"/>
    <x v="0"/>
    <x v="0"/>
    <x v="0"/>
    <x v="0"/>
  </r>
  <r>
    <x v="58"/>
    <x v="54"/>
    <s v="CUST0126"/>
    <x v="5"/>
    <x v="0"/>
    <x v="1"/>
    <x v="1"/>
    <n v="7"/>
    <n v="5431.44"/>
    <n v="0.05"/>
    <n v="5159.87"/>
    <n v="3668.57"/>
    <n v="1491.3"/>
    <x v="2"/>
    <n v="72"/>
    <d v="2025-02-07T00:00:00"/>
    <s v="Feb"/>
    <n v="2"/>
    <s v="Q1"/>
    <x v="1"/>
    <x v="0"/>
    <x v="1"/>
    <x v="0"/>
  </r>
  <r>
    <x v="59"/>
    <x v="55"/>
    <s v="CUST0041"/>
    <x v="9"/>
    <x v="4"/>
    <x v="2"/>
    <x v="3"/>
    <n v="4"/>
    <n v="8048.52"/>
    <n v="0.05"/>
    <n v="7646.09"/>
    <n v="4999.1000000000004"/>
    <n v="2646.99"/>
    <x v="0"/>
    <n v="28"/>
    <d v="2025-07-26T04:00:00"/>
    <s v="Jul"/>
    <n v="7"/>
    <s v="Q3"/>
    <x v="0"/>
    <x v="0"/>
    <x v="0"/>
    <x v="0"/>
  </r>
  <r>
    <x v="60"/>
    <x v="56"/>
    <s v="CUST0275"/>
    <x v="2"/>
    <x v="2"/>
    <x v="2"/>
    <x v="24"/>
    <n v="6"/>
    <n v="21335.58"/>
    <n v="0.2"/>
    <n v="17068.46"/>
    <n v="10525.9"/>
    <n v="6542.56"/>
    <x v="0"/>
    <n v="21"/>
    <d v="2025-03-22T21:00:00"/>
    <s v="Mar"/>
    <n v="3"/>
    <s v="Q1"/>
    <x v="0"/>
    <x v="0"/>
    <x v="0"/>
    <x v="0"/>
  </r>
  <r>
    <x v="61"/>
    <x v="57"/>
    <s v="CUST0297"/>
    <x v="4"/>
    <x v="4"/>
    <x v="1"/>
    <x v="5"/>
    <n v="1"/>
    <n v="3053.98"/>
    <n v="0.1"/>
    <n v="2748.58"/>
    <n v="2375.8000000000002"/>
    <n v="372.78"/>
    <x v="1"/>
    <n v="11"/>
    <d v="2025-02-19T11:00:00"/>
    <s v="Feb"/>
    <n v="2"/>
    <s v="Q1"/>
    <x v="1"/>
    <x v="0"/>
    <x v="0"/>
    <x v="1"/>
  </r>
  <r>
    <x v="62"/>
    <x v="12"/>
    <s v="CUST0085"/>
    <x v="6"/>
    <x v="2"/>
    <x v="1"/>
    <x v="8"/>
    <n v="5"/>
    <n v="1653.7"/>
    <n v="0"/>
    <n v="1653.7"/>
    <n v="1151.83"/>
    <n v="501.87"/>
    <x v="3"/>
    <n v="2"/>
    <d v="2025-12-26T02:00:00"/>
    <s v="Dec"/>
    <n v="12"/>
    <s v="Q4"/>
    <x v="1"/>
    <x v="1"/>
    <x v="0"/>
    <x v="0"/>
  </r>
  <r>
    <x v="63"/>
    <x v="58"/>
    <s v="CUST0089"/>
    <x v="1"/>
    <x v="7"/>
    <x v="3"/>
    <x v="20"/>
    <n v="2"/>
    <n v="1832.68"/>
    <n v="0"/>
    <n v="1832.68"/>
    <n v="1113.6400000000001"/>
    <n v="719.04"/>
    <x v="0"/>
    <n v="21"/>
    <d v="2025-01-02T21:00:00"/>
    <s v="Jan"/>
    <n v="1"/>
    <s v="Q1"/>
    <x v="0"/>
    <x v="0"/>
    <x v="0"/>
    <x v="0"/>
  </r>
  <r>
    <x v="64"/>
    <x v="59"/>
    <s v="CUST0042"/>
    <x v="3"/>
    <x v="5"/>
    <x v="0"/>
    <x v="14"/>
    <n v="2"/>
    <n v="11671.92"/>
    <n v="0.25"/>
    <n v="8753.94"/>
    <n v="5388.53"/>
    <n v="3365.41"/>
    <x v="2"/>
    <n v="59"/>
    <d v="2025-02-25T11:00:00"/>
    <s v="Feb"/>
    <n v="2"/>
    <s v="Q1"/>
    <x v="1"/>
    <x v="0"/>
    <x v="1"/>
    <x v="0"/>
  </r>
  <r>
    <x v="65"/>
    <x v="60"/>
    <s v="CUST0120"/>
    <x v="8"/>
    <x v="6"/>
    <x v="0"/>
    <x v="0"/>
    <n v="6"/>
    <n v="44954.16"/>
    <n v="0.05"/>
    <n v="42706.45"/>
    <n v="27444.63"/>
    <n v="15261.82"/>
    <x v="0"/>
    <n v="10"/>
    <d v="2025-04-16T10:00:00"/>
    <s v="Apr"/>
    <n v="4"/>
    <s v="Q2"/>
    <x v="0"/>
    <x v="0"/>
    <x v="0"/>
    <x v="0"/>
  </r>
  <r>
    <x v="66"/>
    <x v="61"/>
    <s v="CUST0279"/>
    <x v="4"/>
    <x v="6"/>
    <x v="1"/>
    <x v="4"/>
    <n v="7"/>
    <n v="31106.6"/>
    <n v="0.15"/>
    <n v="26440.61"/>
    <n v="23261.77"/>
    <n v="3178.84"/>
    <x v="0"/>
    <n v="47"/>
    <d v="2025-09-18T23:00:00"/>
    <s v="Sep"/>
    <n v="9"/>
    <s v="Q3"/>
    <x v="0"/>
    <x v="0"/>
    <x v="0"/>
    <x v="0"/>
  </r>
  <r>
    <x v="67"/>
    <x v="62"/>
    <s v="CUST0033"/>
    <x v="8"/>
    <x v="6"/>
    <x v="4"/>
    <x v="9"/>
    <n v="5"/>
    <n v="23261.25"/>
    <n v="0"/>
    <n v="23261.25"/>
    <n v="14851"/>
    <n v="8410.25"/>
    <x v="0"/>
    <n v="17"/>
    <d v="2025-11-06T17:00:00"/>
    <s v="Nov"/>
    <n v="11"/>
    <s v="Q4"/>
    <x v="0"/>
    <x v="0"/>
    <x v="0"/>
    <x v="0"/>
  </r>
  <r>
    <x v="68"/>
    <x v="63"/>
    <s v="CUST0276"/>
    <x v="1"/>
    <x v="5"/>
    <x v="2"/>
    <x v="11"/>
    <n v="7"/>
    <n v="15960.21"/>
    <n v="0.2"/>
    <n v="12768.17"/>
    <n v="8407.9"/>
    <n v="4360.2700000000004"/>
    <x v="0"/>
    <n v="18"/>
    <d v="2025-07-10T18:00:00"/>
    <s v="Jul"/>
    <n v="7"/>
    <s v="Q3"/>
    <x v="0"/>
    <x v="0"/>
    <x v="0"/>
    <x v="0"/>
  </r>
  <r>
    <x v="69"/>
    <x v="64"/>
    <s v="CUST0153"/>
    <x v="0"/>
    <x v="0"/>
    <x v="2"/>
    <x v="11"/>
    <n v="7"/>
    <n v="45932.39"/>
    <n v="0.2"/>
    <n v="36745.910000000003"/>
    <n v="28205.360000000001"/>
    <n v="8540.5499999999993"/>
    <x v="3"/>
    <n v="19"/>
    <d v="2025-08-06T19:00:00"/>
    <s v="Aug"/>
    <n v="8"/>
    <s v="Q3"/>
    <x v="1"/>
    <x v="1"/>
    <x v="0"/>
    <x v="0"/>
  </r>
  <r>
    <x v="70"/>
    <x v="65"/>
    <s v="CUST0090"/>
    <x v="0"/>
    <x v="0"/>
    <x v="1"/>
    <x v="4"/>
    <n v="5"/>
    <n v="32137.4"/>
    <n v="0.1"/>
    <n v="28923.66"/>
    <n v="18713.82"/>
    <n v="10209.84"/>
    <x v="0"/>
    <n v="5"/>
    <d v="2025-02-13T05:00:00"/>
    <s v="Feb"/>
    <n v="2"/>
    <s v="Q1"/>
    <x v="0"/>
    <x v="0"/>
    <x v="0"/>
    <x v="0"/>
  </r>
  <r>
    <x v="71"/>
    <x v="66"/>
    <s v="CUST0104"/>
    <x v="4"/>
    <x v="5"/>
    <x v="4"/>
    <x v="21"/>
    <n v="1"/>
    <n v="5062.8500000000004"/>
    <n v="0"/>
    <n v="5062.8500000000004"/>
    <n v="3145.12"/>
    <n v="1917.73"/>
    <x v="0"/>
    <n v="33"/>
    <d v="2025-06-12T09:00:00"/>
    <s v="Jun"/>
    <n v="6"/>
    <s v="Q2"/>
    <x v="0"/>
    <x v="0"/>
    <x v="0"/>
    <x v="0"/>
  </r>
  <r>
    <x v="72"/>
    <x v="67"/>
    <s v="CUST0012"/>
    <x v="7"/>
    <x v="3"/>
    <x v="3"/>
    <x v="18"/>
    <n v="6"/>
    <n v="11554.5"/>
    <n v="0.05"/>
    <n v="10976.78"/>
    <n v="6611.87"/>
    <n v="4364.91"/>
    <x v="3"/>
    <n v="18"/>
    <d v="2025-07-21T18:00:00"/>
    <s v="Jul"/>
    <n v="7"/>
    <s v="Q3"/>
    <x v="1"/>
    <x v="1"/>
    <x v="0"/>
    <x v="0"/>
  </r>
  <r>
    <x v="73"/>
    <x v="68"/>
    <s v="CUST0160"/>
    <x v="1"/>
    <x v="5"/>
    <x v="1"/>
    <x v="5"/>
    <n v="6"/>
    <n v="5760.6"/>
    <n v="0.05"/>
    <n v="5472.57"/>
    <n v="3574.6"/>
    <n v="1897.97"/>
    <x v="2"/>
    <n v="69"/>
    <d v="2025-09-29T21:00:00"/>
    <s v="Sep"/>
    <n v="9"/>
    <s v="Q3"/>
    <x v="1"/>
    <x v="0"/>
    <x v="1"/>
    <x v="0"/>
  </r>
  <r>
    <x v="74"/>
    <x v="69"/>
    <s v="CUST0196"/>
    <x v="1"/>
    <x v="1"/>
    <x v="1"/>
    <x v="5"/>
    <n v="3"/>
    <n v="2059.17"/>
    <n v="0.1"/>
    <n v="1853.25"/>
    <n v="1084.06"/>
    <n v="769.19"/>
    <x v="3"/>
    <n v="9"/>
    <d v="2025-12-17T09:00:00"/>
    <s v="Dec"/>
    <n v="12"/>
    <s v="Q4"/>
    <x v="1"/>
    <x v="1"/>
    <x v="0"/>
    <x v="0"/>
  </r>
  <r>
    <x v="75"/>
    <x v="70"/>
    <s v="CUST0262"/>
    <x v="9"/>
    <x v="2"/>
    <x v="2"/>
    <x v="3"/>
    <n v="6"/>
    <n v="30594.06"/>
    <n v="0.05"/>
    <n v="29064.36"/>
    <n v="16164.24"/>
    <n v="12900.12"/>
    <x v="0"/>
    <n v="47"/>
    <d v="2025-11-01T23:00:00"/>
    <s v="Oct"/>
    <n v="10"/>
    <s v="Q4"/>
    <x v="0"/>
    <x v="0"/>
    <x v="0"/>
    <x v="0"/>
  </r>
  <r>
    <x v="76"/>
    <x v="2"/>
    <s v="CUST0091"/>
    <x v="7"/>
    <x v="1"/>
    <x v="1"/>
    <x v="5"/>
    <n v="2"/>
    <n v="14078.08"/>
    <n v="0"/>
    <n v="14078.08"/>
    <n v="11481.12"/>
    <n v="2596.96"/>
    <x v="0"/>
    <n v="16"/>
    <d v="2025-09-28T16:00:00"/>
    <s v="Sep"/>
    <n v="9"/>
    <s v="Q3"/>
    <x v="0"/>
    <x v="0"/>
    <x v="0"/>
    <x v="0"/>
  </r>
  <r>
    <x v="77"/>
    <x v="8"/>
    <s v="CUST0197"/>
    <x v="6"/>
    <x v="1"/>
    <x v="1"/>
    <x v="10"/>
    <n v="1"/>
    <n v="7317.06"/>
    <n v="0.1"/>
    <n v="6585.35"/>
    <n v="3921.61"/>
    <n v="2663.74"/>
    <x v="0"/>
    <n v="23"/>
    <d v="2025-08-03T23:00:00"/>
    <s v="Aug"/>
    <n v="8"/>
    <s v="Q3"/>
    <x v="0"/>
    <x v="0"/>
    <x v="0"/>
    <x v="0"/>
  </r>
  <r>
    <x v="78"/>
    <x v="71"/>
    <s v="CUST0069"/>
    <x v="6"/>
    <x v="5"/>
    <x v="1"/>
    <x v="8"/>
    <n v="5"/>
    <n v="20106.2"/>
    <n v="0.1"/>
    <n v="18095.580000000002"/>
    <n v="14586.35"/>
    <n v="3509.23"/>
    <x v="0"/>
    <n v="38"/>
    <d v="2025-09-10T14:00:00"/>
    <s v="Sep"/>
    <n v="9"/>
    <s v="Q3"/>
    <x v="0"/>
    <x v="0"/>
    <x v="0"/>
    <x v="0"/>
  </r>
  <r>
    <x v="79"/>
    <x v="32"/>
    <s v="CUST0220"/>
    <x v="3"/>
    <x v="2"/>
    <x v="2"/>
    <x v="11"/>
    <n v="6"/>
    <n v="40192.019999999997"/>
    <n v="0.05"/>
    <n v="38182.42"/>
    <n v="31049.52"/>
    <n v="7132.9"/>
    <x v="3"/>
    <n v="6"/>
    <d v="2025-07-09T06:00:00"/>
    <s v="Jul"/>
    <n v="7"/>
    <s v="Q3"/>
    <x v="1"/>
    <x v="1"/>
    <x v="0"/>
    <x v="0"/>
  </r>
  <r>
    <x v="80"/>
    <x v="72"/>
    <s v="CUST0214"/>
    <x v="5"/>
    <x v="3"/>
    <x v="3"/>
    <x v="18"/>
    <n v="1"/>
    <n v="8056.45"/>
    <n v="0"/>
    <n v="8056.45"/>
    <n v="5861.18"/>
    <n v="2195.27"/>
    <x v="1"/>
    <n v="15"/>
    <d v="2025-10-23T15:00:00"/>
    <s v="Oct"/>
    <n v="10"/>
    <s v="Q4"/>
    <x v="1"/>
    <x v="0"/>
    <x v="0"/>
    <x v="1"/>
  </r>
  <r>
    <x v="81"/>
    <x v="73"/>
    <s v="CUST0146"/>
    <x v="0"/>
    <x v="6"/>
    <x v="3"/>
    <x v="12"/>
    <n v="6"/>
    <n v="14686.02"/>
    <n v="0.25"/>
    <n v="11014.52"/>
    <n v="7183.62"/>
    <n v="3830.9"/>
    <x v="1"/>
    <n v="17"/>
    <d v="2025-08-01T17:00:00"/>
    <s v="Aug"/>
    <n v="8"/>
    <s v="Q3"/>
    <x v="1"/>
    <x v="0"/>
    <x v="0"/>
    <x v="1"/>
  </r>
  <r>
    <x v="82"/>
    <x v="74"/>
    <s v="CUST0233"/>
    <x v="6"/>
    <x v="1"/>
    <x v="1"/>
    <x v="1"/>
    <n v="5"/>
    <n v="17364.849999999999"/>
    <n v="0.1"/>
    <n v="15628.36"/>
    <n v="9343.58"/>
    <n v="6284.78"/>
    <x v="0"/>
    <n v="41"/>
    <d v="2025-07-28T17:00:00"/>
    <s v="Jul"/>
    <n v="7"/>
    <s v="Q3"/>
    <x v="0"/>
    <x v="0"/>
    <x v="0"/>
    <x v="0"/>
  </r>
  <r>
    <x v="83"/>
    <x v="75"/>
    <s v="CUST0234"/>
    <x v="7"/>
    <x v="5"/>
    <x v="2"/>
    <x v="2"/>
    <n v="4"/>
    <n v="31711.4"/>
    <n v="0.15"/>
    <n v="26954.69"/>
    <n v="21379"/>
    <n v="5575.69"/>
    <x v="0"/>
    <n v="38"/>
    <d v="2025-08-26T14:00:00"/>
    <s v="Aug"/>
    <n v="8"/>
    <s v="Q3"/>
    <x v="0"/>
    <x v="0"/>
    <x v="0"/>
    <x v="0"/>
  </r>
  <r>
    <x v="84"/>
    <x v="76"/>
    <s v="CUST0214"/>
    <x v="1"/>
    <x v="6"/>
    <x v="3"/>
    <x v="20"/>
    <n v="5"/>
    <n v="14871.15"/>
    <n v="0.1"/>
    <n v="13384.04"/>
    <n v="10017.39"/>
    <n v="3366.65"/>
    <x v="0"/>
    <n v="39"/>
    <d v="2025-12-05T15:00:00"/>
    <s v="Dec"/>
    <n v="12"/>
    <s v="Q4"/>
    <x v="0"/>
    <x v="0"/>
    <x v="0"/>
    <x v="0"/>
  </r>
  <r>
    <x v="85"/>
    <x v="50"/>
    <s v="CUST0061"/>
    <x v="6"/>
    <x v="5"/>
    <x v="3"/>
    <x v="7"/>
    <n v="5"/>
    <n v="38904.35"/>
    <n v="0"/>
    <n v="38904.35"/>
    <n v="29812.39"/>
    <n v="9091.9599999999991"/>
    <x v="3"/>
    <n v="9"/>
    <d v="2025-02-22T09:00:00"/>
    <s v="Feb"/>
    <n v="2"/>
    <s v="Q1"/>
    <x v="1"/>
    <x v="1"/>
    <x v="0"/>
    <x v="0"/>
  </r>
  <r>
    <x v="86"/>
    <x v="77"/>
    <s v="CUST0078"/>
    <x v="1"/>
    <x v="7"/>
    <x v="3"/>
    <x v="18"/>
    <n v="5"/>
    <n v="41708.6"/>
    <n v="0.05"/>
    <n v="39623.17"/>
    <n v="21906.1"/>
    <n v="17717.07"/>
    <x v="0"/>
    <n v="6"/>
    <d v="2025-10-07T06:00:00"/>
    <s v="Oct"/>
    <n v="10"/>
    <s v="Q4"/>
    <x v="0"/>
    <x v="0"/>
    <x v="0"/>
    <x v="0"/>
  </r>
  <r>
    <x v="87"/>
    <x v="78"/>
    <s v="CUST0095"/>
    <x v="6"/>
    <x v="1"/>
    <x v="2"/>
    <x v="24"/>
    <n v="6"/>
    <n v="34056.720000000001"/>
    <n v="0.05"/>
    <n v="32353.88"/>
    <n v="27697.53"/>
    <n v="4656.3500000000004"/>
    <x v="0"/>
    <n v="11"/>
    <d v="2025-08-05T11:00:00"/>
    <s v="Aug"/>
    <n v="8"/>
    <s v="Q3"/>
    <x v="0"/>
    <x v="0"/>
    <x v="0"/>
    <x v="0"/>
  </r>
  <r>
    <x v="88"/>
    <x v="71"/>
    <s v="CUST0216"/>
    <x v="0"/>
    <x v="7"/>
    <x v="2"/>
    <x v="11"/>
    <n v="3"/>
    <n v="20913.09"/>
    <n v="0.15"/>
    <n v="17776.13"/>
    <n v="10165.74"/>
    <n v="7610.39"/>
    <x v="0"/>
    <n v="43"/>
    <d v="2025-09-10T19:00:00"/>
    <s v="Sep"/>
    <n v="9"/>
    <s v="Q3"/>
    <x v="0"/>
    <x v="0"/>
    <x v="0"/>
    <x v="0"/>
  </r>
  <r>
    <x v="89"/>
    <x v="31"/>
    <s v="CUST0213"/>
    <x v="8"/>
    <x v="3"/>
    <x v="1"/>
    <x v="1"/>
    <n v="5"/>
    <n v="32043.55"/>
    <n v="0.1"/>
    <n v="28839.200000000001"/>
    <n v="19352.43"/>
    <n v="9486.77"/>
    <x v="2"/>
    <n v="52"/>
    <d v="2025-07-09T04:00:00"/>
    <s v="Jul"/>
    <n v="7"/>
    <s v="Q3"/>
    <x v="1"/>
    <x v="0"/>
    <x v="1"/>
    <x v="0"/>
  </r>
  <r>
    <x v="90"/>
    <x v="79"/>
    <s v="CUST0200"/>
    <x v="6"/>
    <x v="4"/>
    <x v="0"/>
    <x v="19"/>
    <n v="2"/>
    <n v="11982.22"/>
    <n v="0.05"/>
    <n v="11383.11"/>
    <n v="7773.47"/>
    <n v="3609.64"/>
    <x v="3"/>
    <n v="10"/>
    <d v="2025-02-10T10:00:00"/>
    <s v="Feb"/>
    <n v="2"/>
    <s v="Q1"/>
    <x v="1"/>
    <x v="1"/>
    <x v="0"/>
    <x v="0"/>
  </r>
  <r>
    <x v="91"/>
    <x v="80"/>
    <s v="CUST0031"/>
    <x v="7"/>
    <x v="0"/>
    <x v="3"/>
    <x v="7"/>
    <n v="2"/>
    <n v="5425.74"/>
    <n v="0.25"/>
    <n v="4069.3"/>
    <n v="2239.94"/>
    <n v="1829.36"/>
    <x v="0"/>
    <n v="10"/>
    <d v="2025-06-06T10:00:00"/>
    <s v="Jun"/>
    <n v="6"/>
    <s v="Q2"/>
    <x v="0"/>
    <x v="0"/>
    <x v="0"/>
    <x v="0"/>
  </r>
  <r>
    <x v="92"/>
    <x v="81"/>
    <s v="CUST0290"/>
    <x v="6"/>
    <x v="2"/>
    <x v="0"/>
    <x v="19"/>
    <n v="1"/>
    <n v="626.74"/>
    <n v="0.05"/>
    <n v="595.4"/>
    <n v="425.14"/>
    <n v="170.26"/>
    <x v="0"/>
    <n v="5"/>
    <d v="2025-01-15T05:00:00"/>
    <s v="Jan"/>
    <n v="1"/>
    <s v="Q1"/>
    <x v="0"/>
    <x v="0"/>
    <x v="0"/>
    <x v="0"/>
  </r>
  <r>
    <x v="93"/>
    <x v="82"/>
    <s v="CUST0135"/>
    <x v="5"/>
    <x v="5"/>
    <x v="2"/>
    <x v="2"/>
    <n v="3"/>
    <n v="9043.44"/>
    <n v="0.25"/>
    <n v="6782.58"/>
    <n v="5415.39"/>
    <n v="1367.19"/>
    <x v="2"/>
    <n v="63"/>
    <d v="2025-10-30T15:00:00"/>
    <s v="Oct"/>
    <n v="10"/>
    <s v="Q4"/>
    <x v="1"/>
    <x v="0"/>
    <x v="1"/>
    <x v="0"/>
  </r>
  <r>
    <x v="94"/>
    <x v="83"/>
    <s v="CUST0083"/>
    <x v="0"/>
    <x v="3"/>
    <x v="2"/>
    <x v="15"/>
    <n v="1"/>
    <n v="5718.92"/>
    <n v="0.25"/>
    <n v="4289.1899999999996"/>
    <n v="3524.34"/>
    <n v="764.85"/>
    <x v="3"/>
    <n v="7"/>
    <d v="2025-03-06T07:00:00"/>
    <s v="Mar"/>
    <n v="3"/>
    <s v="Q1"/>
    <x v="1"/>
    <x v="1"/>
    <x v="0"/>
    <x v="0"/>
  </r>
  <r>
    <x v="95"/>
    <x v="27"/>
    <s v="CUST0047"/>
    <x v="7"/>
    <x v="3"/>
    <x v="2"/>
    <x v="24"/>
    <n v="2"/>
    <n v="2012.24"/>
    <n v="0"/>
    <n v="2012.24"/>
    <n v="1690.69"/>
    <n v="321.55"/>
    <x v="3"/>
    <n v="8"/>
    <d v="2025-12-11T08:00:00"/>
    <s v="Dec"/>
    <n v="12"/>
    <s v="Q4"/>
    <x v="1"/>
    <x v="1"/>
    <x v="0"/>
    <x v="0"/>
  </r>
  <r>
    <x v="96"/>
    <x v="84"/>
    <s v="CUST0206"/>
    <x v="9"/>
    <x v="3"/>
    <x v="0"/>
    <x v="19"/>
    <n v="7"/>
    <n v="1746.64"/>
    <n v="0.05"/>
    <n v="1659.31"/>
    <n v="1179.68"/>
    <n v="479.63"/>
    <x v="1"/>
    <n v="14"/>
    <d v="2025-11-23T14:00:00"/>
    <s v="Nov"/>
    <n v="11"/>
    <s v="Q4"/>
    <x v="1"/>
    <x v="0"/>
    <x v="0"/>
    <x v="1"/>
  </r>
  <r>
    <x v="97"/>
    <x v="85"/>
    <s v="CUST0077"/>
    <x v="7"/>
    <x v="1"/>
    <x v="2"/>
    <x v="2"/>
    <n v="2"/>
    <n v="2632.86"/>
    <n v="0.1"/>
    <n v="2369.5700000000002"/>
    <n v="1796.39"/>
    <n v="573.17999999999995"/>
    <x v="0"/>
    <n v="39"/>
    <d v="2025-01-10T15:00:00"/>
    <s v="Jan"/>
    <n v="1"/>
    <s v="Q1"/>
    <x v="0"/>
    <x v="0"/>
    <x v="0"/>
    <x v="0"/>
  </r>
  <r>
    <x v="98"/>
    <x v="18"/>
    <s v="CUST0259"/>
    <x v="5"/>
    <x v="7"/>
    <x v="1"/>
    <x v="1"/>
    <n v="4"/>
    <n v="24505.56"/>
    <n v="0.1"/>
    <n v="22055"/>
    <n v="12709.01"/>
    <n v="9345.99"/>
    <x v="3"/>
    <n v="2"/>
    <d v="2025-12-10T02:00:00"/>
    <s v="Dec"/>
    <n v="12"/>
    <s v="Q4"/>
    <x v="1"/>
    <x v="1"/>
    <x v="0"/>
    <x v="0"/>
  </r>
  <r>
    <x v="99"/>
    <x v="86"/>
    <s v="CUST0092"/>
    <x v="8"/>
    <x v="0"/>
    <x v="2"/>
    <x v="15"/>
    <n v="5"/>
    <n v="41364.15"/>
    <n v="0.1"/>
    <n v="37227.74"/>
    <n v="26470.880000000001"/>
    <n v="10756.86"/>
    <x v="0"/>
    <n v="48"/>
    <d v="2025-05-11T00:00:00"/>
    <s v="May"/>
    <n v="5"/>
    <s v="Q2"/>
    <x v="0"/>
    <x v="0"/>
    <x v="0"/>
    <x v="0"/>
  </r>
  <r>
    <x v="100"/>
    <x v="87"/>
    <s v="CUST0100"/>
    <x v="0"/>
    <x v="1"/>
    <x v="4"/>
    <x v="13"/>
    <n v="7"/>
    <n v="58510.13"/>
    <n v="0.25"/>
    <n v="43882.6"/>
    <n v="26377.360000000001"/>
    <n v="17505.240000000002"/>
    <x v="0"/>
    <n v="45"/>
    <d v="2025-05-17T21:00:00"/>
    <s v="May"/>
    <n v="5"/>
    <s v="Q2"/>
    <x v="0"/>
    <x v="0"/>
    <x v="0"/>
    <x v="0"/>
  </r>
  <r>
    <x v="101"/>
    <x v="88"/>
    <s v="CUST0195"/>
    <x v="9"/>
    <x v="4"/>
    <x v="0"/>
    <x v="0"/>
    <n v="2"/>
    <n v="8549.4599999999991"/>
    <n v="0.15"/>
    <n v="7267.04"/>
    <n v="4883.32"/>
    <n v="2383.7199999999998"/>
    <x v="0"/>
    <n v="12"/>
    <d v="2025-03-04T12:00:00"/>
    <s v="Mar"/>
    <n v="3"/>
    <s v="Q1"/>
    <x v="0"/>
    <x v="0"/>
    <x v="0"/>
    <x v="0"/>
  </r>
  <r>
    <x v="102"/>
    <x v="89"/>
    <s v="CUST0192"/>
    <x v="5"/>
    <x v="2"/>
    <x v="4"/>
    <x v="22"/>
    <n v="6"/>
    <n v="44454.54"/>
    <n v="0.05"/>
    <n v="42231.81"/>
    <n v="27816.86"/>
    <n v="14414.95"/>
    <x v="2"/>
    <n v="70"/>
    <d v="2025-05-21T22:00:00"/>
    <s v="May"/>
    <n v="5"/>
    <s v="Q2"/>
    <x v="1"/>
    <x v="0"/>
    <x v="1"/>
    <x v="0"/>
  </r>
  <r>
    <x v="103"/>
    <x v="56"/>
    <s v="CUST0068"/>
    <x v="5"/>
    <x v="2"/>
    <x v="2"/>
    <x v="15"/>
    <n v="6"/>
    <n v="37815"/>
    <n v="0"/>
    <n v="37815"/>
    <n v="26083.59"/>
    <n v="11731.41"/>
    <x v="2"/>
    <n v="73"/>
    <d v="2025-03-25T01:00:00"/>
    <s v="Mar"/>
    <n v="3"/>
    <s v="Q1"/>
    <x v="1"/>
    <x v="0"/>
    <x v="1"/>
    <x v="0"/>
  </r>
  <r>
    <x v="104"/>
    <x v="90"/>
    <s v="CUST0242"/>
    <x v="4"/>
    <x v="0"/>
    <x v="1"/>
    <x v="1"/>
    <n v="1"/>
    <n v="4333.6899999999996"/>
    <n v="0.1"/>
    <n v="3900.32"/>
    <n v="2880.93"/>
    <n v="1019.39"/>
    <x v="0"/>
    <n v="14"/>
    <d v="2025-06-12T14:00:00"/>
    <s v="Jun"/>
    <n v="6"/>
    <s v="Q2"/>
    <x v="0"/>
    <x v="0"/>
    <x v="0"/>
    <x v="0"/>
  </r>
  <r>
    <x v="105"/>
    <x v="91"/>
    <s v="CUST0090"/>
    <x v="0"/>
    <x v="2"/>
    <x v="3"/>
    <x v="20"/>
    <n v="7"/>
    <n v="34527.85"/>
    <n v="0"/>
    <n v="34527.85"/>
    <n v="29277.87"/>
    <n v="5249.98"/>
    <x v="3"/>
    <n v="13"/>
    <d v="2025-10-16T13:00:00"/>
    <s v="Oct"/>
    <n v="10"/>
    <s v="Q4"/>
    <x v="1"/>
    <x v="1"/>
    <x v="0"/>
    <x v="0"/>
  </r>
  <r>
    <x v="106"/>
    <x v="92"/>
    <s v="CUST0010"/>
    <x v="7"/>
    <x v="2"/>
    <x v="2"/>
    <x v="15"/>
    <n v="1"/>
    <n v="1295.8499999999999"/>
    <n v="0.15"/>
    <n v="1101.47"/>
    <n v="749.2"/>
    <n v="352.27"/>
    <x v="3"/>
    <n v="18"/>
    <d v="2025-09-18T18:00:00"/>
    <s v="Sep"/>
    <n v="9"/>
    <s v="Q3"/>
    <x v="1"/>
    <x v="1"/>
    <x v="0"/>
    <x v="0"/>
  </r>
  <r>
    <x v="107"/>
    <x v="93"/>
    <s v="CUST0264"/>
    <x v="1"/>
    <x v="3"/>
    <x v="1"/>
    <x v="1"/>
    <n v="5"/>
    <n v="39897.35"/>
    <n v="0.05"/>
    <n v="37902.480000000003"/>
    <n v="33118.17"/>
    <n v="4784.3100000000004"/>
    <x v="0"/>
    <n v="14"/>
    <d v="2025-08-19T14:00:00"/>
    <s v="Aug"/>
    <n v="8"/>
    <s v="Q3"/>
    <x v="0"/>
    <x v="0"/>
    <x v="0"/>
    <x v="0"/>
  </r>
  <r>
    <x v="108"/>
    <x v="79"/>
    <s v="CUST0268"/>
    <x v="8"/>
    <x v="6"/>
    <x v="0"/>
    <x v="0"/>
    <n v="5"/>
    <n v="15443.05"/>
    <n v="0.05"/>
    <n v="14670.9"/>
    <n v="11743.75"/>
    <n v="2927.15"/>
    <x v="1"/>
    <n v="15"/>
    <d v="2025-02-10T15:00:00"/>
    <s v="Feb"/>
    <n v="2"/>
    <s v="Q1"/>
    <x v="1"/>
    <x v="0"/>
    <x v="0"/>
    <x v="1"/>
  </r>
  <r>
    <x v="109"/>
    <x v="94"/>
    <s v="CUST0118"/>
    <x v="1"/>
    <x v="4"/>
    <x v="4"/>
    <x v="22"/>
    <n v="4"/>
    <n v="15501.4"/>
    <n v="0"/>
    <n v="15501.4"/>
    <n v="11142.23"/>
    <n v="4359.17"/>
    <x v="1"/>
    <n v="21"/>
    <d v="2025-01-28T21:00:00"/>
    <s v="Jan"/>
    <n v="1"/>
    <s v="Q1"/>
    <x v="1"/>
    <x v="0"/>
    <x v="0"/>
    <x v="1"/>
  </r>
  <r>
    <x v="110"/>
    <x v="40"/>
    <s v="CUST0250"/>
    <x v="7"/>
    <x v="7"/>
    <x v="4"/>
    <x v="13"/>
    <n v="3"/>
    <n v="17275.080000000002"/>
    <n v="0.15"/>
    <n v="14683.82"/>
    <n v="11196.83"/>
    <n v="3486.99"/>
    <x v="1"/>
    <n v="19"/>
    <d v="2025-05-15T19:00:00"/>
    <s v="May"/>
    <n v="5"/>
    <s v="Q2"/>
    <x v="1"/>
    <x v="0"/>
    <x v="0"/>
    <x v="1"/>
  </r>
  <r>
    <x v="111"/>
    <x v="95"/>
    <s v="CUST0059"/>
    <x v="7"/>
    <x v="5"/>
    <x v="4"/>
    <x v="23"/>
    <n v="1"/>
    <n v="2938.09"/>
    <n v="0"/>
    <n v="2938.09"/>
    <n v="1715.06"/>
    <n v="1223.03"/>
    <x v="0"/>
    <n v="14"/>
    <d v="2025-07-20T14:00:00"/>
    <s v="Jul"/>
    <n v="7"/>
    <s v="Q3"/>
    <x v="0"/>
    <x v="0"/>
    <x v="0"/>
    <x v="0"/>
  </r>
  <r>
    <x v="112"/>
    <x v="96"/>
    <s v="CUST0195"/>
    <x v="0"/>
    <x v="4"/>
    <x v="0"/>
    <x v="19"/>
    <n v="5"/>
    <n v="11365.3"/>
    <n v="0.15"/>
    <n v="9660.5"/>
    <n v="8005.58"/>
    <n v="1654.92"/>
    <x v="1"/>
    <n v="9"/>
    <d v="2025-11-24T09:00:00"/>
    <s v="Nov"/>
    <n v="11"/>
    <s v="Q4"/>
    <x v="1"/>
    <x v="0"/>
    <x v="0"/>
    <x v="1"/>
  </r>
  <r>
    <x v="113"/>
    <x v="97"/>
    <s v="CUST0050"/>
    <x v="7"/>
    <x v="1"/>
    <x v="1"/>
    <x v="4"/>
    <n v="1"/>
    <n v="5419.26"/>
    <n v="0.1"/>
    <n v="4877.33"/>
    <n v="3619.85"/>
    <n v="1257.48"/>
    <x v="0"/>
    <n v="31"/>
    <d v="2025-09-26T07:00:00"/>
    <s v="Sep"/>
    <n v="9"/>
    <s v="Q3"/>
    <x v="0"/>
    <x v="0"/>
    <x v="0"/>
    <x v="0"/>
  </r>
  <r>
    <x v="114"/>
    <x v="98"/>
    <s v="CUST0296"/>
    <x v="4"/>
    <x v="2"/>
    <x v="0"/>
    <x v="14"/>
    <n v="5"/>
    <n v="1793.1"/>
    <n v="0.15"/>
    <n v="1524.14"/>
    <n v="1334.24"/>
    <n v="189.9"/>
    <x v="2"/>
    <n v="89"/>
    <d v="2025-02-05T17:00:00"/>
    <s v="Feb"/>
    <n v="2"/>
    <s v="Q1"/>
    <x v="1"/>
    <x v="0"/>
    <x v="1"/>
    <x v="0"/>
  </r>
  <r>
    <x v="115"/>
    <x v="99"/>
    <s v="CUST0097"/>
    <x v="9"/>
    <x v="6"/>
    <x v="4"/>
    <x v="13"/>
    <n v="2"/>
    <n v="12336.1"/>
    <n v="0.1"/>
    <n v="11102.49"/>
    <n v="8438.1299999999992"/>
    <n v="2664.36"/>
    <x v="2"/>
    <n v="95"/>
    <d v="2025-02-20T23:00:00"/>
    <s v="Feb"/>
    <n v="2"/>
    <s v="Q1"/>
    <x v="1"/>
    <x v="0"/>
    <x v="1"/>
    <x v="0"/>
  </r>
  <r>
    <x v="116"/>
    <x v="100"/>
    <s v="CUST0127"/>
    <x v="7"/>
    <x v="5"/>
    <x v="2"/>
    <x v="11"/>
    <n v="1"/>
    <n v="4442.1000000000004"/>
    <n v="0"/>
    <n v="4442.1000000000004"/>
    <n v="3665.87"/>
    <n v="776.23"/>
    <x v="0"/>
    <n v="28"/>
    <d v="2025-03-04T04:00:00"/>
    <s v="Mar"/>
    <n v="3"/>
    <s v="Q1"/>
    <x v="0"/>
    <x v="0"/>
    <x v="0"/>
    <x v="0"/>
  </r>
  <r>
    <x v="117"/>
    <x v="101"/>
    <s v="CUST0246"/>
    <x v="1"/>
    <x v="1"/>
    <x v="3"/>
    <x v="18"/>
    <n v="2"/>
    <n v="10416.08"/>
    <n v="0.15"/>
    <n v="8853.67"/>
    <n v="7206.19"/>
    <n v="1647.48"/>
    <x v="0"/>
    <n v="23"/>
    <d v="2025-08-04T23:00:00"/>
    <s v="Aug"/>
    <n v="8"/>
    <s v="Q3"/>
    <x v="0"/>
    <x v="0"/>
    <x v="0"/>
    <x v="0"/>
  </r>
  <r>
    <x v="118"/>
    <x v="102"/>
    <s v="CUST0087"/>
    <x v="7"/>
    <x v="0"/>
    <x v="0"/>
    <x v="14"/>
    <n v="1"/>
    <n v="5426.2"/>
    <n v="0"/>
    <n v="5426.2"/>
    <n v="3603.01"/>
    <n v="1823.19"/>
    <x v="0"/>
    <n v="31"/>
    <d v="2025-10-21T07:00:00"/>
    <s v="Oct"/>
    <n v="10"/>
    <s v="Q4"/>
    <x v="0"/>
    <x v="0"/>
    <x v="0"/>
    <x v="0"/>
  </r>
  <r>
    <x v="119"/>
    <x v="103"/>
    <s v="CUST0077"/>
    <x v="4"/>
    <x v="3"/>
    <x v="0"/>
    <x v="19"/>
    <n v="3"/>
    <n v="13652.61"/>
    <n v="0.1"/>
    <n v="12287.35"/>
    <n v="7810.72"/>
    <n v="4476.63"/>
    <x v="2"/>
    <n v="79"/>
    <d v="2025-04-12T07:00:00"/>
    <s v="Apr"/>
    <n v="4"/>
    <s v="Q2"/>
    <x v="1"/>
    <x v="0"/>
    <x v="1"/>
    <x v="0"/>
  </r>
  <r>
    <x v="120"/>
    <x v="104"/>
    <s v="CUST0204"/>
    <x v="6"/>
    <x v="2"/>
    <x v="1"/>
    <x v="1"/>
    <n v="4"/>
    <n v="20056.64"/>
    <n v="0"/>
    <n v="20056.64"/>
    <n v="13880.46"/>
    <n v="6176.18"/>
    <x v="0"/>
    <n v="14"/>
    <d v="2025-06-21T14:00:00"/>
    <s v="Jun"/>
    <n v="6"/>
    <s v="Q2"/>
    <x v="0"/>
    <x v="0"/>
    <x v="0"/>
    <x v="0"/>
  </r>
  <r>
    <x v="121"/>
    <x v="12"/>
    <s v="CUST0146"/>
    <x v="6"/>
    <x v="3"/>
    <x v="1"/>
    <x v="8"/>
    <n v="6"/>
    <n v="35157.78"/>
    <n v="0.15"/>
    <n v="29884.11"/>
    <n v="21044.080000000002"/>
    <n v="8840.0300000000007"/>
    <x v="2"/>
    <n v="91"/>
    <d v="2025-12-29T19:00:00"/>
    <s v="Dec"/>
    <n v="12"/>
    <s v="Q4"/>
    <x v="1"/>
    <x v="0"/>
    <x v="1"/>
    <x v="0"/>
  </r>
  <r>
    <x v="122"/>
    <x v="105"/>
    <s v="CUST0149"/>
    <x v="5"/>
    <x v="4"/>
    <x v="0"/>
    <x v="14"/>
    <n v="6"/>
    <n v="38631.24"/>
    <n v="0.2"/>
    <n v="30904.99"/>
    <n v="19446.28"/>
    <n v="11458.71"/>
    <x v="0"/>
    <n v="31"/>
    <d v="2025-08-03T07:00:00"/>
    <s v="Aug"/>
    <n v="8"/>
    <s v="Q3"/>
    <x v="0"/>
    <x v="0"/>
    <x v="0"/>
    <x v="0"/>
  </r>
  <r>
    <x v="123"/>
    <x v="54"/>
    <s v="CUST0111"/>
    <x v="8"/>
    <x v="3"/>
    <x v="4"/>
    <x v="21"/>
    <n v="6"/>
    <n v="37345.379999999997"/>
    <n v="0.1"/>
    <n v="33610.839999999997"/>
    <n v="28408.46"/>
    <n v="5202.38"/>
    <x v="0"/>
    <n v="4"/>
    <d v="2025-02-04T04:00:00"/>
    <s v="Feb"/>
    <n v="2"/>
    <s v="Q1"/>
    <x v="0"/>
    <x v="0"/>
    <x v="0"/>
    <x v="0"/>
  </r>
  <r>
    <x v="124"/>
    <x v="106"/>
    <s v="CUST0129"/>
    <x v="3"/>
    <x v="3"/>
    <x v="3"/>
    <x v="7"/>
    <n v="2"/>
    <n v="14822.6"/>
    <n v="0.1"/>
    <n v="13340.34"/>
    <n v="9725.65"/>
    <n v="3614.69"/>
    <x v="0"/>
    <n v="8"/>
    <d v="2025-08-15T08:00:00"/>
    <s v="Aug"/>
    <n v="8"/>
    <s v="Q3"/>
    <x v="0"/>
    <x v="0"/>
    <x v="0"/>
    <x v="0"/>
  </r>
  <r>
    <x v="125"/>
    <x v="107"/>
    <s v="CUST0253"/>
    <x v="9"/>
    <x v="0"/>
    <x v="1"/>
    <x v="1"/>
    <n v="7"/>
    <n v="12122.95"/>
    <n v="0.15"/>
    <n v="10304.51"/>
    <n v="8994.67"/>
    <n v="1309.8399999999999"/>
    <x v="0"/>
    <n v="13"/>
    <d v="2025-04-11T13:00:00"/>
    <s v="Apr"/>
    <n v="4"/>
    <s v="Q2"/>
    <x v="0"/>
    <x v="0"/>
    <x v="0"/>
    <x v="0"/>
  </r>
  <r>
    <x v="126"/>
    <x v="14"/>
    <s v="CUST0166"/>
    <x v="2"/>
    <x v="7"/>
    <x v="4"/>
    <x v="9"/>
    <n v="5"/>
    <n v="17497.95"/>
    <n v="0"/>
    <n v="17497.95"/>
    <n v="14301.18"/>
    <n v="3196.77"/>
    <x v="0"/>
    <n v="45"/>
    <d v="2025-05-12T21:00:00"/>
    <s v="May"/>
    <n v="5"/>
    <s v="Q2"/>
    <x v="0"/>
    <x v="0"/>
    <x v="0"/>
    <x v="0"/>
  </r>
  <r>
    <x v="127"/>
    <x v="108"/>
    <s v="CUST0297"/>
    <x v="5"/>
    <x v="7"/>
    <x v="2"/>
    <x v="15"/>
    <n v="6"/>
    <n v="48384.6"/>
    <n v="0.2"/>
    <n v="38707.68"/>
    <n v="28387.54"/>
    <n v="10320.14"/>
    <x v="2"/>
    <n v="96"/>
    <d v="2025-09-18T00:00:00"/>
    <s v="Sep"/>
    <n v="9"/>
    <s v="Q3"/>
    <x v="1"/>
    <x v="0"/>
    <x v="1"/>
    <x v="0"/>
  </r>
  <r>
    <x v="128"/>
    <x v="109"/>
    <s v="CUST0137"/>
    <x v="8"/>
    <x v="1"/>
    <x v="1"/>
    <x v="10"/>
    <n v="3"/>
    <n v="10384.59"/>
    <n v="0"/>
    <n v="10384.59"/>
    <n v="8956.9500000000007"/>
    <n v="1427.64"/>
    <x v="2"/>
    <n v="57"/>
    <d v="2025-01-07T09:00:00"/>
    <s v="Jan"/>
    <n v="1"/>
    <s v="Q1"/>
    <x v="1"/>
    <x v="0"/>
    <x v="1"/>
    <x v="0"/>
  </r>
  <r>
    <x v="129"/>
    <x v="64"/>
    <s v="CUST0279"/>
    <x v="6"/>
    <x v="2"/>
    <x v="4"/>
    <x v="21"/>
    <n v="6"/>
    <n v="7156.02"/>
    <n v="0.25"/>
    <n v="5367.02"/>
    <n v="3846.05"/>
    <n v="1520.97"/>
    <x v="2"/>
    <n v="49"/>
    <d v="2025-08-08T01:00:00"/>
    <s v="Aug"/>
    <n v="8"/>
    <s v="Q3"/>
    <x v="1"/>
    <x v="0"/>
    <x v="1"/>
    <x v="0"/>
  </r>
  <r>
    <x v="130"/>
    <x v="110"/>
    <s v="CUST0011"/>
    <x v="1"/>
    <x v="1"/>
    <x v="4"/>
    <x v="9"/>
    <n v="1"/>
    <n v="4537.47"/>
    <n v="0.15"/>
    <n v="3856.85"/>
    <n v="3250.34"/>
    <n v="606.51"/>
    <x v="1"/>
    <n v="5"/>
    <d v="2025-09-12T05:00:00"/>
    <s v="Sep"/>
    <n v="9"/>
    <s v="Q3"/>
    <x v="1"/>
    <x v="0"/>
    <x v="0"/>
    <x v="1"/>
  </r>
  <r>
    <x v="131"/>
    <x v="111"/>
    <s v="CUST0071"/>
    <x v="2"/>
    <x v="7"/>
    <x v="3"/>
    <x v="7"/>
    <n v="2"/>
    <n v="2128.5"/>
    <n v="0.15"/>
    <n v="1809.22"/>
    <n v="1208.9000000000001"/>
    <n v="600.32000000000005"/>
    <x v="1"/>
    <n v="6"/>
    <d v="2025-12-25T06:00:00"/>
    <s v="Dec"/>
    <n v="12"/>
    <s v="Q4"/>
    <x v="1"/>
    <x v="0"/>
    <x v="0"/>
    <x v="1"/>
  </r>
  <r>
    <x v="132"/>
    <x v="112"/>
    <s v="CUST0159"/>
    <x v="8"/>
    <x v="4"/>
    <x v="3"/>
    <x v="20"/>
    <n v="7"/>
    <n v="12906.74"/>
    <n v="0.1"/>
    <n v="11616.07"/>
    <n v="7840.29"/>
    <n v="3775.78"/>
    <x v="1"/>
    <n v="16"/>
    <d v="2025-10-10T16:00:00"/>
    <s v="Oct"/>
    <n v="10"/>
    <s v="Q4"/>
    <x v="1"/>
    <x v="0"/>
    <x v="0"/>
    <x v="1"/>
  </r>
  <r>
    <x v="133"/>
    <x v="113"/>
    <s v="CUST0216"/>
    <x v="8"/>
    <x v="7"/>
    <x v="2"/>
    <x v="3"/>
    <n v="1"/>
    <n v="8485.9599999999991"/>
    <n v="0.1"/>
    <n v="7637.36"/>
    <n v="5254.37"/>
    <n v="2382.9899999999998"/>
    <x v="1"/>
    <n v="8"/>
    <d v="2025-07-26T08:00:00"/>
    <s v="Jul"/>
    <n v="7"/>
    <s v="Q3"/>
    <x v="1"/>
    <x v="0"/>
    <x v="0"/>
    <x v="1"/>
  </r>
  <r>
    <x v="134"/>
    <x v="81"/>
    <s v="CUST0026"/>
    <x v="5"/>
    <x v="1"/>
    <x v="4"/>
    <x v="21"/>
    <n v="7"/>
    <n v="32692.66"/>
    <n v="0.1"/>
    <n v="29423.39"/>
    <n v="21490.45"/>
    <n v="7932.94"/>
    <x v="1"/>
    <n v="6"/>
    <d v="2025-01-15T06:00:00"/>
    <s v="Jan"/>
    <n v="1"/>
    <s v="Q1"/>
    <x v="1"/>
    <x v="0"/>
    <x v="0"/>
    <x v="1"/>
  </r>
  <r>
    <x v="135"/>
    <x v="49"/>
    <s v="CUST0286"/>
    <x v="2"/>
    <x v="6"/>
    <x v="4"/>
    <x v="22"/>
    <n v="1"/>
    <n v="2521.89"/>
    <n v="0"/>
    <n v="2521.89"/>
    <n v="1847.67"/>
    <n v="674.22"/>
    <x v="0"/>
    <n v="14"/>
    <d v="2025-12-12T14:00:00"/>
    <s v="Dec"/>
    <n v="12"/>
    <s v="Q4"/>
    <x v="0"/>
    <x v="0"/>
    <x v="0"/>
    <x v="0"/>
  </r>
  <r>
    <x v="136"/>
    <x v="114"/>
    <s v="CUST0162"/>
    <x v="0"/>
    <x v="2"/>
    <x v="3"/>
    <x v="20"/>
    <n v="1"/>
    <n v="8456.3700000000008"/>
    <n v="0.1"/>
    <n v="7610.73"/>
    <n v="5432.63"/>
    <n v="2178.1"/>
    <x v="0"/>
    <n v="33"/>
    <d v="2025-02-12T09:00:00"/>
    <s v="Feb"/>
    <n v="2"/>
    <s v="Q1"/>
    <x v="0"/>
    <x v="0"/>
    <x v="0"/>
    <x v="0"/>
  </r>
  <r>
    <x v="137"/>
    <x v="115"/>
    <s v="CUST0102"/>
    <x v="3"/>
    <x v="3"/>
    <x v="1"/>
    <x v="5"/>
    <n v="4"/>
    <n v="32883.08"/>
    <n v="0.1"/>
    <n v="29594.77"/>
    <n v="19265.61"/>
    <n v="10329.16"/>
    <x v="0"/>
    <n v="35"/>
    <d v="2025-06-29T11:00:00"/>
    <s v="Jun"/>
    <n v="6"/>
    <s v="Q2"/>
    <x v="0"/>
    <x v="0"/>
    <x v="0"/>
    <x v="0"/>
  </r>
  <r>
    <x v="138"/>
    <x v="88"/>
    <s v="CUST0069"/>
    <x v="0"/>
    <x v="0"/>
    <x v="1"/>
    <x v="5"/>
    <n v="4"/>
    <n v="15320.68"/>
    <n v="0.2"/>
    <n v="12256.54"/>
    <n v="10491.33"/>
    <n v="1765.21"/>
    <x v="0"/>
    <n v="35"/>
    <d v="2025-03-05T11:00:00"/>
    <s v="Mar"/>
    <n v="3"/>
    <s v="Q1"/>
    <x v="0"/>
    <x v="0"/>
    <x v="0"/>
    <x v="0"/>
  </r>
  <r>
    <x v="139"/>
    <x v="116"/>
    <s v="CUST0133"/>
    <x v="2"/>
    <x v="6"/>
    <x v="0"/>
    <x v="17"/>
    <n v="5"/>
    <n v="11621.85"/>
    <n v="0.1"/>
    <n v="10459.67"/>
    <n v="7784.44"/>
    <n v="2675.23"/>
    <x v="1"/>
    <n v="19"/>
    <d v="2025-12-18T19:00:00"/>
    <s v="Dec"/>
    <n v="12"/>
    <s v="Q4"/>
    <x v="1"/>
    <x v="0"/>
    <x v="0"/>
    <x v="1"/>
  </r>
  <r>
    <x v="140"/>
    <x v="93"/>
    <s v="CUST0189"/>
    <x v="0"/>
    <x v="6"/>
    <x v="3"/>
    <x v="7"/>
    <n v="2"/>
    <n v="14301.28"/>
    <n v="0"/>
    <n v="14301.28"/>
    <n v="9790"/>
    <n v="4511.28"/>
    <x v="0"/>
    <n v="31"/>
    <d v="2025-08-20T07:00:00"/>
    <s v="Aug"/>
    <n v="8"/>
    <s v="Q3"/>
    <x v="0"/>
    <x v="0"/>
    <x v="0"/>
    <x v="0"/>
  </r>
  <r>
    <x v="141"/>
    <x v="117"/>
    <s v="CUST0211"/>
    <x v="4"/>
    <x v="3"/>
    <x v="0"/>
    <x v="14"/>
    <n v="3"/>
    <n v="18376.29"/>
    <n v="0.05"/>
    <n v="17457.48"/>
    <n v="13353.02"/>
    <n v="4104.46"/>
    <x v="2"/>
    <n v="77"/>
    <d v="2025-09-01T05:00:00"/>
    <s v="Aug"/>
    <n v="8"/>
    <s v="Q3"/>
    <x v="1"/>
    <x v="0"/>
    <x v="1"/>
    <x v="0"/>
  </r>
  <r>
    <x v="142"/>
    <x v="118"/>
    <s v="CUST0243"/>
    <x v="6"/>
    <x v="7"/>
    <x v="3"/>
    <x v="20"/>
    <n v="3"/>
    <n v="17657.88"/>
    <n v="0.1"/>
    <n v="15892.09"/>
    <n v="12768.17"/>
    <n v="3123.92"/>
    <x v="0"/>
    <n v="25"/>
    <d v="2025-02-22T01:00:00"/>
    <s v="Feb"/>
    <n v="2"/>
    <s v="Q1"/>
    <x v="0"/>
    <x v="0"/>
    <x v="0"/>
    <x v="0"/>
  </r>
  <r>
    <x v="143"/>
    <x v="119"/>
    <s v="CUST0166"/>
    <x v="4"/>
    <x v="5"/>
    <x v="2"/>
    <x v="3"/>
    <n v="3"/>
    <n v="22822.5"/>
    <n v="0.05"/>
    <n v="21681.38"/>
    <n v="18798.63"/>
    <n v="2882.75"/>
    <x v="0"/>
    <n v="20"/>
    <d v="2025-04-06T20:00:00"/>
    <s v="Apr"/>
    <n v="4"/>
    <s v="Q2"/>
    <x v="0"/>
    <x v="0"/>
    <x v="0"/>
    <x v="0"/>
  </r>
  <r>
    <x v="144"/>
    <x v="120"/>
    <s v="CUST0061"/>
    <x v="7"/>
    <x v="2"/>
    <x v="4"/>
    <x v="13"/>
    <n v="1"/>
    <n v="5906.63"/>
    <n v="0.05"/>
    <n v="5611.3"/>
    <n v="4011.24"/>
    <n v="1600.06"/>
    <x v="0"/>
    <n v="25"/>
    <d v="2025-08-11T01:00:00"/>
    <s v="Aug"/>
    <n v="8"/>
    <s v="Q3"/>
    <x v="0"/>
    <x v="0"/>
    <x v="0"/>
    <x v="0"/>
  </r>
  <r>
    <x v="145"/>
    <x v="93"/>
    <s v="CUST0279"/>
    <x v="0"/>
    <x v="4"/>
    <x v="2"/>
    <x v="2"/>
    <n v="4"/>
    <n v="10078.84"/>
    <n v="0.15"/>
    <n v="8567.01"/>
    <n v="5028.7700000000004"/>
    <n v="3538.24"/>
    <x v="0"/>
    <n v="46"/>
    <d v="2025-08-20T22:00:00"/>
    <s v="Aug"/>
    <n v="8"/>
    <s v="Q3"/>
    <x v="0"/>
    <x v="0"/>
    <x v="0"/>
    <x v="0"/>
  </r>
  <r>
    <x v="146"/>
    <x v="75"/>
    <s v="CUST0113"/>
    <x v="7"/>
    <x v="6"/>
    <x v="3"/>
    <x v="20"/>
    <n v="2"/>
    <n v="11887.52"/>
    <n v="0.1"/>
    <n v="10698.77"/>
    <n v="7440.49"/>
    <n v="3258.28"/>
    <x v="0"/>
    <n v="22"/>
    <d v="2025-08-25T22:00:00"/>
    <s v="Aug"/>
    <n v="8"/>
    <s v="Q3"/>
    <x v="0"/>
    <x v="0"/>
    <x v="0"/>
    <x v="0"/>
  </r>
  <r>
    <x v="147"/>
    <x v="121"/>
    <s v="CUST0030"/>
    <x v="1"/>
    <x v="4"/>
    <x v="4"/>
    <x v="23"/>
    <n v="1"/>
    <n v="2703.54"/>
    <n v="0.1"/>
    <n v="2433.19"/>
    <n v="1722.85"/>
    <n v="710.34"/>
    <x v="1"/>
    <n v="7"/>
    <d v="2025-05-23T07:00:00"/>
    <s v="May"/>
    <n v="5"/>
    <s v="Q2"/>
    <x v="1"/>
    <x v="0"/>
    <x v="0"/>
    <x v="1"/>
  </r>
  <r>
    <x v="148"/>
    <x v="122"/>
    <s v="CUST0161"/>
    <x v="9"/>
    <x v="0"/>
    <x v="1"/>
    <x v="8"/>
    <n v="7"/>
    <n v="45427.55"/>
    <n v="0.05"/>
    <n v="43156.17"/>
    <n v="36510.47"/>
    <n v="6645.7"/>
    <x v="0"/>
    <n v="27"/>
    <d v="2025-06-21T03:00:00"/>
    <s v="Jun"/>
    <n v="6"/>
    <s v="Q2"/>
    <x v="0"/>
    <x v="0"/>
    <x v="0"/>
    <x v="0"/>
  </r>
  <r>
    <x v="149"/>
    <x v="123"/>
    <s v="CUST0234"/>
    <x v="1"/>
    <x v="0"/>
    <x v="1"/>
    <x v="4"/>
    <n v="4"/>
    <n v="21299.56"/>
    <n v="0.15"/>
    <n v="18104.63"/>
    <n v="12316.29"/>
    <n v="5788.34"/>
    <x v="0"/>
    <n v="39"/>
    <d v="2025-01-30T15:00:00"/>
    <s v="Jan"/>
    <n v="1"/>
    <s v="Q1"/>
    <x v="0"/>
    <x v="0"/>
    <x v="0"/>
    <x v="0"/>
  </r>
  <r>
    <x v="150"/>
    <x v="124"/>
    <s v="CUST0170"/>
    <x v="2"/>
    <x v="0"/>
    <x v="0"/>
    <x v="17"/>
    <n v="4"/>
    <n v="3185.56"/>
    <n v="0.05"/>
    <n v="3026.28"/>
    <n v="2616.5100000000002"/>
    <n v="409.77"/>
    <x v="2"/>
    <n v="59"/>
    <d v="2025-02-07T11:00:00"/>
    <s v="Feb"/>
    <n v="2"/>
    <s v="Q1"/>
    <x v="1"/>
    <x v="0"/>
    <x v="1"/>
    <x v="0"/>
  </r>
  <r>
    <x v="151"/>
    <x v="125"/>
    <s v="CUST0186"/>
    <x v="8"/>
    <x v="1"/>
    <x v="3"/>
    <x v="20"/>
    <n v="6"/>
    <n v="26593.08"/>
    <n v="0.15"/>
    <n v="22604.12"/>
    <n v="16051.04"/>
    <n v="6553.08"/>
    <x v="0"/>
    <n v="39"/>
    <d v="2025-01-14T15:00:00"/>
    <s v="Jan"/>
    <n v="1"/>
    <s v="Q1"/>
    <x v="0"/>
    <x v="0"/>
    <x v="0"/>
    <x v="0"/>
  </r>
  <r>
    <x v="152"/>
    <x v="126"/>
    <s v="CUST0057"/>
    <x v="6"/>
    <x v="6"/>
    <x v="3"/>
    <x v="16"/>
    <n v="6"/>
    <n v="18099.36"/>
    <n v="0"/>
    <n v="18099.36"/>
    <n v="15770.83"/>
    <n v="2328.5300000000002"/>
    <x v="2"/>
    <n v="51"/>
    <d v="2025-06-11T03:00:00"/>
    <s v="Jun"/>
    <n v="6"/>
    <s v="Q2"/>
    <x v="1"/>
    <x v="0"/>
    <x v="1"/>
    <x v="0"/>
  </r>
  <r>
    <x v="153"/>
    <x v="84"/>
    <s v="CUST0240"/>
    <x v="0"/>
    <x v="0"/>
    <x v="1"/>
    <x v="10"/>
    <n v="2"/>
    <n v="5787.12"/>
    <n v="0.2"/>
    <n v="4629.7"/>
    <n v="2558.86"/>
    <n v="2070.84"/>
    <x v="0"/>
    <n v="17"/>
    <d v="2025-11-23T17:00:00"/>
    <s v="Nov"/>
    <n v="11"/>
    <s v="Q4"/>
    <x v="0"/>
    <x v="0"/>
    <x v="0"/>
    <x v="0"/>
  </r>
  <r>
    <x v="154"/>
    <x v="127"/>
    <s v="CUST0257"/>
    <x v="5"/>
    <x v="1"/>
    <x v="2"/>
    <x v="3"/>
    <n v="7"/>
    <n v="36251.879999999997"/>
    <n v="0.1"/>
    <n v="32626.69"/>
    <n v="27622.05"/>
    <n v="5004.6400000000003"/>
    <x v="0"/>
    <n v="39"/>
    <d v="2025-07-07T15:00:00"/>
    <s v="Jul"/>
    <n v="7"/>
    <s v="Q3"/>
    <x v="0"/>
    <x v="0"/>
    <x v="0"/>
    <x v="0"/>
  </r>
  <r>
    <x v="155"/>
    <x v="128"/>
    <s v="CUST0201"/>
    <x v="9"/>
    <x v="0"/>
    <x v="4"/>
    <x v="22"/>
    <n v="2"/>
    <n v="5682.82"/>
    <n v="0.05"/>
    <n v="5398.68"/>
    <n v="4628.13"/>
    <n v="770.55"/>
    <x v="0"/>
    <n v="9"/>
    <d v="2025-08-31T09:00:00"/>
    <s v="Aug"/>
    <n v="8"/>
    <s v="Q3"/>
    <x v="0"/>
    <x v="0"/>
    <x v="0"/>
    <x v="0"/>
  </r>
  <r>
    <x v="156"/>
    <x v="129"/>
    <s v="CUST0106"/>
    <x v="3"/>
    <x v="7"/>
    <x v="2"/>
    <x v="3"/>
    <n v="2"/>
    <n v="13274.12"/>
    <n v="0.1"/>
    <n v="11946.71"/>
    <n v="10359.43"/>
    <n v="1587.28"/>
    <x v="0"/>
    <n v="12"/>
    <d v="2025-03-27T12:00:00"/>
    <s v="Mar"/>
    <n v="3"/>
    <s v="Q1"/>
    <x v="0"/>
    <x v="0"/>
    <x v="0"/>
    <x v="0"/>
  </r>
  <r>
    <x v="157"/>
    <x v="130"/>
    <s v="CUST0290"/>
    <x v="3"/>
    <x v="6"/>
    <x v="2"/>
    <x v="15"/>
    <n v="1"/>
    <n v="741.11"/>
    <n v="0.1"/>
    <n v="667"/>
    <n v="369.73"/>
    <n v="297.27"/>
    <x v="0"/>
    <n v="24"/>
    <d v="2025-10-12T00:00:00"/>
    <s v="Oct"/>
    <n v="10"/>
    <s v="Q4"/>
    <x v="0"/>
    <x v="0"/>
    <x v="0"/>
    <x v="0"/>
  </r>
  <r>
    <x v="158"/>
    <x v="131"/>
    <s v="CUST0101"/>
    <x v="3"/>
    <x v="1"/>
    <x v="1"/>
    <x v="8"/>
    <n v="5"/>
    <n v="28321.200000000001"/>
    <n v="0"/>
    <n v="28321.200000000001"/>
    <n v="17181.38"/>
    <n v="11139.82"/>
    <x v="0"/>
    <n v="15"/>
    <d v="2025-03-07T15:00:00"/>
    <s v="Mar"/>
    <n v="3"/>
    <s v="Q1"/>
    <x v="0"/>
    <x v="0"/>
    <x v="0"/>
    <x v="0"/>
  </r>
  <r>
    <x v="159"/>
    <x v="30"/>
    <s v="CUST0097"/>
    <x v="0"/>
    <x v="0"/>
    <x v="1"/>
    <x v="10"/>
    <n v="2"/>
    <n v="13813.56"/>
    <n v="0.15"/>
    <n v="11741.53"/>
    <n v="8990.99"/>
    <n v="2750.54"/>
    <x v="0"/>
    <n v="33"/>
    <d v="2025-06-20T09:00:00"/>
    <s v="Jun"/>
    <n v="6"/>
    <s v="Q2"/>
    <x v="0"/>
    <x v="0"/>
    <x v="0"/>
    <x v="0"/>
  </r>
  <r>
    <x v="160"/>
    <x v="132"/>
    <s v="CUST0153"/>
    <x v="3"/>
    <x v="2"/>
    <x v="1"/>
    <x v="5"/>
    <n v="6"/>
    <n v="34608.839999999997"/>
    <n v="0.05"/>
    <n v="32878.400000000001"/>
    <n v="18359.5"/>
    <n v="14518.9"/>
    <x v="2"/>
    <n v="75"/>
    <d v="2025-02-17T03:00:00"/>
    <s v="Feb"/>
    <n v="2"/>
    <s v="Q1"/>
    <x v="1"/>
    <x v="0"/>
    <x v="1"/>
    <x v="0"/>
  </r>
  <r>
    <x v="161"/>
    <x v="100"/>
    <s v="CUST0029"/>
    <x v="4"/>
    <x v="1"/>
    <x v="0"/>
    <x v="0"/>
    <n v="5"/>
    <n v="21509.3"/>
    <n v="0.2"/>
    <n v="17207.439999999999"/>
    <n v="9825.2900000000009"/>
    <n v="7382.15"/>
    <x v="0"/>
    <n v="43"/>
    <d v="2025-03-04T19:00:00"/>
    <s v="Mar"/>
    <n v="3"/>
    <s v="Q1"/>
    <x v="0"/>
    <x v="0"/>
    <x v="0"/>
    <x v="0"/>
  </r>
  <r>
    <x v="162"/>
    <x v="133"/>
    <s v="CUST0153"/>
    <x v="9"/>
    <x v="0"/>
    <x v="2"/>
    <x v="3"/>
    <n v="1"/>
    <n v="8085.06"/>
    <n v="0.15"/>
    <n v="6872.3"/>
    <n v="4281.1400000000003"/>
    <n v="2591.16"/>
    <x v="3"/>
    <n v="21"/>
    <d v="2025-05-14T21:00:00"/>
    <s v="May"/>
    <n v="5"/>
    <s v="Q2"/>
    <x v="1"/>
    <x v="1"/>
    <x v="0"/>
    <x v="0"/>
  </r>
  <r>
    <x v="163"/>
    <x v="130"/>
    <s v="CUST0073"/>
    <x v="4"/>
    <x v="7"/>
    <x v="3"/>
    <x v="12"/>
    <n v="5"/>
    <n v="13272.45"/>
    <n v="0.05"/>
    <n v="12608.83"/>
    <n v="9067.07"/>
    <n v="3541.76"/>
    <x v="2"/>
    <n v="75"/>
    <d v="2025-10-14T03:00:00"/>
    <s v="Oct"/>
    <n v="10"/>
    <s v="Q4"/>
    <x v="1"/>
    <x v="0"/>
    <x v="1"/>
    <x v="0"/>
  </r>
  <r>
    <x v="164"/>
    <x v="94"/>
    <s v="CUST0254"/>
    <x v="8"/>
    <x v="4"/>
    <x v="4"/>
    <x v="21"/>
    <n v="3"/>
    <n v="930.15"/>
    <n v="0.15"/>
    <n v="790.63"/>
    <n v="577.28"/>
    <n v="213.35"/>
    <x v="0"/>
    <n v="30"/>
    <d v="2025-01-29T06:00:00"/>
    <s v="Jan"/>
    <n v="1"/>
    <s v="Q1"/>
    <x v="0"/>
    <x v="0"/>
    <x v="0"/>
    <x v="0"/>
  </r>
  <r>
    <x v="165"/>
    <x v="134"/>
    <s v="CUST0004"/>
    <x v="9"/>
    <x v="5"/>
    <x v="0"/>
    <x v="0"/>
    <n v="7"/>
    <n v="26299.77"/>
    <n v="0.05"/>
    <n v="24984.78"/>
    <n v="14024.11"/>
    <n v="10960.67"/>
    <x v="1"/>
    <n v="11"/>
    <d v="2025-04-18T11:00:00"/>
    <s v="Apr"/>
    <n v="4"/>
    <s v="Q2"/>
    <x v="1"/>
    <x v="0"/>
    <x v="0"/>
    <x v="1"/>
  </r>
  <r>
    <x v="166"/>
    <x v="65"/>
    <s v="CUST0237"/>
    <x v="4"/>
    <x v="0"/>
    <x v="3"/>
    <x v="18"/>
    <n v="5"/>
    <n v="2128.25"/>
    <n v="0"/>
    <n v="2128.25"/>
    <n v="1290.19"/>
    <n v="838.06"/>
    <x v="1"/>
    <n v="14"/>
    <d v="2025-02-13T14:00:00"/>
    <s v="Feb"/>
    <n v="2"/>
    <s v="Q1"/>
    <x v="1"/>
    <x v="0"/>
    <x v="0"/>
    <x v="1"/>
  </r>
  <r>
    <x v="167"/>
    <x v="51"/>
    <s v="CUST0038"/>
    <x v="9"/>
    <x v="4"/>
    <x v="2"/>
    <x v="15"/>
    <n v="2"/>
    <n v="16230.74"/>
    <n v="0.25"/>
    <n v="12173.06"/>
    <n v="8702.56"/>
    <n v="3470.5"/>
    <x v="0"/>
    <n v="9"/>
    <d v="2025-12-06T09:00:00"/>
    <s v="Dec"/>
    <n v="12"/>
    <s v="Q4"/>
    <x v="0"/>
    <x v="0"/>
    <x v="0"/>
    <x v="0"/>
  </r>
  <r>
    <x v="168"/>
    <x v="135"/>
    <s v="CUST0020"/>
    <x v="8"/>
    <x v="6"/>
    <x v="1"/>
    <x v="10"/>
    <n v="1"/>
    <n v="1902.82"/>
    <n v="0.1"/>
    <n v="1712.54"/>
    <n v="1277.56"/>
    <n v="434.98"/>
    <x v="1"/>
    <n v="3"/>
    <d v="2025-10-13T03:00:00"/>
    <s v="Oct"/>
    <n v="10"/>
    <s v="Q4"/>
    <x v="1"/>
    <x v="0"/>
    <x v="0"/>
    <x v="1"/>
  </r>
  <r>
    <x v="169"/>
    <x v="9"/>
    <s v="CUST0113"/>
    <x v="7"/>
    <x v="7"/>
    <x v="2"/>
    <x v="24"/>
    <n v="7"/>
    <n v="47162.78"/>
    <n v="0.1"/>
    <n v="42446.5"/>
    <n v="25424.29"/>
    <n v="17022.21"/>
    <x v="2"/>
    <n v="71"/>
    <d v="2025-11-29T23:00:00"/>
    <s v="Nov"/>
    <n v="11"/>
    <s v="Q4"/>
    <x v="1"/>
    <x v="0"/>
    <x v="1"/>
    <x v="0"/>
  </r>
  <r>
    <x v="170"/>
    <x v="136"/>
    <s v="CUST0023"/>
    <x v="0"/>
    <x v="2"/>
    <x v="4"/>
    <x v="21"/>
    <n v="2"/>
    <n v="13235.36"/>
    <n v="0.05"/>
    <n v="12573.59"/>
    <n v="8570.3799999999992"/>
    <n v="4003.21"/>
    <x v="0"/>
    <n v="11"/>
    <d v="2025-05-08T11:00:00"/>
    <s v="May"/>
    <n v="5"/>
    <s v="Q2"/>
    <x v="0"/>
    <x v="0"/>
    <x v="0"/>
    <x v="0"/>
  </r>
  <r>
    <x v="171"/>
    <x v="137"/>
    <s v="CUST0136"/>
    <x v="0"/>
    <x v="6"/>
    <x v="0"/>
    <x v="14"/>
    <n v="7"/>
    <n v="13776.28"/>
    <n v="0.05"/>
    <n v="13087.47"/>
    <n v="11104.1"/>
    <n v="1983.37"/>
    <x v="2"/>
    <n v="55"/>
    <d v="2025-12-16T07:00:00"/>
    <s v="Dec"/>
    <n v="12"/>
    <s v="Q4"/>
    <x v="1"/>
    <x v="0"/>
    <x v="1"/>
    <x v="0"/>
  </r>
  <r>
    <x v="172"/>
    <x v="93"/>
    <s v="CUST0248"/>
    <x v="3"/>
    <x v="2"/>
    <x v="0"/>
    <x v="19"/>
    <n v="6"/>
    <n v="32023.439999999999"/>
    <n v="0.25"/>
    <n v="24017.58"/>
    <n v="21126.75"/>
    <n v="2890.83"/>
    <x v="0"/>
    <n v="18"/>
    <d v="2025-08-19T18:00:00"/>
    <s v="Aug"/>
    <n v="8"/>
    <s v="Q3"/>
    <x v="0"/>
    <x v="0"/>
    <x v="0"/>
    <x v="0"/>
  </r>
  <r>
    <x v="173"/>
    <x v="32"/>
    <s v="CUST0097"/>
    <x v="1"/>
    <x v="4"/>
    <x v="4"/>
    <x v="23"/>
    <n v="3"/>
    <n v="1654.38"/>
    <n v="0"/>
    <n v="1654.38"/>
    <n v="1448.87"/>
    <n v="205.51"/>
    <x v="0"/>
    <n v="39"/>
    <d v="2025-07-10T15:00:00"/>
    <s v="Jul"/>
    <n v="7"/>
    <s v="Q3"/>
    <x v="0"/>
    <x v="0"/>
    <x v="0"/>
    <x v="0"/>
  </r>
  <r>
    <x v="174"/>
    <x v="138"/>
    <s v="CUST0033"/>
    <x v="3"/>
    <x v="7"/>
    <x v="3"/>
    <x v="18"/>
    <n v="6"/>
    <n v="25127.1"/>
    <n v="0.05"/>
    <n v="23870.74"/>
    <n v="20074.16"/>
    <n v="3796.58"/>
    <x v="0"/>
    <n v="44"/>
    <d v="2025-08-14T20:00:00"/>
    <s v="Aug"/>
    <n v="8"/>
    <s v="Q3"/>
    <x v="0"/>
    <x v="0"/>
    <x v="0"/>
    <x v="0"/>
  </r>
  <r>
    <x v="175"/>
    <x v="112"/>
    <s v="CUST0135"/>
    <x v="2"/>
    <x v="3"/>
    <x v="3"/>
    <x v="7"/>
    <n v="2"/>
    <n v="544.6"/>
    <n v="0.1"/>
    <n v="490.14"/>
    <n v="333.41"/>
    <n v="156.72999999999999"/>
    <x v="0"/>
    <n v="10"/>
    <d v="2025-10-10T10:00:00"/>
    <s v="Oct"/>
    <n v="10"/>
    <s v="Q4"/>
    <x v="0"/>
    <x v="0"/>
    <x v="0"/>
    <x v="0"/>
  </r>
  <r>
    <x v="176"/>
    <x v="139"/>
    <s v="CUST0255"/>
    <x v="4"/>
    <x v="7"/>
    <x v="0"/>
    <x v="0"/>
    <n v="2"/>
    <n v="15683.1"/>
    <n v="0.1"/>
    <n v="14114.79"/>
    <n v="10961.12"/>
    <n v="3153.67"/>
    <x v="0"/>
    <n v="35"/>
    <d v="2025-05-02T11:00:00"/>
    <s v="May"/>
    <n v="5"/>
    <s v="Q2"/>
    <x v="0"/>
    <x v="0"/>
    <x v="0"/>
    <x v="0"/>
  </r>
  <r>
    <x v="177"/>
    <x v="140"/>
    <s v="CUST0278"/>
    <x v="9"/>
    <x v="7"/>
    <x v="0"/>
    <x v="17"/>
    <n v="2"/>
    <n v="16600.64"/>
    <n v="0.1"/>
    <n v="14940.58"/>
    <n v="10271.280000000001"/>
    <n v="4669.3"/>
    <x v="1"/>
    <n v="20"/>
    <d v="2025-04-26T20:00:00"/>
    <s v="Apr"/>
    <n v="4"/>
    <s v="Q2"/>
    <x v="1"/>
    <x v="0"/>
    <x v="0"/>
    <x v="1"/>
  </r>
  <r>
    <x v="178"/>
    <x v="141"/>
    <s v="CUST0133"/>
    <x v="1"/>
    <x v="2"/>
    <x v="1"/>
    <x v="1"/>
    <n v="4"/>
    <n v="8024.24"/>
    <n v="0"/>
    <n v="8024.24"/>
    <n v="6130.63"/>
    <n v="1893.61"/>
    <x v="0"/>
    <n v="18"/>
    <d v="2025-08-21T18:00:00"/>
    <s v="Aug"/>
    <n v="8"/>
    <s v="Q3"/>
    <x v="0"/>
    <x v="0"/>
    <x v="0"/>
    <x v="0"/>
  </r>
  <r>
    <x v="179"/>
    <x v="142"/>
    <s v="CUST0238"/>
    <x v="8"/>
    <x v="3"/>
    <x v="3"/>
    <x v="12"/>
    <n v="3"/>
    <n v="5663.07"/>
    <n v="0"/>
    <n v="5663.07"/>
    <n v="3692.96"/>
    <n v="1970.11"/>
    <x v="3"/>
    <n v="14"/>
    <d v="2025-09-16T14:00:00"/>
    <s v="Sep"/>
    <n v="9"/>
    <s v="Q3"/>
    <x v="1"/>
    <x v="1"/>
    <x v="0"/>
    <x v="0"/>
  </r>
  <r>
    <x v="180"/>
    <x v="111"/>
    <s v="CUST0015"/>
    <x v="2"/>
    <x v="1"/>
    <x v="4"/>
    <x v="21"/>
    <n v="7"/>
    <n v="45104.92"/>
    <n v="0.05"/>
    <n v="42849.67"/>
    <n v="32139.26"/>
    <n v="10710.41"/>
    <x v="0"/>
    <n v="22"/>
    <d v="2025-12-25T22:00:00"/>
    <s v="Dec"/>
    <n v="12"/>
    <s v="Q4"/>
    <x v="0"/>
    <x v="0"/>
    <x v="0"/>
    <x v="0"/>
  </r>
  <r>
    <x v="181"/>
    <x v="143"/>
    <s v="CUST0277"/>
    <x v="8"/>
    <x v="1"/>
    <x v="3"/>
    <x v="16"/>
    <n v="2"/>
    <n v="4531.4399999999996"/>
    <n v="0.2"/>
    <n v="3625.15"/>
    <n v="2620.4"/>
    <n v="1004.75"/>
    <x v="1"/>
    <n v="5"/>
    <d v="2025-07-17T05:00:00"/>
    <s v="Jul"/>
    <n v="7"/>
    <s v="Q3"/>
    <x v="1"/>
    <x v="0"/>
    <x v="0"/>
    <x v="1"/>
  </r>
  <r>
    <x v="182"/>
    <x v="144"/>
    <s v="CUST0126"/>
    <x v="0"/>
    <x v="1"/>
    <x v="1"/>
    <x v="4"/>
    <n v="2"/>
    <n v="15247.78"/>
    <n v="0"/>
    <n v="15247.78"/>
    <n v="8509.4599999999991"/>
    <n v="6738.32"/>
    <x v="2"/>
    <n v="91"/>
    <d v="2025-05-20T19:00:00"/>
    <s v="May"/>
    <n v="5"/>
    <s v="Q2"/>
    <x v="1"/>
    <x v="0"/>
    <x v="1"/>
    <x v="0"/>
  </r>
  <r>
    <x v="183"/>
    <x v="145"/>
    <s v="CUST0017"/>
    <x v="0"/>
    <x v="4"/>
    <x v="0"/>
    <x v="14"/>
    <n v="7"/>
    <n v="34596.17"/>
    <n v="0.15"/>
    <n v="29406.74"/>
    <n v="23846.87"/>
    <n v="5559.87"/>
    <x v="2"/>
    <n v="84"/>
    <d v="2025-11-17T12:00:00"/>
    <s v="Nov"/>
    <n v="11"/>
    <s v="Q4"/>
    <x v="1"/>
    <x v="0"/>
    <x v="1"/>
    <x v="0"/>
  </r>
  <r>
    <x v="184"/>
    <x v="146"/>
    <s v="CUST0050"/>
    <x v="3"/>
    <x v="7"/>
    <x v="0"/>
    <x v="17"/>
    <n v="6"/>
    <n v="18473.939999999999"/>
    <n v="0.15"/>
    <n v="15702.85"/>
    <n v="8698.2199999999993"/>
    <n v="7004.63"/>
    <x v="0"/>
    <n v="31"/>
    <d v="2025-06-15T07:00:00"/>
    <s v="Jun"/>
    <n v="6"/>
    <s v="Q2"/>
    <x v="0"/>
    <x v="0"/>
    <x v="0"/>
    <x v="0"/>
  </r>
  <r>
    <x v="185"/>
    <x v="138"/>
    <s v="CUST0135"/>
    <x v="4"/>
    <x v="0"/>
    <x v="1"/>
    <x v="4"/>
    <n v="6"/>
    <n v="42617.94"/>
    <n v="0.15"/>
    <n v="36225.25"/>
    <n v="23428.37"/>
    <n v="12796.88"/>
    <x v="0"/>
    <n v="20"/>
    <d v="2025-08-13T20:00:00"/>
    <s v="Aug"/>
    <n v="8"/>
    <s v="Q3"/>
    <x v="0"/>
    <x v="0"/>
    <x v="0"/>
    <x v="0"/>
  </r>
  <r>
    <x v="186"/>
    <x v="39"/>
    <s v="CUST0118"/>
    <x v="1"/>
    <x v="3"/>
    <x v="4"/>
    <x v="22"/>
    <n v="2"/>
    <n v="8539.9"/>
    <n v="0.2"/>
    <n v="6831.92"/>
    <n v="3770.91"/>
    <n v="3061.01"/>
    <x v="1"/>
    <n v="23"/>
    <d v="2025-11-03T23:00:00"/>
    <s v="Nov"/>
    <n v="11"/>
    <s v="Q4"/>
    <x v="1"/>
    <x v="0"/>
    <x v="0"/>
    <x v="1"/>
  </r>
  <r>
    <x v="187"/>
    <x v="147"/>
    <s v="CUST0060"/>
    <x v="6"/>
    <x v="0"/>
    <x v="0"/>
    <x v="6"/>
    <n v="1"/>
    <n v="7762.13"/>
    <n v="0.05"/>
    <n v="7374.02"/>
    <n v="4971.17"/>
    <n v="2402.85"/>
    <x v="0"/>
    <n v="22"/>
    <d v="2025-08-22T22:00:00"/>
    <s v="Aug"/>
    <n v="8"/>
    <s v="Q3"/>
    <x v="0"/>
    <x v="0"/>
    <x v="0"/>
    <x v="0"/>
  </r>
  <r>
    <x v="188"/>
    <x v="104"/>
    <s v="CUST0125"/>
    <x v="2"/>
    <x v="4"/>
    <x v="2"/>
    <x v="15"/>
    <n v="4"/>
    <n v="31595.68"/>
    <n v="0.05"/>
    <n v="30015.9"/>
    <n v="17134.37"/>
    <n v="12881.53"/>
    <x v="2"/>
    <n v="95"/>
    <d v="2025-06-24T23:00:00"/>
    <s v="Jun"/>
    <n v="6"/>
    <s v="Q2"/>
    <x v="1"/>
    <x v="0"/>
    <x v="1"/>
    <x v="0"/>
  </r>
  <r>
    <x v="189"/>
    <x v="13"/>
    <s v="CUST0116"/>
    <x v="2"/>
    <x v="3"/>
    <x v="0"/>
    <x v="0"/>
    <n v="6"/>
    <n v="9187.56"/>
    <n v="0.1"/>
    <n v="8268.7999999999993"/>
    <n v="7040.54"/>
    <n v="1228.26"/>
    <x v="0"/>
    <n v="14"/>
    <d v="2025-06-01T14:00:00"/>
    <s v="Jun"/>
    <n v="6"/>
    <s v="Q2"/>
    <x v="0"/>
    <x v="0"/>
    <x v="0"/>
    <x v="0"/>
  </r>
  <r>
    <x v="190"/>
    <x v="148"/>
    <s v="CUST0173"/>
    <x v="3"/>
    <x v="0"/>
    <x v="2"/>
    <x v="24"/>
    <n v="1"/>
    <n v="169.4"/>
    <n v="0.05"/>
    <n v="160.93"/>
    <n v="110.59"/>
    <n v="50.34"/>
    <x v="0"/>
    <n v="18"/>
    <d v="2025-11-11T18:00:00"/>
    <s v="Nov"/>
    <n v="11"/>
    <s v="Q4"/>
    <x v="0"/>
    <x v="0"/>
    <x v="0"/>
    <x v="0"/>
  </r>
  <r>
    <x v="191"/>
    <x v="126"/>
    <s v="CUST0187"/>
    <x v="0"/>
    <x v="5"/>
    <x v="1"/>
    <x v="5"/>
    <n v="4"/>
    <n v="33463.279999999999"/>
    <n v="0.15"/>
    <n v="28443.79"/>
    <n v="19957.12"/>
    <n v="8486.67"/>
    <x v="1"/>
    <n v="3"/>
    <d v="2025-06-09T03:00:00"/>
    <s v="Jun"/>
    <n v="6"/>
    <s v="Q2"/>
    <x v="1"/>
    <x v="0"/>
    <x v="0"/>
    <x v="1"/>
  </r>
  <r>
    <x v="192"/>
    <x v="119"/>
    <s v="CUST0088"/>
    <x v="3"/>
    <x v="2"/>
    <x v="1"/>
    <x v="4"/>
    <n v="2"/>
    <n v="15432.5"/>
    <n v="0.1"/>
    <n v="13889.25"/>
    <n v="9242.61"/>
    <n v="4646.6400000000003"/>
    <x v="0"/>
    <n v="46"/>
    <d v="2025-04-07T22:00:00"/>
    <s v="Apr"/>
    <n v="4"/>
    <s v="Q2"/>
    <x v="0"/>
    <x v="0"/>
    <x v="0"/>
    <x v="0"/>
  </r>
  <r>
    <x v="193"/>
    <x v="141"/>
    <s v="CUST0203"/>
    <x v="9"/>
    <x v="4"/>
    <x v="0"/>
    <x v="6"/>
    <n v="3"/>
    <n v="1838.91"/>
    <n v="0.2"/>
    <n v="1471.13"/>
    <n v="1113.76"/>
    <n v="357.37"/>
    <x v="3"/>
    <n v="1"/>
    <d v="2025-08-21T01:00:00"/>
    <s v="Aug"/>
    <n v="8"/>
    <s v="Q3"/>
    <x v="1"/>
    <x v="1"/>
    <x v="0"/>
    <x v="0"/>
  </r>
  <r>
    <x v="194"/>
    <x v="149"/>
    <s v="CUST0182"/>
    <x v="1"/>
    <x v="4"/>
    <x v="3"/>
    <x v="16"/>
    <n v="5"/>
    <n v="35529.199999999997"/>
    <n v="0"/>
    <n v="35529.199999999997"/>
    <n v="28737.96"/>
    <n v="6791.24"/>
    <x v="0"/>
    <n v="6"/>
    <d v="2025-06-29T06:00:00"/>
    <s v="Jun"/>
    <n v="6"/>
    <s v="Q2"/>
    <x v="0"/>
    <x v="0"/>
    <x v="0"/>
    <x v="0"/>
  </r>
  <r>
    <x v="195"/>
    <x v="150"/>
    <s v="CUST0168"/>
    <x v="4"/>
    <x v="5"/>
    <x v="2"/>
    <x v="11"/>
    <n v="5"/>
    <n v="19863.349999999999"/>
    <n v="0.2"/>
    <n v="15890.68"/>
    <n v="12138.71"/>
    <n v="3751.97"/>
    <x v="0"/>
    <n v="6"/>
    <d v="2025-04-23T06:00:00"/>
    <s v="Apr"/>
    <n v="4"/>
    <s v="Q2"/>
    <x v="0"/>
    <x v="0"/>
    <x v="0"/>
    <x v="0"/>
  </r>
  <r>
    <x v="196"/>
    <x v="145"/>
    <s v="CUST0181"/>
    <x v="7"/>
    <x v="4"/>
    <x v="4"/>
    <x v="13"/>
    <n v="2"/>
    <n v="4624.66"/>
    <n v="0.05"/>
    <n v="4393.43"/>
    <n v="3501.16"/>
    <n v="892.27"/>
    <x v="0"/>
    <n v="21"/>
    <d v="2025-11-14T21:00:00"/>
    <s v="Nov"/>
    <n v="11"/>
    <s v="Q4"/>
    <x v="0"/>
    <x v="0"/>
    <x v="0"/>
    <x v="0"/>
  </r>
  <r>
    <x v="197"/>
    <x v="118"/>
    <s v="CUST0300"/>
    <x v="5"/>
    <x v="3"/>
    <x v="0"/>
    <x v="17"/>
    <n v="6"/>
    <n v="44925.18"/>
    <n v="0.1"/>
    <n v="40432.660000000003"/>
    <n v="34326.17"/>
    <n v="6106.49"/>
    <x v="0"/>
    <n v="28"/>
    <d v="2025-02-22T04:00:00"/>
    <s v="Feb"/>
    <n v="2"/>
    <s v="Q1"/>
    <x v="0"/>
    <x v="0"/>
    <x v="0"/>
    <x v="0"/>
  </r>
  <r>
    <x v="198"/>
    <x v="97"/>
    <s v="CUST0130"/>
    <x v="5"/>
    <x v="0"/>
    <x v="4"/>
    <x v="21"/>
    <n v="1"/>
    <n v="1792.17"/>
    <n v="0.05"/>
    <n v="1702.56"/>
    <n v="1421.59"/>
    <n v="280.97000000000003"/>
    <x v="2"/>
    <n v="81"/>
    <d v="2025-09-28T09:00:00"/>
    <s v="Sep"/>
    <n v="9"/>
    <s v="Q3"/>
    <x v="1"/>
    <x v="0"/>
    <x v="1"/>
    <x v="0"/>
  </r>
  <r>
    <x v="199"/>
    <x v="151"/>
    <s v="CUST0149"/>
    <x v="3"/>
    <x v="0"/>
    <x v="0"/>
    <x v="0"/>
    <n v="3"/>
    <n v="24179.85"/>
    <n v="0.15"/>
    <n v="20552.87"/>
    <n v="15875.84"/>
    <n v="4677.03"/>
    <x v="1"/>
    <n v="6"/>
    <d v="2025-10-22T06:00:00"/>
    <s v="Oct"/>
    <n v="10"/>
    <s v="Q4"/>
    <x v="1"/>
    <x v="0"/>
    <x v="0"/>
    <x v="1"/>
  </r>
  <r>
    <x v="200"/>
    <x v="150"/>
    <s v="CUST0209"/>
    <x v="9"/>
    <x v="6"/>
    <x v="3"/>
    <x v="7"/>
    <n v="7"/>
    <n v="13068.58"/>
    <n v="0.05"/>
    <n v="12415.15"/>
    <n v="7707.7"/>
    <n v="4707.45"/>
    <x v="0"/>
    <n v="32"/>
    <d v="2025-04-24T08:00:00"/>
    <s v="Apr"/>
    <n v="4"/>
    <s v="Q2"/>
    <x v="0"/>
    <x v="0"/>
    <x v="0"/>
    <x v="0"/>
  </r>
  <r>
    <x v="201"/>
    <x v="107"/>
    <s v="CUST0111"/>
    <x v="1"/>
    <x v="4"/>
    <x v="3"/>
    <x v="12"/>
    <n v="4"/>
    <n v="21097"/>
    <n v="0.2"/>
    <n v="16877.599999999999"/>
    <n v="12834.43"/>
    <n v="4043.17"/>
    <x v="2"/>
    <n v="75"/>
    <d v="2025-04-14T03:00:00"/>
    <s v="Apr"/>
    <n v="4"/>
    <s v="Q2"/>
    <x v="1"/>
    <x v="0"/>
    <x v="1"/>
    <x v="0"/>
  </r>
  <r>
    <x v="202"/>
    <x v="150"/>
    <s v="CUST0137"/>
    <x v="6"/>
    <x v="1"/>
    <x v="3"/>
    <x v="20"/>
    <n v="2"/>
    <n v="4025.54"/>
    <n v="0.2"/>
    <n v="3220.43"/>
    <n v="2309.0700000000002"/>
    <n v="911.36"/>
    <x v="2"/>
    <n v="86"/>
    <d v="2025-04-26T14:00:00"/>
    <s v="Apr"/>
    <n v="4"/>
    <s v="Q2"/>
    <x v="1"/>
    <x v="0"/>
    <x v="1"/>
    <x v="0"/>
  </r>
  <r>
    <x v="203"/>
    <x v="56"/>
    <s v="CUST0211"/>
    <x v="5"/>
    <x v="7"/>
    <x v="3"/>
    <x v="7"/>
    <n v="3"/>
    <n v="14118.99"/>
    <n v="0.2"/>
    <n v="11295.19"/>
    <n v="8885.73"/>
    <n v="2409.46"/>
    <x v="3"/>
    <n v="13"/>
    <d v="2025-03-22T13:00:00"/>
    <s v="Mar"/>
    <n v="3"/>
    <s v="Q1"/>
    <x v="1"/>
    <x v="1"/>
    <x v="0"/>
    <x v="0"/>
  </r>
  <r>
    <x v="204"/>
    <x v="127"/>
    <s v="CUST0146"/>
    <x v="1"/>
    <x v="2"/>
    <x v="1"/>
    <x v="4"/>
    <n v="3"/>
    <n v="17583.57"/>
    <n v="0"/>
    <n v="17583.57"/>
    <n v="14504.11"/>
    <n v="3079.46"/>
    <x v="1"/>
    <n v="15"/>
    <d v="2025-07-06T15:00:00"/>
    <s v="Jul"/>
    <n v="7"/>
    <s v="Q3"/>
    <x v="1"/>
    <x v="0"/>
    <x v="0"/>
    <x v="1"/>
  </r>
  <r>
    <x v="205"/>
    <x v="150"/>
    <s v="CUST0084"/>
    <x v="4"/>
    <x v="2"/>
    <x v="1"/>
    <x v="1"/>
    <n v="6"/>
    <n v="10430.4"/>
    <n v="0.2"/>
    <n v="8344.32"/>
    <n v="6634.55"/>
    <n v="1709.77"/>
    <x v="0"/>
    <n v="24"/>
    <d v="2025-04-24T00:00:00"/>
    <s v="Apr"/>
    <n v="4"/>
    <s v="Q2"/>
    <x v="0"/>
    <x v="0"/>
    <x v="0"/>
    <x v="0"/>
  </r>
  <r>
    <x v="206"/>
    <x v="58"/>
    <s v="CUST0030"/>
    <x v="8"/>
    <x v="6"/>
    <x v="2"/>
    <x v="2"/>
    <n v="4"/>
    <n v="17997.599999999999"/>
    <n v="0.15"/>
    <n v="15297.96"/>
    <n v="12687.6"/>
    <n v="2610.36"/>
    <x v="1"/>
    <n v="2"/>
    <d v="2025-01-02T02:00:00"/>
    <s v="Jan"/>
    <n v="1"/>
    <s v="Q1"/>
    <x v="1"/>
    <x v="0"/>
    <x v="0"/>
    <x v="1"/>
  </r>
  <r>
    <x v="207"/>
    <x v="152"/>
    <s v="CUST0065"/>
    <x v="9"/>
    <x v="6"/>
    <x v="4"/>
    <x v="23"/>
    <n v="3"/>
    <n v="12199.95"/>
    <n v="0"/>
    <n v="12199.95"/>
    <n v="6967.1"/>
    <n v="5232.8500000000004"/>
    <x v="1"/>
    <n v="17"/>
    <d v="2025-05-10T17:00:00"/>
    <s v="May"/>
    <n v="5"/>
    <s v="Q2"/>
    <x v="1"/>
    <x v="0"/>
    <x v="0"/>
    <x v="1"/>
  </r>
  <r>
    <x v="208"/>
    <x v="153"/>
    <s v="CUST0024"/>
    <x v="0"/>
    <x v="3"/>
    <x v="0"/>
    <x v="14"/>
    <n v="6"/>
    <n v="4458.96"/>
    <n v="0"/>
    <n v="4458.96"/>
    <n v="2498.96"/>
    <n v="1960"/>
    <x v="0"/>
    <n v="13"/>
    <d v="2025-08-08T13:00:00"/>
    <s v="Aug"/>
    <n v="8"/>
    <s v="Q3"/>
    <x v="0"/>
    <x v="0"/>
    <x v="0"/>
    <x v="0"/>
  </r>
  <r>
    <x v="209"/>
    <x v="59"/>
    <s v="CUST0211"/>
    <x v="1"/>
    <x v="6"/>
    <x v="0"/>
    <x v="6"/>
    <n v="1"/>
    <n v="6982.87"/>
    <n v="0"/>
    <n v="6982.87"/>
    <n v="4436.25"/>
    <n v="2546.62"/>
    <x v="0"/>
    <n v="16"/>
    <d v="2025-02-23T16:00:00"/>
    <s v="Feb"/>
    <n v="2"/>
    <s v="Q1"/>
    <x v="0"/>
    <x v="0"/>
    <x v="0"/>
    <x v="0"/>
  </r>
  <r>
    <x v="210"/>
    <x v="154"/>
    <s v="CUST0222"/>
    <x v="4"/>
    <x v="0"/>
    <x v="1"/>
    <x v="10"/>
    <n v="6"/>
    <n v="17717.7"/>
    <n v="0"/>
    <n v="17717.7"/>
    <n v="15010.79"/>
    <n v="2706.91"/>
    <x v="2"/>
    <n v="57"/>
    <d v="2025-12-11T09:00:00"/>
    <s v="Dec"/>
    <n v="12"/>
    <s v="Q4"/>
    <x v="1"/>
    <x v="0"/>
    <x v="1"/>
    <x v="0"/>
  </r>
  <r>
    <x v="211"/>
    <x v="155"/>
    <s v="CUST0090"/>
    <x v="6"/>
    <x v="3"/>
    <x v="0"/>
    <x v="19"/>
    <n v="1"/>
    <n v="4947.76"/>
    <n v="0.1"/>
    <n v="4452.9799999999996"/>
    <n v="3659.49"/>
    <n v="793.49"/>
    <x v="0"/>
    <n v="26"/>
    <d v="2025-08-13T02:00:00"/>
    <s v="Aug"/>
    <n v="8"/>
    <s v="Q3"/>
    <x v="0"/>
    <x v="0"/>
    <x v="0"/>
    <x v="0"/>
  </r>
  <r>
    <x v="212"/>
    <x v="138"/>
    <s v="CUST0106"/>
    <x v="7"/>
    <x v="3"/>
    <x v="1"/>
    <x v="8"/>
    <n v="1"/>
    <n v="4448.45"/>
    <n v="0.25"/>
    <n v="3336.34"/>
    <n v="2586.66"/>
    <n v="749.68"/>
    <x v="0"/>
    <n v="34"/>
    <d v="2025-08-14T10:00:00"/>
    <s v="Aug"/>
    <n v="8"/>
    <s v="Q3"/>
    <x v="0"/>
    <x v="0"/>
    <x v="0"/>
    <x v="0"/>
  </r>
  <r>
    <x v="213"/>
    <x v="156"/>
    <s v="CUST0172"/>
    <x v="0"/>
    <x v="2"/>
    <x v="2"/>
    <x v="2"/>
    <n v="7"/>
    <n v="31050.11"/>
    <n v="0.05"/>
    <n v="29497.599999999999"/>
    <n v="23045.01"/>
    <n v="6452.59"/>
    <x v="2"/>
    <n v="60"/>
    <d v="2025-05-08T12:00:00"/>
    <s v="May"/>
    <n v="5"/>
    <s v="Q2"/>
    <x v="1"/>
    <x v="0"/>
    <x v="1"/>
    <x v="0"/>
  </r>
  <r>
    <x v="214"/>
    <x v="152"/>
    <s v="CUST0230"/>
    <x v="7"/>
    <x v="2"/>
    <x v="4"/>
    <x v="9"/>
    <n v="7"/>
    <n v="7317.17"/>
    <n v="0.1"/>
    <n v="6585.45"/>
    <n v="5201.2"/>
    <n v="1384.25"/>
    <x v="0"/>
    <n v="6"/>
    <d v="2025-05-10T06:00:00"/>
    <s v="May"/>
    <n v="5"/>
    <s v="Q2"/>
    <x v="0"/>
    <x v="0"/>
    <x v="0"/>
    <x v="0"/>
  </r>
  <r>
    <x v="215"/>
    <x v="50"/>
    <s v="CUST0077"/>
    <x v="6"/>
    <x v="1"/>
    <x v="2"/>
    <x v="11"/>
    <n v="3"/>
    <n v="11058.21"/>
    <n v="0.25"/>
    <n v="8293.66"/>
    <n v="7141.33"/>
    <n v="1152.33"/>
    <x v="0"/>
    <n v="24"/>
    <d v="2025-02-23T00:00:00"/>
    <s v="Feb"/>
    <n v="2"/>
    <s v="Q1"/>
    <x v="0"/>
    <x v="0"/>
    <x v="0"/>
    <x v="0"/>
  </r>
  <r>
    <x v="216"/>
    <x v="104"/>
    <s v="CUST0068"/>
    <x v="4"/>
    <x v="4"/>
    <x v="3"/>
    <x v="16"/>
    <n v="6"/>
    <n v="23563.56"/>
    <n v="0.05"/>
    <n v="22385.38"/>
    <n v="18459.5"/>
    <n v="3925.88"/>
    <x v="0"/>
    <n v="5"/>
    <d v="2025-06-21T05:00:00"/>
    <s v="Jun"/>
    <n v="6"/>
    <s v="Q2"/>
    <x v="0"/>
    <x v="0"/>
    <x v="0"/>
    <x v="0"/>
  </r>
  <r>
    <x v="217"/>
    <x v="64"/>
    <s v="CUST0092"/>
    <x v="5"/>
    <x v="5"/>
    <x v="3"/>
    <x v="12"/>
    <n v="7"/>
    <n v="43931.44"/>
    <n v="0.2"/>
    <n v="35145.15"/>
    <n v="26559.85"/>
    <n v="8585.2999999999993"/>
    <x v="0"/>
    <n v="7"/>
    <d v="2025-08-06T07:00:00"/>
    <s v="Aug"/>
    <n v="8"/>
    <s v="Q3"/>
    <x v="0"/>
    <x v="0"/>
    <x v="0"/>
    <x v="0"/>
  </r>
  <r>
    <x v="218"/>
    <x v="126"/>
    <s v="CUST0088"/>
    <x v="7"/>
    <x v="5"/>
    <x v="3"/>
    <x v="7"/>
    <n v="1"/>
    <n v="7164.16"/>
    <n v="0.1"/>
    <n v="6447.74"/>
    <n v="4962.74"/>
    <n v="1485"/>
    <x v="0"/>
    <n v="4"/>
    <d v="2025-06-09T04:00:00"/>
    <s v="Jun"/>
    <n v="6"/>
    <s v="Q2"/>
    <x v="0"/>
    <x v="0"/>
    <x v="0"/>
    <x v="0"/>
  </r>
  <r>
    <x v="219"/>
    <x v="143"/>
    <s v="CUST0050"/>
    <x v="0"/>
    <x v="6"/>
    <x v="2"/>
    <x v="15"/>
    <n v="7"/>
    <n v="32904.199999999997"/>
    <n v="0.1"/>
    <n v="29613.78"/>
    <n v="18376.37"/>
    <n v="11237.41"/>
    <x v="0"/>
    <n v="18"/>
    <d v="2025-07-17T18:00:00"/>
    <s v="Jul"/>
    <n v="7"/>
    <s v="Q3"/>
    <x v="0"/>
    <x v="0"/>
    <x v="0"/>
    <x v="0"/>
  </r>
  <r>
    <x v="220"/>
    <x v="157"/>
    <s v="CUST0103"/>
    <x v="3"/>
    <x v="4"/>
    <x v="0"/>
    <x v="17"/>
    <n v="4"/>
    <n v="3498.56"/>
    <n v="0.05"/>
    <n v="3323.63"/>
    <n v="2548.94"/>
    <n v="774.69"/>
    <x v="1"/>
    <n v="8"/>
    <d v="2025-09-04T08:00:00"/>
    <s v="Sep"/>
    <n v="9"/>
    <s v="Q3"/>
    <x v="1"/>
    <x v="0"/>
    <x v="0"/>
    <x v="1"/>
  </r>
  <r>
    <x v="221"/>
    <x v="158"/>
    <s v="CUST0046"/>
    <x v="2"/>
    <x v="4"/>
    <x v="4"/>
    <x v="22"/>
    <n v="3"/>
    <n v="6383.07"/>
    <n v="0.1"/>
    <n v="5744.76"/>
    <n v="3964.71"/>
    <n v="1780.05"/>
    <x v="0"/>
    <n v="9"/>
    <d v="2025-11-20T09:00:00"/>
    <s v="Nov"/>
    <n v="11"/>
    <s v="Q4"/>
    <x v="0"/>
    <x v="0"/>
    <x v="0"/>
    <x v="0"/>
  </r>
  <r>
    <x v="222"/>
    <x v="159"/>
    <s v="CUST0179"/>
    <x v="1"/>
    <x v="4"/>
    <x v="3"/>
    <x v="16"/>
    <n v="6"/>
    <n v="9163.2000000000007"/>
    <n v="0"/>
    <n v="9163.2000000000007"/>
    <n v="5502.29"/>
    <n v="3660.91"/>
    <x v="1"/>
    <n v="7"/>
    <d v="2025-07-22T07:00:00"/>
    <s v="Jul"/>
    <n v="7"/>
    <s v="Q3"/>
    <x v="1"/>
    <x v="0"/>
    <x v="0"/>
    <x v="1"/>
  </r>
  <r>
    <x v="223"/>
    <x v="160"/>
    <s v="CUST0267"/>
    <x v="5"/>
    <x v="3"/>
    <x v="3"/>
    <x v="7"/>
    <n v="6"/>
    <n v="7143.24"/>
    <n v="0.15"/>
    <n v="6071.75"/>
    <n v="4955.2299999999996"/>
    <n v="1116.52"/>
    <x v="2"/>
    <n v="87"/>
    <d v="2025-07-06T15:00:00"/>
    <s v="Jul"/>
    <n v="7"/>
    <s v="Q3"/>
    <x v="1"/>
    <x v="0"/>
    <x v="1"/>
    <x v="0"/>
  </r>
  <r>
    <x v="224"/>
    <x v="161"/>
    <s v="CUST0268"/>
    <x v="7"/>
    <x v="4"/>
    <x v="3"/>
    <x v="18"/>
    <n v="5"/>
    <n v="16026.3"/>
    <n v="0.05"/>
    <n v="15224.98"/>
    <n v="10937.34"/>
    <n v="4287.6400000000003"/>
    <x v="2"/>
    <n v="57"/>
    <d v="2025-05-05T09:00:00"/>
    <s v="May"/>
    <n v="5"/>
    <s v="Q2"/>
    <x v="1"/>
    <x v="0"/>
    <x v="1"/>
    <x v="0"/>
  </r>
  <r>
    <x v="225"/>
    <x v="110"/>
    <s v="CUST0008"/>
    <x v="8"/>
    <x v="6"/>
    <x v="4"/>
    <x v="21"/>
    <n v="6"/>
    <n v="12392.64"/>
    <n v="0.2"/>
    <n v="9914.11"/>
    <n v="8650.56"/>
    <n v="1263.55"/>
    <x v="0"/>
    <n v="4"/>
    <d v="2025-09-12T04:00:00"/>
    <s v="Sep"/>
    <n v="9"/>
    <s v="Q3"/>
    <x v="0"/>
    <x v="0"/>
    <x v="0"/>
    <x v="0"/>
  </r>
  <r>
    <x v="226"/>
    <x v="19"/>
    <s v="CUST0265"/>
    <x v="1"/>
    <x v="3"/>
    <x v="3"/>
    <x v="20"/>
    <n v="3"/>
    <n v="5918.49"/>
    <n v="0.05"/>
    <n v="5622.57"/>
    <n v="3615.05"/>
    <n v="2007.52"/>
    <x v="3"/>
    <n v="12"/>
    <d v="2025-10-21T12:00:00"/>
    <s v="Oct"/>
    <n v="10"/>
    <s v="Q4"/>
    <x v="1"/>
    <x v="1"/>
    <x v="0"/>
    <x v="0"/>
  </r>
  <r>
    <x v="227"/>
    <x v="77"/>
    <s v="CUST0078"/>
    <x v="3"/>
    <x v="6"/>
    <x v="4"/>
    <x v="23"/>
    <n v="4"/>
    <n v="2426.7600000000002"/>
    <n v="0"/>
    <n v="2426.7600000000002"/>
    <n v="1719.65"/>
    <n v="707.11"/>
    <x v="1"/>
    <n v="3"/>
    <d v="2025-10-07T03:00:00"/>
    <s v="Oct"/>
    <n v="10"/>
    <s v="Q4"/>
    <x v="1"/>
    <x v="0"/>
    <x v="0"/>
    <x v="1"/>
  </r>
  <r>
    <x v="228"/>
    <x v="162"/>
    <s v="CUST0240"/>
    <x v="6"/>
    <x v="3"/>
    <x v="3"/>
    <x v="7"/>
    <n v="6"/>
    <n v="1785.24"/>
    <n v="0.1"/>
    <n v="1606.72"/>
    <n v="1121.23"/>
    <n v="485.49"/>
    <x v="2"/>
    <n v="72"/>
    <d v="2025-11-24T00:00:00"/>
    <s v="Nov"/>
    <n v="11"/>
    <s v="Q4"/>
    <x v="1"/>
    <x v="0"/>
    <x v="1"/>
    <x v="0"/>
  </r>
  <r>
    <x v="229"/>
    <x v="163"/>
    <s v="CUST0258"/>
    <x v="2"/>
    <x v="5"/>
    <x v="2"/>
    <x v="3"/>
    <n v="5"/>
    <n v="5040.55"/>
    <n v="0"/>
    <n v="5040.55"/>
    <n v="2973.2"/>
    <n v="2067.35"/>
    <x v="3"/>
    <n v="1"/>
    <d v="2025-04-08T01:00:00"/>
    <s v="Apr"/>
    <n v="4"/>
    <s v="Q2"/>
    <x v="1"/>
    <x v="1"/>
    <x v="0"/>
    <x v="0"/>
  </r>
  <r>
    <x v="230"/>
    <x v="143"/>
    <s v="CUST0196"/>
    <x v="4"/>
    <x v="7"/>
    <x v="2"/>
    <x v="3"/>
    <n v="3"/>
    <n v="4763.55"/>
    <n v="0.15"/>
    <n v="4049.02"/>
    <n v="2796.33"/>
    <n v="1252.69"/>
    <x v="0"/>
    <n v="47"/>
    <d v="2025-07-18T23:00:00"/>
    <s v="Jul"/>
    <n v="7"/>
    <s v="Q3"/>
    <x v="0"/>
    <x v="0"/>
    <x v="0"/>
    <x v="0"/>
  </r>
  <r>
    <x v="231"/>
    <x v="164"/>
    <s v="CUST0131"/>
    <x v="3"/>
    <x v="7"/>
    <x v="4"/>
    <x v="22"/>
    <n v="1"/>
    <n v="3748.71"/>
    <n v="0.25"/>
    <n v="2811.53"/>
    <n v="1813.14"/>
    <n v="998.39"/>
    <x v="3"/>
    <n v="21"/>
    <d v="2025-08-28T21:00:00"/>
    <s v="Aug"/>
    <n v="8"/>
    <s v="Q3"/>
    <x v="1"/>
    <x v="1"/>
    <x v="0"/>
    <x v="0"/>
  </r>
  <r>
    <x v="232"/>
    <x v="165"/>
    <s v="CUST0261"/>
    <x v="3"/>
    <x v="5"/>
    <x v="2"/>
    <x v="11"/>
    <n v="2"/>
    <n v="8825.68"/>
    <n v="0.15"/>
    <n v="7501.83"/>
    <n v="4522.8999999999996"/>
    <n v="2978.93"/>
    <x v="3"/>
    <n v="20"/>
    <d v="2025-05-24T20:00:00"/>
    <s v="May"/>
    <n v="5"/>
    <s v="Q2"/>
    <x v="1"/>
    <x v="1"/>
    <x v="0"/>
    <x v="0"/>
  </r>
  <r>
    <x v="233"/>
    <x v="166"/>
    <s v="CUST0242"/>
    <x v="6"/>
    <x v="7"/>
    <x v="4"/>
    <x v="21"/>
    <n v="2"/>
    <n v="2647.88"/>
    <n v="0"/>
    <n v="2647.88"/>
    <n v="1702.88"/>
    <n v="945"/>
    <x v="0"/>
    <n v="16"/>
    <d v="2025-04-07T16:00:00"/>
    <s v="Apr"/>
    <n v="4"/>
    <s v="Q2"/>
    <x v="0"/>
    <x v="0"/>
    <x v="0"/>
    <x v="0"/>
  </r>
  <r>
    <x v="234"/>
    <x v="95"/>
    <s v="CUST0171"/>
    <x v="9"/>
    <x v="7"/>
    <x v="2"/>
    <x v="15"/>
    <n v="1"/>
    <n v="3696.94"/>
    <n v="0.1"/>
    <n v="3327.25"/>
    <n v="2086.1"/>
    <n v="1241.1500000000001"/>
    <x v="1"/>
    <n v="16"/>
    <d v="2025-07-20T16:00:00"/>
    <s v="Jul"/>
    <n v="7"/>
    <s v="Q3"/>
    <x v="1"/>
    <x v="0"/>
    <x v="0"/>
    <x v="1"/>
  </r>
  <r>
    <x v="235"/>
    <x v="167"/>
    <s v="CUST0147"/>
    <x v="6"/>
    <x v="5"/>
    <x v="2"/>
    <x v="24"/>
    <n v="7"/>
    <n v="21025.200000000001"/>
    <n v="0.1"/>
    <n v="18922.68"/>
    <n v="14991.38"/>
    <n v="3931.3"/>
    <x v="0"/>
    <n v="17"/>
    <d v="2025-05-04T17:00:00"/>
    <s v="May"/>
    <n v="5"/>
    <s v="Q2"/>
    <x v="0"/>
    <x v="0"/>
    <x v="0"/>
    <x v="0"/>
  </r>
  <r>
    <x v="236"/>
    <x v="127"/>
    <s v="CUST0270"/>
    <x v="9"/>
    <x v="3"/>
    <x v="4"/>
    <x v="21"/>
    <n v="6"/>
    <n v="10089.540000000001"/>
    <n v="0.15"/>
    <n v="8576.11"/>
    <n v="4803.96"/>
    <n v="3772.15"/>
    <x v="0"/>
    <n v="25"/>
    <d v="2025-07-07T01:00:00"/>
    <s v="Jul"/>
    <n v="7"/>
    <s v="Q3"/>
    <x v="0"/>
    <x v="0"/>
    <x v="0"/>
    <x v="0"/>
  </r>
  <r>
    <x v="237"/>
    <x v="168"/>
    <s v="CUST0149"/>
    <x v="9"/>
    <x v="4"/>
    <x v="0"/>
    <x v="0"/>
    <n v="2"/>
    <n v="414.24"/>
    <n v="0"/>
    <n v="414.24"/>
    <n v="312.24"/>
    <n v="102"/>
    <x v="0"/>
    <n v="33"/>
    <d v="2025-11-23T09:00:00"/>
    <s v="Nov"/>
    <n v="11"/>
    <s v="Q4"/>
    <x v="0"/>
    <x v="0"/>
    <x v="0"/>
    <x v="0"/>
  </r>
  <r>
    <x v="238"/>
    <x v="1"/>
    <s v="CUST0299"/>
    <x v="5"/>
    <x v="5"/>
    <x v="2"/>
    <x v="24"/>
    <n v="7"/>
    <n v="28347.200000000001"/>
    <n v="0.1"/>
    <n v="25512.48"/>
    <n v="20435.96"/>
    <n v="5076.5200000000004"/>
    <x v="0"/>
    <n v="47"/>
    <d v="2025-12-16T23:00:00"/>
    <s v="Dec"/>
    <n v="12"/>
    <s v="Q4"/>
    <x v="0"/>
    <x v="0"/>
    <x v="0"/>
    <x v="0"/>
  </r>
  <r>
    <x v="239"/>
    <x v="142"/>
    <s v="CUST0028"/>
    <x v="5"/>
    <x v="1"/>
    <x v="3"/>
    <x v="7"/>
    <n v="2"/>
    <n v="11750.38"/>
    <n v="0.1"/>
    <n v="10575.34"/>
    <n v="7494.1"/>
    <n v="3081.24"/>
    <x v="0"/>
    <n v="23"/>
    <d v="2025-09-16T23:00:00"/>
    <s v="Sep"/>
    <n v="9"/>
    <s v="Q3"/>
    <x v="0"/>
    <x v="0"/>
    <x v="0"/>
    <x v="0"/>
  </r>
  <r>
    <x v="240"/>
    <x v="169"/>
    <s v="CUST0149"/>
    <x v="0"/>
    <x v="2"/>
    <x v="0"/>
    <x v="0"/>
    <n v="1"/>
    <n v="2039.42"/>
    <n v="0"/>
    <n v="2039.42"/>
    <n v="1748.63"/>
    <n v="290.79000000000002"/>
    <x v="0"/>
    <n v="47"/>
    <d v="2025-05-29T23:00:00"/>
    <s v="May"/>
    <n v="5"/>
    <s v="Q2"/>
    <x v="0"/>
    <x v="0"/>
    <x v="0"/>
    <x v="0"/>
  </r>
  <r>
    <x v="241"/>
    <x v="71"/>
    <s v="CUST0280"/>
    <x v="7"/>
    <x v="0"/>
    <x v="4"/>
    <x v="13"/>
    <n v="6"/>
    <n v="7503.54"/>
    <n v="0.05"/>
    <n v="7128.36"/>
    <n v="5585.79"/>
    <n v="1542.57"/>
    <x v="3"/>
    <n v="12"/>
    <d v="2025-09-09T12:00:00"/>
    <s v="Sep"/>
    <n v="9"/>
    <s v="Q3"/>
    <x v="1"/>
    <x v="1"/>
    <x v="0"/>
    <x v="0"/>
  </r>
  <r>
    <x v="242"/>
    <x v="49"/>
    <s v="CUST0182"/>
    <x v="7"/>
    <x v="1"/>
    <x v="0"/>
    <x v="14"/>
    <n v="6"/>
    <n v="45340.86"/>
    <n v="0.05"/>
    <n v="43073.82"/>
    <n v="34321.86"/>
    <n v="8751.9599999999991"/>
    <x v="0"/>
    <n v="41"/>
    <d v="2025-12-13T17:00:00"/>
    <s v="Dec"/>
    <n v="12"/>
    <s v="Q4"/>
    <x v="0"/>
    <x v="0"/>
    <x v="0"/>
    <x v="0"/>
  </r>
  <r>
    <x v="243"/>
    <x v="170"/>
    <s v="CUST0166"/>
    <x v="4"/>
    <x v="7"/>
    <x v="1"/>
    <x v="4"/>
    <n v="7"/>
    <n v="17125.22"/>
    <n v="0.15"/>
    <n v="14556.44"/>
    <n v="8952.0400000000009"/>
    <n v="5604.4"/>
    <x v="2"/>
    <n v="69"/>
    <d v="2025-05-29T21:00:00"/>
    <s v="May"/>
    <n v="5"/>
    <s v="Q2"/>
    <x v="1"/>
    <x v="0"/>
    <x v="1"/>
    <x v="0"/>
  </r>
  <r>
    <x v="244"/>
    <x v="169"/>
    <s v="CUST0017"/>
    <x v="7"/>
    <x v="4"/>
    <x v="1"/>
    <x v="5"/>
    <n v="1"/>
    <n v="2017.17"/>
    <n v="0.2"/>
    <n v="1613.74"/>
    <n v="1301.49"/>
    <n v="312.25"/>
    <x v="2"/>
    <n v="58"/>
    <d v="2025-05-30T10:00:00"/>
    <s v="May"/>
    <n v="5"/>
    <s v="Q2"/>
    <x v="1"/>
    <x v="0"/>
    <x v="1"/>
    <x v="0"/>
  </r>
  <r>
    <x v="245"/>
    <x v="116"/>
    <s v="CUST0150"/>
    <x v="5"/>
    <x v="6"/>
    <x v="2"/>
    <x v="2"/>
    <n v="7"/>
    <n v="51147.32"/>
    <n v="0.1"/>
    <n v="46032.59"/>
    <n v="37958.07"/>
    <n v="8074.52"/>
    <x v="3"/>
    <n v="13"/>
    <d v="2025-12-18T13:00:00"/>
    <s v="Dec"/>
    <n v="12"/>
    <s v="Q4"/>
    <x v="1"/>
    <x v="1"/>
    <x v="0"/>
    <x v="0"/>
  </r>
  <r>
    <x v="246"/>
    <x v="171"/>
    <s v="CUST0045"/>
    <x v="0"/>
    <x v="4"/>
    <x v="2"/>
    <x v="3"/>
    <n v="6"/>
    <n v="41837.040000000001"/>
    <n v="0.05"/>
    <n v="39745.19"/>
    <n v="26598.19"/>
    <n v="13147"/>
    <x v="1"/>
    <n v="2"/>
    <d v="2025-07-18T02:00:00"/>
    <s v="Jul"/>
    <n v="7"/>
    <s v="Q3"/>
    <x v="1"/>
    <x v="0"/>
    <x v="0"/>
    <x v="1"/>
  </r>
  <r>
    <x v="247"/>
    <x v="172"/>
    <s v="CUST0189"/>
    <x v="0"/>
    <x v="6"/>
    <x v="3"/>
    <x v="12"/>
    <n v="6"/>
    <n v="23362.14"/>
    <n v="0.05"/>
    <n v="22194.03"/>
    <n v="13769.39"/>
    <n v="8424.64"/>
    <x v="0"/>
    <n v="44"/>
    <d v="2025-11-05T20:00:00"/>
    <s v="Nov"/>
    <n v="11"/>
    <s v="Q4"/>
    <x v="0"/>
    <x v="0"/>
    <x v="0"/>
    <x v="0"/>
  </r>
  <r>
    <x v="248"/>
    <x v="136"/>
    <s v="CUST0139"/>
    <x v="9"/>
    <x v="1"/>
    <x v="0"/>
    <x v="6"/>
    <n v="3"/>
    <n v="12705.42"/>
    <n v="0.25"/>
    <n v="9529.06"/>
    <n v="6451.81"/>
    <n v="3077.25"/>
    <x v="0"/>
    <n v="47"/>
    <d v="2025-05-09T23:00:00"/>
    <s v="May"/>
    <n v="5"/>
    <s v="Q2"/>
    <x v="0"/>
    <x v="0"/>
    <x v="0"/>
    <x v="0"/>
  </r>
  <r>
    <x v="249"/>
    <x v="173"/>
    <s v="CUST0061"/>
    <x v="6"/>
    <x v="4"/>
    <x v="1"/>
    <x v="5"/>
    <n v="7"/>
    <n v="13777.4"/>
    <n v="0.25"/>
    <n v="10333.049999999999"/>
    <n v="8205.17"/>
    <n v="2127.88"/>
    <x v="3"/>
    <n v="0"/>
    <d v="2025-02-08T00:00:00"/>
    <s v="Feb"/>
    <n v="2"/>
    <s v="Q1"/>
    <x v="1"/>
    <x v="1"/>
    <x v="0"/>
    <x v="0"/>
  </r>
  <r>
    <x v="250"/>
    <x v="76"/>
    <s v="CUST0294"/>
    <x v="4"/>
    <x v="4"/>
    <x v="2"/>
    <x v="24"/>
    <n v="3"/>
    <n v="2411.46"/>
    <n v="0.2"/>
    <n v="1929.17"/>
    <n v="1326.92"/>
    <n v="602.25"/>
    <x v="0"/>
    <n v="4"/>
    <d v="2025-12-04T04:00:00"/>
    <s v="Dec"/>
    <n v="12"/>
    <s v="Q4"/>
    <x v="0"/>
    <x v="0"/>
    <x v="0"/>
    <x v="0"/>
  </r>
  <r>
    <x v="251"/>
    <x v="12"/>
    <s v="CUST0033"/>
    <x v="9"/>
    <x v="0"/>
    <x v="0"/>
    <x v="17"/>
    <n v="1"/>
    <n v="4938.16"/>
    <n v="0.15"/>
    <n v="4197.4399999999996"/>
    <n v="3328.97"/>
    <n v="868.47"/>
    <x v="1"/>
    <n v="9"/>
    <d v="2025-12-26T09:00:00"/>
    <s v="Dec"/>
    <n v="12"/>
    <s v="Q4"/>
    <x v="1"/>
    <x v="0"/>
    <x v="0"/>
    <x v="1"/>
  </r>
  <r>
    <x v="252"/>
    <x v="86"/>
    <s v="CUST0299"/>
    <x v="6"/>
    <x v="5"/>
    <x v="2"/>
    <x v="24"/>
    <n v="4"/>
    <n v="3884.72"/>
    <n v="0.05"/>
    <n v="3690.48"/>
    <n v="2168.0700000000002"/>
    <n v="1522.41"/>
    <x v="0"/>
    <n v="35"/>
    <d v="2025-05-10T11:00:00"/>
    <s v="May"/>
    <n v="5"/>
    <s v="Q2"/>
    <x v="0"/>
    <x v="0"/>
    <x v="0"/>
    <x v="0"/>
  </r>
  <r>
    <x v="253"/>
    <x v="174"/>
    <s v="CUST0112"/>
    <x v="7"/>
    <x v="1"/>
    <x v="2"/>
    <x v="15"/>
    <n v="2"/>
    <n v="7802.88"/>
    <n v="0.15"/>
    <n v="6632.45"/>
    <n v="5411.97"/>
    <n v="1220.48"/>
    <x v="0"/>
    <n v="11"/>
    <d v="2025-09-24T11:00:00"/>
    <s v="Sep"/>
    <n v="9"/>
    <s v="Q3"/>
    <x v="0"/>
    <x v="0"/>
    <x v="0"/>
    <x v="0"/>
  </r>
  <r>
    <x v="254"/>
    <x v="175"/>
    <s v="CUST0291"/>
    <x v="9"/>
    <x v="4"/>
    <x v="1"/>
    <x v="8"/>
    <n v="3"/>
    <n v="24009.45"/>
    <n v="0.05"/>
    <n v="22808.98"/>
    <n v="14450.82"/>
    <n v="8358.16"/>
    <x v="0"/>
    <n v="36"/>
    <d v="2025-06-01T12:00:00"/>
    <s v="May"/>
    <n v="5"/>
    <s v="Q2"/>
    <x v="0"/>
    <x v="0"/>
    <x v="0"/>
    <x v="0"/>
  </r>
  <r>
    <x v="255"/>
    <x v="176"/>
    <s v="CUST0037"/>
    <x v="1"/>
    <x v="6"/>
    <x v="1"/>
    <x v="8"/>
    <n v="2"/>
    <n v="16212.34"/>
    <n v="0.05"/>
    <n v="15401.72"/>
    <n v="9736.14"/>
    <n v="5665.58"/>
    <x v="0"/>
    <n v="21"/>
    <d v="2025-10-25T21:00:00"/>
    <s v="Oct"/>
    <n v="10"/>
    <s v="Q4"/>
    <x v="0"/>
    <x v="0"/>
    <x v="0"/>
    <x v="0"/>
  </r>
  <r>
    <x v="256"/>
    <x v="103"/>
    <s v="CUST0100"/>
    <x v="7"/>
    <x v="2"/>
    <x v="2"/>
    <x v="24"/>
    <n v="5"/>
    <n v="10742.1"/>
    <n v="0.15"/>
    <n v="9130.7800000000007"/>
    <n v="6800.84"/>
    <n v="2329.94"/>
    <x v="0"/>
    <n v="48"/>
    <d v="2025-04-11T00:00:00"/>
    <s v="Apr"/>
    <n v="4"/>
    <s v="Q2"/>
    <x v="0"/>
    <x v="0"/>
    <x v="0"/>
    <x v="0"/>
  </r>
  <r>
    <x v="257"/>
    <x v="177"/>
    <s v="CUST0023"/>
    <x v="6"/>
    <x v="4"/>
    <x v="4"/>
    <x v="23"/>
    <n v="1"/>
    <n v="5361.35"/>
    <n v="0"/>
    <n v="5361.35"/>
    <n v="3072.8"/>
    <n v="2288.5500000000002"/>
    <x v="0"/>
    <n v="32"/>
    <d v="2025-09-21T08:00:00"/>
    <s v="Sep"/>
    <n v="9"/>
    <s v="Q3"/>
    <x v="0"/>
    <x v="0"/>
    <x v="0"/>
    <x v="0"/>
  </r>
  <r>
    <x v="258"/>
    <x v="71"/>
    <s v="CUST0218"/>
    <x v="4"/>
    <x v="6"/>
    <x v="2"/>
    <x v="3"/>
    <n v="4"/>
    <n v="16434.16"/>
    <n v="0"/>
    <n v="16434.16"/>
    <n v="9181.41"/>
    <n v="7252.75"/>
    <x v="3"/>
    <n v="7"/>
    <d v="2025-09-09T07:00:00"/>
    <s v="Sep"/>
    <n v="9"/>
    <s v="Q3"/>
    <x v="1"/>
    <x v="1"/>
    <x v="0"/>
    <x v="0"/>
  </r>
  <r>
    <x v="259"/>
    <x v="165"/>
    <s v="CUST0089"/>
    <x v="6"/>
    <x v="7"/>
    <x v="2"/>
    <x v="15"/>
    <n v="5"/>
    <n v="37309.85"/>
    <n v="0.05"/>
    <n v="35444.36"/>
    <n v="22547.56"/>
    <n v="12896.8"/>
    <x v="2"/>
    <n v="84"/>
    <d v="2025-05-27T12:00:00"/>
    <s v="May"/>
    <n v="5"/>
    <s v="Q2"/>
    <x v="1"/>
    <x v="0"/>
    <x v="1"/>
    <x v="0"/>
  </r>
  <r>
    <x v="260"/>
    <x v="49"/>
    <s v="CUST0209"/>
    <x v="9"/>
    <x v="4"/>
    <x v="3"/>
    <x v="18"/>
    <n v="5"/>
    <n v="12082.25"/>
    <n v="0.05"/>
    <n v="11478.14"/>
    <n v="8351.06"/>
    <n v="3127.08"/>
    <x v="0"/>
    <n v="8"/>
    <d v="2025-12-12T08:00:00"/>
    <s v="Dec"/>
    <n v="12"/>
    <s v="Q4"/>
    <x v="0"/>
    <x v="0"/>
    <x v="0"/>
    <x v="0"/>
  </r>
  <r>
    <x v="261"/>
    <x v="178"/>
    <s v="CUST0271"/>
    <x v="9"/>
    <x v="6"/>
    <x v="3"/>
    <x v="7"/>
    <n v="6"/>
    <n v="1085.52"/>
    <n v="0.2"/>
    <n v="868.42"/>
    <n v="737.73"/>
    <n v="130.69"/>
    <x v="0"/>
    <n v="21"/>
    <d v="2025-04-22T21:00:00"/>
    <s v="Apr"/>
    <n v="4"/>
    <s v="Q2"/>
    <x v="0"/>
    <x v="0"/>
    <x v="0"/>
    <x v="0"/>
  </r>
  <r>
    <x v="262"/>
    <x v="179"/>
    <s v="CUST0237"/>
    <x v="3"/>
    <x v="2"/>
    <x v="3"/>
    <x v="12"/>
    <n v="5"/>
    <n v="7536.95"/>
    <n v="0"/>
    <n v="7536.95"/>
    <n v="6250.57"/>
    <n v="1286.3800000000001"/>
    <x v="0"/>
    <n v="13"/>
    <d v="2025-03-01T13:00:00"/>
    <s v="Mar"/>
    <n v="3"/>
    <s v="Q1"/>
    <x v="0"/>
    <x v="0"/>
    <x v="0"/>
    <x v="0"/>
  </r>
  <r>
    <x v="263"/>
    <x v="58"/>
    <s v="CUST0209"/>
    <x v="4"/>
    <x v="1"/>
    <x v="4"/>
    <x v="23"/>
    <n v="1"/>
    <n v="3068.52"/>
    <n v="0"/>
    <n v="3068.52"/>
    <n v="2184.3200000000002"/>
    <n v="884.2"/>
    <x v="1"/>
    <n v="9"/>
    <d v="2025-01-02T09:00:00"/>
    <s v="Jan"/>
    <n v="1"/>
    <s v="Q1"/>
    <x v="1"/>
    <x v="0"/>
    <x v="0"/>
    <x v="1"/>
  </r>
  <r>
    <x v="264"/>
    <x v="70"/>
    <s v="CUST0278"/>
    <x v="8"/>
    <x v="7"/>
    <x v="4"/>
    <x v="23"/>
    <n v="3"/>
    <n v="8358.81"/>
    <n v="0"/>
    <n v="8358.81"/>
    <n v="4699.55"/>
    <n v="3659.26"/>
    <x v="0"/>
    <n v="36"/>
    <d v="2025-11-01T12:00:00"/>
    <s v="Oct"/>
    <n v="10"/>
    <s v="Q4"/>
    <x v="0"/>
    <x v="0"/>
    <x v="0"/>
    <x v="0"/>
  </r>
  <r>
    <x v="265"/>
    <x v="180"/>
    <s v="CUST0206"/>
    <x v="7"/>
    <x v="4"/>
    <x v="2"/>
    <x v="24"/>
    <n v="1"/>
    <n v="6757.88"/>
    <n v="0"/>
    <n v="6757.88"/>
    <n v="4910.5"/>
    <n v="1847.38"/>
    <x v="2"/>
    <n v="66"/>
    <d v="2025-09-13T18:00:00"/>
    <s v="Sep"/>
    <n v="9"/>
    <s v="Q3"/>
    <x v="1"/>
    <x v="0"/>
    <x v="1"/>
    <x v="0"/>
  </r>
  <r>
    <x v="266"/>
    <x v="181"/>
    <s v="CUST0078"/>
    <x v="0"/>
    <x v="0"/>
    <x v="3"/>
    <x v="12"/>
    <n v="3"/>
    <n v="17498.04"/>
    <n v="0"/>
    <n v="17498.04"/>
    <n v="13693.66"/>
    <n v="3804.38"/>
    <x v="0"/>
    <n v="43"/>
    <d v="2025-05-21T19:00:00"/>
    <s v="May"/>
    <n v="5"/>
    <s v="Q2"/>
    <x v="0"/>
    <x v="0"/>
    <x v="0"/>
    <x v="0"/>
  </r>
  <r>
    <x v="267"/>
    <x v="182"/>
    <s v="CUST0098"/>
    <x v="4"/>
    <x v="6"/>
    <x v="4"/>
    <x v="21"/>
    <n v="5"/>
    <n v="13256.5"/>
    <n v="0.1"/>
    <n v="11930.85"/>
    <n v="7897.32"/>
    <n v="4033.53"/>
    <x v="0"/>
    <n v="8"/>
    <d v="2025-02-06T08:00:00"/>
    <s v="Feb"/>
    <n v="2"/>
    <s v="Q1"/>
    <x v="0"/>
    <x v="0"/>
    <x v="0"/>
    <x v="0"/>
  </r>
  <r>
    <x v="268"/>
    <x v="126"/>
    <s v="CUST0094"/>
    <x v="0"/>
    <x v="2"/>
    <x v="1"/>
    <x v="10"/>
    <n v="5"/>
    <n v="19860.8"/>
    <n v="0.05"/>
    <n v="18867.759999999998"/>
    <n v="11068.79"/>
    <n v="7798.97"/>
    <x v="2"/>
    <n v="56"/>
    <d v="2025-06-11T08:00:00"/>
    <s v="Jun"/>
    <n v="6"/>
    <s v="Q2"/>
    <x v="1"/>
    <x v="0"/>
    <x v="1"/>
    <x v="0"/>
  </r>
  <r>
    <x v="269"/>
    <x v="85"/>
    <s v="CUST0080"/>
    <x v="4"/>
    <x v="0"/>
    <x v="2"/>
    <x v="11"/>
    <n v="4"/>
    <n v="3791.68"/>
    <n v="0.15"/>
    <n v="3222.93"/>
    <n v="2068.89"/>
    <n v="1154.04"/>
    <x v="0"/>
    <n v="27"/>
    <d v="2025-01-10T03:00:00"/>
    <s v="Jan"/>
    <n v="1"/>
    <s v="Q1"/>
    <x v="0"/>
    <x v="0"/>
    <x v="0"/>
    <x v="0"/>
  </r>
  <r>
    <x v="270"/>
    <x v="141"/>
    <s v="CUST0038"/>
    <x v="4"/>
    <x v="4"/>
    <x v="0"/>
    <x v="14"/>
    <n v="3"/>
    <n v="22948.560000000001"/>
    <n v="0.25"/>
    <n v="17211.419999999998"/>
    <n v="13848.73"/>
    <n v="3362.69"/>
    <x v="0"/>
    <n v="20"/>
    <d v="2025-08-21T20:00:00"/>
    <s v="Aug"/>
    <n v="8"/>
    <s v="Q3"/>
    <x v="0"/>
    <x v="0"/>
    <x v="0"/>
    <x v="0"/>
  </r>
  <r>
    <x v="271"/>
    <x v="103"/>
    <s v="CUST0228"/>
    <x v="6"/>
    <x v="6"/>
    <x v="2"/>
    <x v="11"/>
    <n v="5"/>
    <n v="39804"/>
    <n v="0.1"/>
    <n v="35823.599999999999"/>
    <n v="23855.31"/>
    <n v="11968.29"/>
    <x v="1"/>
    <n v="19"/>
    <d v="2025-04-09T19:00:00"/>
    <s v="Apr"/>
    <n v="4"/>
    <s v="Q2"/>
    <x v="1"/>
    <x v="0"/>
    <x v="0"/>
    <x v="1"/>
  </r>
  <r>
    <x v="272"/>
    <x v="170"/>
    <s v="CUST0134"/>
    <x v="4"/>
    <x v="4"/>
    <x v="0"/>
    <x v="6"/>
    <n v="6"/>
    <n v="49988.160000000003"/>
    <n v="0"/>
    <n v="49988.160000000003"/>
    <n v="40888.01"/>
    <n v="9100.15"/>
    <x v="0"/>
    <n v="10"/>
    <d v="2025-05-27T10:00:00"/>
    <s v="May"/>
    <n v="5"/>
    <s v="Q2"/>
    <x v="0"/>
    <x v="0"/>
    <x v="0"/>
    <x v="0"/>
  </r>
  <r>
    <x v="273"/>
    <x v="70"/>
    <s v="CUST0196"/>
    <x v="3"/>
    <x v="7"/>
    <x v="3"/>
    <x v="20"/>
    <n v="2"/>
    <n v="14804.84"/>
    <n v="0"/>
    <n v="14804.84"/>
    <n v="9703.7199999999993"/>
    <n v="5101.12"/>
    <x v="0"/>
    <n v="20"/>
    <d v="2025-10-31T20:00:00"/>
    <s v="Oct"/>
    <n v="10"/>
    <s v="Q4"/>
    <x v="0"/>
    <x v="0"/>
    <x v="0"/>
    <x v="0"/>
  </r>
  <r>
    <x v="274"/>
    <x v="74"/>
    <s v="CUST0282"/>
    <x v="8"/>
    <x v="2"/>
    <x v="0"/>
    <x v="0"/>
    <n v="4"/>
    <n v="6410.28"/>
    <n v="0.2"/>
    <n v="5128.22"/>
    <n v="3097.31"/>
    <n v="2030.91"/>
    <x v="0"/>
    <n v="31"/>
    <d v="2025-07-28T07:00:00"/>
    <s v="Jul"/>
    <n v="7"/>
    <s v="Q3"/>
    <x v="0"/>
    <x v="0"/>
    <x v="0"/>
    <x v="0"/>
  </r>
  <r>
    <x v="275"/>
    <x v="14"/>
    <s v="CUST0101"/>
    <x v="9"/>
    <x v="2"/>
    <x v="3"/>
    <x v="16"/>
    <n v="1"/>
    <n v="535.74"/>
    <n v="0.1"/>
    <n v="482.17"/>
    <n v="334.54"/>
    <n v="147.63"/>
    <x v="0"/>
    <n v="41"/>
    <d v="2025-05-12T17:00:00"/>
    <s v="May"/>
    <n v="5"/>
    <s v="Q2"/>
    <x v="0"/>
    <x v="0"/>
    <x v="0"/>
    <x v="0"/>
  </r>
  <r>
    <x v="276"/>
    <x v="13"/>
    <s v="CUST0075"/>
    <x v="2"/>
    <x v="7"/>
    <x v="1"/>
    <x v="1"/>
    <n v="4"/>
    <n v="19958.52"/>
    <n v="0.15"/>
    <n v="16964.740000000002"/>
    <n v="11862.6"/>
    <n v="5102.1400000000003"/>
    <x v="0"/>
    <n v="25"/>
    <d v="2025-06-02T01:00:00"/>
    <s v="Jun"/>
    <n v="6"/>
    <s v="Q2"/>
    <x v="0"/>
    <x v="0"/>
    <x v="0"/>
    <x v="0"/>
  </r>
  <r>
    <x v="277"/>
    <x v="59"/>
    <s v="CUST0294"/>
    <x v="0"/>
    <x v="4"/>
    <x v="0"/>
    <x v="0"/>
    <n v="2"/>
    <n v="15540.5"/>
    <n v="0.2"/>
    <n v="12432.4"/>
    <n v="6903.91"/>
    <n v="5528.49"/>
    <x v="3"/>
    <n v="11"/>
    <d v="2025-02-23T11:00:00"/>
    <s v="Feb"/>
    <n v="2"/>
    <s v="Q1"/>
    <x v="1"/>
    <x v="1"/>
    <x v="0"/>
    <x v="0"/>
  </r>
  <r>
    <x v="278"/>
    <x v="183"/>
    <s v="CUST0208"/>
    <x v="9"/>
    <x v="4"/>
    <x v="2"/>
    <x v="24"/>
    <n v="3"/>
    <n v="4892.6400000000003"/>
    <n v="0.2"/>
    <n v="3914.11"/>
    <n v="2303.94"/>
    <n v="1610.17"/>
    <x v="1"/>
    <n v="22"/>
    <d v="2025-04-30T22:00:00"/>
    <s v="Apr"/>
    <n v="4"/>
    <s v="Q2"/>
    <x v="1"/>
    <x v="0"/>
    <x v="0"/>
    <x v="1"/>
  </r>
  <r>
    <x v="279"/>
    <x v="22"/>
    <s v="CUST0083"/>
    <x v="2"/>
    <x v="3"/>
    <x v="3"/>
    <x v="20"/>
    <n v="1"/>
    <n v="208.81"/>
    <n v="0.2"/>
    <n v="167.05"/>
    <n v="102.07"/>
    <n v="64.98"/>
    <x v="1"/>
    <n v="20"/>
    <d v="2025-06-10T20:00:00"/>
    <s v="Jun"/>
    <n v="6"/>
    <s v="Q2"/>
    <x v="1"/>
    <x v="0"/>
    <x v="0"/>
    <x v="1"/>
  </r>
  <r>
    <x v="280"/>
    <x v="140"/>
    <s v="CUST0143"/>
    <x v="8"/>
    <x v="4"/>
    <x v="2"/>
    <x v="2"/>
    <n v="1"/>
    <n v="6875.89"/>
    <n v="0.1"/>
    <n v="6188.3"/>
    <n v="3635.53"/>
    <n v="2552.77"/>
    <x v="2"/>
    <n v="84"/>
    <d v="2025-04-29T12:00:00"/>
    <s v="Apr"/>
    <n v="4"/>
    <s v="Q2"/>
    <x v="1"/>
    <x v="0"/>
    <x v="1"/>
    <x v="0"/>
  </r>
  <r>
    <x v="281"/>
    <x v="184"/>
    <s v="CUST0056"/>
    <x v="8"/>
    <x v="2"/>
    <x v="4"/>
    <x v="9"/>
    <n v="3"/>
    <n v="2373.7199999999998"/>
    <n v="0.05"/>
    <n v="2255.0300000000002"/>
    <n v="1494.42"/>
    <n v="760.61"/>
    <x v="0"/>
    <n v="24"/>
    <d v="2025-03-17T00:00:00"/>
    <s v="Mar"/>
    <n v="3"/>
    <s v="Q1"/>
    <x v="0"/>
    <x v="0"/>
    <x v="0"/>
    <x v="0"/>
  </r>
  <r>
    <x v="282"/>
    <x v="150"/>
    <s v="CUST0287"/>
    <x v="0"/>
    <x v="4"/>
    <x v="3"/>
    <x v="18"/>
    <n v="7"/>
    <n v="25231.15"/>
    <n v="0.25"/>
    <n v="18923.36"/>
    <n v="16431.64"/>
    <n v="2491.7199999999998"/>
    <x v="3"/>
    <n v="1"/>
    <d v="2025-04-23T01:00:00"/>
    <s v="Apr"/>
    <n v="4"/>
    <s v="Q2"/>
    <x v="1"/>
    <x v="1"/>
    <x v="0"/>
    <x v="0"/>
  </r>
  <r>
    <x v="283"/>
    <x v="185"/>
    <s v="CUST0211"/>
    <x v="0"/>
    <x v="0"/>
    <x v="0"/>
    <x v="0"/>
    <n v="7"/>
    <n v="40730.97"/>
    <n v="0.1"/>
    <n v="36657.870000000003"/>
    <n v="26321.94"/>
    <n v="10335.93"/>
    <x v="2"/>
    <n v="55"/>
    <d v="2025-04-16T07:00:00"/>
    <s v="Apr"/>
    <n v="4"/>
    <s v="Q2"/>
    <x v="1"/>
    <x v="0"/>
    <x v="1"/>
    <x v="0"/>
  </r>
  <r>
    <x v="284"/>
    <x v="51"/>
    <s v="CUST0179"/>
    <x v="8"/>
    <x v="0"/>
    <x v="3"/>
    <x v="20"/>
    <n v="4"/>
    <n v="8509.0400000000009"/>
    <n v="0"/>
    <n v="8509.0400000000009"/>
    <n v="6442.14"/>
    <n v="2066.9"/>
    <x v="0"/>
    <n v="30"/>
    <d v="2025-12-07T06:00:00"/>
    <s v="Dec"/>
    <n v="12"/>
    <s v="Q4"/>
    <x v="0"/>
    <x v="0"/>
    <x v="0"/>
    <x v="0"/>
  </r>
  <r>
    <x v="285"/>
    <x v="180"/>
    <s v="CUST0058"/>
    <x v="2"/>
    <x v="7"/>
    <x v="2"/>
    <x v="24"/>
    <n v="5"/>
    <n v="4255.45"/>
    <n v="0.1"/>
    <n v="3829.9"/>
    <n v="2556.87"/>
    <n v="1273.03"/>
    <x v="2"/>
    <n v="93"/>
    <d v="2025-09-14T21:00:00"/>
    <s v="Sep"/>
    <n v="9"/>
    <s v="Q3"/>
    <x v="1"/>
    <x v="0"/>
    <x v="1"/>
    <x v="0"/>
  </r>
  <r>
    <x v="286"/>
    <x v="106"/>
    <s v="CUST0073"/>
    <x v="4"/>
    <x v="0"/>
    <x v="1"/>
    <x v="5"/>
    <n v="7"/>
    <n v="46057.760000000002"/>
    <n v="0.1"/>
    <n v="41451.980000000003"/>
    <n v="27223.63"/>
    <n v="14228.35"/>
    <x v="0"/>
    <n v="24"/>
    <d v="2025-08-16T00:00:00"/>
    <s v="Aug"/>
    <n v="8"/>
    <s v="Q3"/>
    <x v="0"/>
    <x v="0"/>
    <x v="0"/>
    <x v="0"/>
  </r>
  <r>
    <x v="287"/>
    <x v="178"/>
    <s v="CUST0215"/>
    <x v="7"/>
    <x v="4"/>
    <x v="3"/>
    <x v="16"/>
    <n v="4"/>
    <n v="21647.84"/>
    <n v="0.2"/>
    <n v="17318.27"/>
    <n v="9657.33"/>
    <n v="7660.94"/>
    <x v="0"/>
    <n v="7"/>
    <d v="2025-04-22T07:00:00"/>
    <s v="Apr"/>
    <n v="4"/>
    <s v="Q2"/>
    <x v="0"/>
    <x v="0"/>
    <x v="0"/>
    <x v="0"/>
  </r>
  <r>
    <x v="288"/>
    <x v="103"/>
    <s v="CUST0266"/>
    <x v="1"/>
    <x v="1"/>
    <x v="0"/>
    <x v="0"/>
    <n v="7"/>
    <n v="58827.3"/>
    <n v="0.1"/>
    <n v="52944.57"/>
    <n v="37861.199999999997"/>
    <n v="15083.37"/>
    <x v="1"/>
    <n v="22"/>
    <d v="2025-04-09T22:00:00"/>
    <s v="Apr"/>
    <n v="4"/>
    <s v="Q2"/>
    <x v="1"/>
    <x v="0"/>
    <x v="0"/>
    <x v="1"/>
  </r>
  <r>
    <x v="289"/>
    <x v="186"/>
    <s v="CUST0073"/>
    <x v="9"/>
    <x v="5"/>
    <x v="4"/>
    <x v="9"/>
    <n v="2"/>
    <n v="6049.94"/>
    <n v="0.05"/>
    <n v="5747.44"/>
    <n v="4078.33"/>
    <n v="1669.11"/>
    <x v="0"/>
    <n v="22"/>
    <d v="2025-06-02T22:00:00"/>
    <s v="Jun"/>
    <n v="6"/>
    <s v="Q2"/>
    <x v="0"/>
    <x v="0"/>
    <x v="0"/>
    <x v="0"/>
  </r>
  <r>
    <x v="290"/>
    <x v="1"/>
    <s v="CUST0271"/>
    <x v="6"/>
    <x v="4"/>
    <x v="1"/>
    <x v="1"/>
    <n v="6"/>
    <n v="3994.32"/>
    <n v="0.25"/>
    <n v="2995.74"/>
    <n v="1803.69"/>
    <n v="1192.05"/>
    <x v="0"/>
    <n v="5"/>
    <d v="2025-12-15T05:00:00"/>
    <s v="Dec"/>
    <n v="12"/>
    <s v="Q4"/>
    <x v="0"/>
    <x v="0"/>
    <x v="0"/>
    <x v="0"/>
  </r>
  <r>
    <x v="291"/>
    <x v="76"/>
    <s v="CUST0234"/>
    <x v="9"/>
    <x v="5"/>
    <x v="4"/>
    <x v="22"/>
    <n v="5"/>
    <n v="31409.1"/>
    <n v="0.15"/>
    <n v="26697.73"/>
    <n v="21417.64"/>
    <n v="5280.09"/>
    <x v="2"/>
    <n v="94"/>
    <d v="2025-12-07T22:00:00"/>
    <s v="Dec"/>
    <n v="12"/>
    <s v="Q4"/>
    <x v="1"/>
    <x v="0"/>
    <x v="1"/>
    <x v="0"/>
  </r>
  <r>
    <x v="292"/>
    <x v="187"/>
    <s v="CUST0019"/>
    <x v="6"/>
    <x v="2"/>
    <x v="3"/>
    <x v="12"/>
    <n v="4"/>
    <n v="18025.88"/>
    <n v="0.1"/>
    <n v="16223.29"/>
    <n v="11560.43"/>
    <n v="4662.8599999999997"/>
    <x v="0"/>
    <n v="37"/>
    <d v="2025-07-14T13:00:00"/>
    <s v="Jul"/>
    <n v="7"/>
    <s v="Q3"/>
    <x v="0"/>
    <x v="0"/>
    <x v="0"/>
    <x v="0"/>
  </r>
  <r>
    <x v="293"/>
    <x v="62"/>
    <s v="CUST0113"/>
    <x v="2"/>
    <x v="3"/>
    <x v="2"/>
    <x v="3"/>
    <n v="6"/>
    <n v="11581.5"/>
    <n v="0.05"/>
    <n v="11002.42"/>
    <n v="7282.15"/>
    <n v="3720.27"/>
    <x v="0"/>
    <n v="17"/>
    <d v="2025-11-06T17:00:00"/>
    <s v="Nov"/>
    <n v="11"/>
    <s v="Q4"/>
    <x v="0"/>
    <x v="0"/>
    <x v="0"/>
    <x v="0"/>
  </r>
  <r>
    <x v="294"/>
    <x v="90"/>
    <s v="CUST0063"/>
    <x v="6"/>
    <x v="6"/>
    <x v="2"/>
    <x v="2"/>
    <n v="6"/>
    <n v="40064.639999999999"/>
    <n v="0.05"/>
    <n v="38061.410000000003"/>
    <n v="22778.99"/>
    <n v="15282.42"/>
    <x v="0"/>
    <n v="18"/>
    <d v="2025-06-12T18:00:00"/>
    <s v="Jun"/>
    <n v="6"/>
    <s v="Q2"/>
    <x v="0"/>
    <x v="0"/>
    <x v="0"/>
    <x v="0"/>
  </r>
  <r>
    <x v="295"/>
    <x v="74"/>
    <s v="CUST0184"/>
    <x v="0"/>
    <x v="2"/>
    <x v="0"/>
    <x v="19"/>
    <n v="7"/>
    <n v="12959.52"/>
    <n v="0.1"/>
    <n v="11663.57"/>
    <n v="8540.2199999999993"/>
    <n v="3123.35"/>
    <x v="2"/>
    <n v="81"/>
    <d v="2025-07-30T09:00:00"/>
    <s v="Jul"/>
    <n v="7"/>
    <s v="Q3"/>
    <x v="1"/>
    <x v="0"/>
    <x v="1"/>
    <x v="0"/>
  </r>
  <r>
    <x v="296"/>
    <x v="188"/>
    <s v="CUST0277"/>
    <x v="7"/>
    <x v="5"/>
    <x v="2"/>
    <x v="2"/>
    <n v="3"/>
    <n v="6979.56"/>
    <n v="0"/>
    <n v="6979.56"/>
    <n v="5572.69"/>
    <n v="1406.87"/>
    <x v="1"/>
    <n v="0"/>
    <d v="2025-06-18T00:00:00"/>
    <s v="Jun"/>
    <n v="6"/>
    <s v="Q2"/>
    <x v="1"/>
    <x v="0"/>
    <x v="0"/>
    <x v="1"/>
  </r>
  <r>
    <x v="297"/>
    <x v="22"/>
    <s v="CUST0162"/>
    <x v="7"/>
    <x v="7"/>
    <x v="1"/>
    <x v="10"/>
    <n v="2"/>
    <n v="1845.22"/>
    <n v="0.05"/>
    <n v="1752.96"/>
    <n v="1127.26"/>
    <n v="625.70000000000005"/>
    <x v="2"/>
    <n v="87"/>
    <d v="2025-06-13T15:00:00"/>
    <s v="Jun"/>
    <n v="6"/>
    <s v="Q2"/>
    <x v="1"/>
    <x v="0"/>
    <x v="1"/>
    <x v="0"/>
  </r>
  <r>
    <x v="298"/>
    <x v="189"/>
    <s v="CUST0243"/>
    <x v="0"/>
    <x v="0"/>
    <x v="2"/>
    <x v="24"/>
    <n v="2"/>
    <n v="6970.52"/>
    <n v="0.15"/>
    <n v="5924.94"/>
    <n v="3686.51"/>
    <n v="2238.4299999999998"/>
    <x v="0"/>
    <n v="22"/>
    <d v="2025-03-09T22:00:00"/>
    <s v="Mar"/>
    <n v="3"/>
    <s v="Q1"/>
    <x v="0"/>
    <x v="0"/>
    <x v="0"/>
    <x v="0"/>
  </r>
  <r>
    <x v="299"/>
    <x v="91"/>
    <s v="CUST0145"/>
    <x v="3"/>
    <x v="1"/>
    <x v="0"/>
    <x v="14"/>
    <n v="2"/>
    <n v="7296.12"/>
    <n v="0.1"/>
    <n v="6566.51"/>
    <n v="4742.59"/>
    <n v="1823.92"/>
    <x v="0"/>
    <n v="12"/>
    <d v="2025-10-16T12:00:00"/>
    <s v="Oct"/>
    <n v="10"/>
    <s v="Q4"/>
    <x v="0"/>
    <x v="0"/>
    <x v="0"/>
    <x v="0"/>
  </r>
  <r>
    <x v="300"/>
    <x v="21"/>
    <s v="CUST0146"/>
    <x v="2"/>
    <x v="2"/>
    <x v="3"/>
    <x v="7"/>
    <n v="5"/>
    <n v="22232.95"/>
    <n v="0.05"/>
    <n v="21121.3"/>
    <n v="12699.46"/>
    <n v="8421.84"/>
    <x v="0"/>
    <n v="10"/>
    <d v="2025-10-04T10:00:00"/>
    <s v="Oct"/>
    <n v="10"/>
    <s v="Q4"/>
    <x v="0"/>
    <x v="0"/>
    <x v="0"/>
    <x v="0"/>
  </r>
  <r>
    <x v="301"/>
    <x v="70"/>
    <s v="CUST0081"/>
    <x v="3"/>
    <x v="6"/>
    <x v="3"/>
    <x v="7"/>
    <n v="1"/>
    <n v="6069.85"/>
    <n v="0"/>
    <n v="6069.85"/>
    <n v="4673.68"/>
    <n v="1396.17"/>
    <x v="2"/>
    <n v="91"/>
    <d v="2025-11-03T19:00:00"/>
    <s v="Oct"/>
    <n v="10"/>
    <s v="Q4"/>
    <x v="1"/>
    <x v="0"/>
    <x v="1"/>
    <x v="0"/>
  </r>
  <r>
    <x v="302"/>
    <x v="40"/>
    <s v="CUST0043"/>
    <x v="3"/>
    <x v="1"/>
    <x v="2"/>
    <x v="15"/>
    <n v="5"/>
    <n v="38579.699999999997"/>
    <n v="0.05"/>
    <n v="36650.71"/>
    <n v="27479.360000000001"/>
    <n v="9171.35"/>
    <x v="0"/>
    <n v="16"/>
    <d v="2025-05-15T16:00:00"/>
    <s v="May"/>
    <n v="5"/>
    <s v="Q2"/>
    <x v="0"/>
    <x v="0"/>
    <x v="0"/>
    <x v="0"/>
  </r>
  <r>
    <x v="303"/>
    <x v="190"/>
    <s v="CUST0293"/>
    <x v="9"/>
    <x v="7"/>
    <x v="4"/>
    <x v="13"/>
    <n v="4"/>
    <n v="5200.32"/>
    <n v="0.15"/>
    <n v="4420.2700000000004"/>
    <n v="2558.17"/>
    <n v="1862.1"/>
    <x v="2"/>
    <n v="67"/>
    <d v="2025-07-16T19:00:00"/>
    <s v="Jul"/>
    <n v="7"/>
    <s v="Q3"/>
    <x v="1"/>
    <x v="0"/>
    <x v="1"/>
    <x v="0"/>
  </r>
  <r>
    <x v="304"/>
    <x v="136"/>
    <s v="CUST0176"/>
    <x v="8"/>
    <x v="0"/>
    <x v="3"/>
    <x v="7"/>
    <n v="6"/>
    <n v="3622.86"/>
    <n v="0.05"/>
    <n v="3441.72"/>
    <n v="1934.42"/>
    <n v="1507.3"/>
    <x v="0"/>
    <n v="47"/>
    <d v="2025-05-09T23:00:00"/>
    <s v="May"/>
    <n v="5"/>
    <s v="Q2"/>
    <x v="0"/>
    <x v="0"/>
    <x v="0"/>
    <x v="0"/>
  </r>
  <r>
    <x v="305"/>
    <x v="98"/>
    <s v="CUST0069"/>
    <x v="9"/>
    <x v="3"/>
    <x v="2"/>
    <x v="15"/>
    <n v="6"/>
    <n v="1828.44"/>
    <n v="0"/>
    <n v="1828.44"/>
    <n v="1379.91"/>
    <n v="448.53"/>
    <x v="0"/>
    <n v="38"/>
    <d v="2025-02-03T14:00:00"/>
    <s v="Feb"/>
    <n v="2"/>
    <s v="Q1"/>
    <x v="0"/>
    <x v="0"/>
    <x v="0"/>
    <x v="0"/>
  </r>
  <r>
    <x v="306"/>
    <x v="191"/>
    <s v="CUST0056"/>
    <x v="8"/>
    <x v="5"/>
    <x v="0"/>
    <x v="19"/>
    <n v="1"/>
    <n v="1349.24"/>
    <n v="0.1"/>
    <n v="1214.32"/>
    <n v="785.81"/>
    <n v="428.51"/>
    <x v="3"/>
    <n v="16"/>
    <d v="2025-06-25T16:00:00"/>
    <s v="Jun"/>
    <n v="6"/>
    <s v="Q2"/>
    <x v="1"/>
    <x v="1"/>
    <x v="0"/>
    <x v="0"/>
  </r>
  <r>
    <x v="307"/>
    <x v="24"/>
    <s v="CUST0119"/>
    <x v="1"/>
    <x v="2"/>
    <x v="2"/>
    <x v="24"/>
    <n v="4"/>
    <n v="22575.52"/>
    <n v="0.25"/>
    <n v="16931.64"/>
    <n v="9795.41"/>
    <n v="7136.23"/>
    <x v="0"/>
    <n v="18"/>
    <d v="2025-01-22T18:00:00"/>
    <s v="Jan"/>
    <n v="1"/>
    <s v="Q1"/>
    <x v="0"/>
    <x v="0"/>
    <x v="0"/>
    <x v="0"/>
  </r>
  <r>
    <x v="308"/>
    <x v="192"/>
    <s v="CUST0204"/>
    <x v="6"/>
    <x v="2"/>
    <x v="3"/>
    <x v="16"/>
    <n v="1"/>
    <n v="6224.43"/>
    <n v="0.1"/>
    <n v="5601.99"/>
    <n v="4485.0200000000004"/>
    <n v="1116.97"/>
    <x v="3"/>
    <n v="14"/>
    <d v="2025-08-26T14:00:00"/>
    <s v="Aug"/>
    <n v="8"/>
    <s v="Q3"/>
    <x v="1"/>
    <x v="1"/>
    <x v="0"/>
    <x v="0"/>
  </r>
  <r>
    <x v="309"/>
    <x v="193"/>
    <s v="CUST0055"/>
    <x v="8"/>
    <x v="2"/>
    <x v="0"/>
    <x v="19"/>
    <n v="6"/>
    <n v="40303.919999999998"/>
    <n v="0"/>
    <n v="40303.919999999998"/>
    <n v="26344.03"/>
    <n v="13959.89"/>
    <x v="0"/>
    <n v="48"/>
    <d v="2025-06-09T00:00:00"/>
    <s v="Jun"/>
    <n v="6"/>
    <s v="Q2"/>
    <x v="0"/>
    <x v="0"/>
    <x v="0"/>
    <x v="0"/>
  </r>
  <r>
    <x v="310"/>
    <x v="194"/>
    <s v="CUST0038"/>
    <x v="0"/>
    <x v="5"/>
    <x v="2"/>
    <x v="2"/>
    <n v="7"/>
    <n v="15294.72"/>
    <n v="0.05"/>
    <n v="14529.98"/>
    <n v="10195.219999999999"/>
    <n v="4334.76"/>
    <x v="0"/>
    <n v="26"/>
    <d v="2025-02-08T02:00:00"/>
    <s v="Feb"/>
    <n v="2"/>
    <s v="Q1"/>
    <x v="0"/>
    <x v="0"/>
    <x v="0"/>
    <x v="0"/>
  </r>
  <r>
    <x v="311"/>
    <x v="195"/>
    <s v="CUST0243"/>
    <x v="9"/>
    <x v="7"/>
    <x v="1"/>
    <x v="4"/>
    <n v="5"/>
    <n v="13521.1"/>
    <n v="0.2"/>
    <n v="10816.88"/>
    <n v="6794.6"/>
    <n v="4022.28"/>
    <x v="0"/>
    <n v="39"/>
    <d v="2025-08-19T15:00:00"/>
    <s v="Aug"/>
    <n v="8"/>
    <s v="Q3"/>
    <x v="0"/>
    <x v="0"/>
    <x v="0"/>
    <x v="0"/>
  </r>
  <r>
    <x v="312"/>
    <x v="196"/>
    <s v="CUST0201"/>
    <x v="2"/>
    <x v="1"/>
    <x v="0"/>
    <x v="0"/>
    <n v="2"/>
    <n v="8368.34"/>
    <n v="0.05"/>
    <n v="7949.92"/>
    <n v="6018.21"/>
    <n v="1931.71"/>
    <x v="0"/>
    <n v="43"/>
    <d v="2026-01-01T19:00:00"/>
    <s v="Dec"/>
    <n v="12"/>
    <s v="Q4"/>
    <x v="0"/>
    <x v="0"/>
    <x v="0"/>
    <x v="0"/>
  </r>
  <r>
    <x v="313"/>
    <x v="34"/>
    <s v="CUST0236"/>
    <x v="6"/>
    <x v="1"/>
    <x v="1"/>
    <x v="5"/>
    <n v="6"/>
    <n v="4065.48"/>
    <n v="0.1"/>
    <n v="3658.93"/>
    <n v="2376.44"/>
    <n v="1282.49"/>
    <x v="3"/>
    <n v="16"/>
    <d v="2025-02-20T16:00:00"/>
    <s v="Feb"/>
    <n v="2"/>
    <s v="Q1"/>
    <x v="1"/>
    <x v="1"/>
    <x v="0"/>
    <x v="0"/>
  </r>
  <r>
    <x v="314"/>
    <x v="53"/>
    <s v="CUST0015"/>
    <x v="1"/>
    <x v="7"/>
    <x v="4"/>
    <x v="9"/>
    <n v="3"/>
    <n v="15759.09"/>
    <n v="0.05"/>
    <n v="14971.14"/>
    <n v="13016.61"/>
    <n v="1954.53"/>
    <x v="0"/>
    <n v="37"/>
    <d v="2025-09-22T13:00:00"/>
    <s v="Sep"/>
    <n v="9"/>
    <s v="Q3"/>
    <x v="0"/>
    <x v="0"/>
    <x v="0"/>
    <x v="0"/>
  </r>
  <r>
    <x v="315"/>
    <x v="112"/>
    <s v="CUST0144"/>
    <x v="8"/>
    <x v="2"/>
    <x v="0"/>
    <x v="14"/>
    <n v="2"/>
    <n v="16728.38"/>
    <n v="0.05"/>
    <n v="15891.96"/>
    <n v="12427.08"/>
    <n v="3464.88"/>
    <x v="0"/>
    <n v="22"/>
    <d v="2025-10-10T22:00:00"/>
    <s v="Oct"/>
    <n v="10"/>
    <s v="Q4"/>
    <x v="0"/>
    <x v="0"/>
    <x v="0"/>
    <x v="0"/>
  </r>
  <r>
    <x v="316"/>
    <x v="197"/>
    <s v="CUST0077"/>
    <x v="1"/>
    <x v="4"/>
    <x v="1"/>
    <x v="4"/>
    <n v="6"/>
    <n v="18976.38"/>
    <n v="0.15"/>
    <n v="16129.92"/>
    <n v="9599.2099999999991"/>
    <n v="6530.71"/>
    <x v="3"/>
    <n v="21"/>
    <d v="2025-01-27T21:00:00"/>
    <s v="Jan"/>
    <n v="1"/>
    <s v="Q1"/>
    <x v="1"/>
    <x v="1"/>
    <x v="0"/>
    <x v="0"/>
  </r>
  <r>
    <x v="317"/>
    <x v="198"/>
    <s v="CUST0263"/>
    <x v="2"/>
    <x v="7"/>
    <x v="3"/>
    <x v="20"/>
    <n v="5"/>
    <n v="32181.4"/>
    <n v="0.15"/>
    <n v="27354.19"/>
    <n v="18806.259999999998"/>
    <n v="8547.93"/>
    <x v="3"/>
    <n v="17"/>
    <d v="2025-08-14T17:00:00"/>
    <s v="Aug"/>
    <n v="8"/>
    <s v="Q3"/>
    <x v="1"/>
    <x v="1"/>
    <x v="0"/>
    <x v="0"/>
  </r>
  <r>
    <x v="318"/>
    <x v="21"/>
    <s v="CUST0185"/>
    <x v="3"/>
    <x v="0"/>
    <x v="3"/>
    <x v="12"/>
    <n v="1"/>
    <n v="4325.28"/>
    <n v="0.1"/>
    <n v="3892.75"/>
    <n v="2636.13"/>
    <n v="1256.6199999999999"/>
    <x v="3"/>
    <n v="9"/>
    <d v="2025-10-04T09:00:00"/>
    <s v="Oct"/>
    <n v="10"/>
    <s v="Q4"/>
    <x v="1"/>
    <x v="1"/>
    <x v="0"/>
    <x v="0"/>
  </r>
  <r>
    <x v="319"/>
    <x v="135"/>
    <s v="CUST0055"/>
    <x v="7"/>
    <x v="0"/>
    <x v="4"/>
    <x v="22"/>
    <n v="7"/>
    <n v="8520.61"/>
    <n v="0.05"/>
    <n v="8094.58"/>
    <n v="5879.11"/>
    <n v="2215.4699999999998"/>
    <x v="0"/>
    <n v="48"/>
    <d v="2025-10-15T00:00:00"/>
    <s v="Oct"/>
    <n v="10"/>
    <s v="Q4"/>
    <x v="0"/>
    <x v="0"/>
    <x v="0"/>
    <x v="0"/>
  </r>
  <r>
    <x v="320"/>
    <x v="166"/>
    <s v="CUST0004"/>
    <x v="2"/>
    <x v="3"/>
    <x v="0"/>
    <x v="19"/>
    <n v="7"/>
    <n v="35081.760000000002"/>
    <n v="0"/>
    <n v="35081.760000000002"/>
    <n v="29041.98"/>
    <n v="6039.78"/>
    <x v="0"/>
    <n v="10"/>
    <d v="2025-04-07T10:00:00"/>
    <s v="Apr"/>
    <n v="4"/>
    <s v="Q2"/>
    <x v="0"/>
    <x v="0"/>
    <x v="0"/>
    <x v="0"/>
  </r>
  <r>
    <x v="321"/>
    <x v="130"/>
    <s v="CUST0299"/>
    <x v="5"/>
    <x v="7"/>
    <x v="0"/>
    <x v="17"/>
    <n v="2"/>
    <n v="5307.9"/>
    <n v="0.1"/>
    <n v="4777.1099999999997"/>
    <n v="3547.14"/>
    <n v="1229.97"/>
    <x v="2"/>
    <n v="53"/>
    <d v="2025-10-13T05:00:00"/>
    <s v="Oct"/>
    <n v="10"/>
    <s v="Q4"/>
    <x v="1"/>
    <x v="0"/>
    <x v="1"/>
    <x v="0"/>
  </r>
  <r>
    <x v="322"/>
    <x v="199"/>
    <s v="CUST0040"/>
    <x v="2"/>
    <x v="6"/>
    <x v="0"/>
    <x v="14"/>
    <n v="5"/>
    <n v="2186.35"/>
    <n v="0.1"/>
    <n v="1967.72"/>
    <n v="1122.22"/>
    <n v="845.5"/>
    <x v="0"/>
    <n v="15"/>
    <d v="2025-11-13T15:00:00"/>
    <s v="Nov"/>
    <n v="11"/>
    <s v="Q4"/>
    <x v="0"/>
    <x v="0"/>
    <x v="0"/>
    <x v="0"/>
  </r>
  <r>
    <x v="323"/>
    <x v="70"/>
    <s v="CUST0230"/>
    <x v="1"/>
    <x v="5"/>
    <x v="4"/>
    <x v="23"/>
    <n v="7"/>
    <n v="38161.620000000003"/>
    <n v="0"/>
    <n v="38161.620000000003"/>
    <n v="29242.76"/>
    <n v="8918.86"/>
    <x v="0"/>
    <n v="17"/>
    <d v="2025-10-31T17:00:00"/>
    <s v="Oct"/>
    <n v="10"/>
    <s v="Q4"/>
    <x v="0"/>
    <x v="0"/>
    <x v="0"/>
    <x v="0"/>
  </r>
  <r>
    <x v="324"/>
    <x v="170"/>
    <s v="CUST0286"/>
    <x v="0"/>
    <x v="5"/>
    <x v="0"/>
    <x v="19"/>
    <n v="7"/>
    <n v="51254.63"/>
    <n v="0"/>
    <n v="51254.63"/>
    <n v="28329.85"/>
    <n v="22924.78"/>
    <x v="0"/>
    <n v="18"/>
    <d v="2025-05-27T18:00:00"/>
    <s v="May"/>
    <n v="5"/>
    <s v="Q2"/>
    <x v="0"/>
    <x v="0"/>
    <x v="0"/>
    <x v="0"/>
  </r>
  <r>
    <x v="325"/>
    <x v="200"/>
    <s v="CUST0138"/>
    <x v="9"/>
    <x v="0"/>
    <x v="3"/>
    <x v="20"/>
    <n v="4"/>
    <n v="12115.32"/>
    <n v="0"/>
    <n v="12115.32"/>
    <n v="9781.75"/>
    <n v="2333.5700000000002"/>
    <x v="0"/>
    <n v="6"/>
    <d v="2025-01-04T06:00:00"/>
    <s v="Jan"/>
    <n v="1"/>
    <s v="Q1"/>
    <x v="0"/>
    <x v="0"/>
    <x v="0"/>
    <x v="0"/>
  </r>
  <r>
    <x v="326"/>
    <x v="54"/>
    <s v="CUST0103"/>
    <x v="0"/>
    <x v="0"/>
    <x v="1"/>
    <x v="1"/>
    <n v="3"/>
    <n v="10226.91"/>
    <n v="0.25"/>
    <n v="7670.18"/>
    <n v="5905.96"/>
    <n v="1764.22"/>
    <x v="0"/>
    <n v="18"/>
    <d v="2025-02-04T18:00:00"/>
    <s v="Feb"/>
    <n v="2"/>
    <s v="Q1"/>
    <x v="0"/>
    <x v="0"/>
    <x v="0"/>
    <x v="0"/>
  </r>
  <r>
    <x v="327"/>
    <x v="20"/>
    <s v="CUST0007"/>
    <x v="1"/>
    <x v="0"/>
    <x v="3"/>
    <x v="18"/>
    <n v="2"/>
    <n v="15180.06"/>
    <n v="0.15"/>
    <n v="12903.05"/>
    <n v="8411.49"/>
    <n v="4491.5600000000004"/>
    <x v="0"/>
    <n v="27"/>
    <d v="2025-07-12T03:00:00"/>
    <s v="Jul"/>
    <n v="7"/>
    <s v="Q3"/>
    <x v="0"/>
    <x v="0"/>
    <x v="0"/>
    <x v="0"/>
  </r>
  <r>
    <x v="328"/>
    <x v="28"/>
    <s v="CUST0164"/>
    <x v="9"/>
    <x v="4"/>
    <x v="3"/>
    <x v="16"/>
    <n v="1"/>
    <n v="6943.63"/>
    <n v="0.2"/>
    <n v="5554.9"/>
    <n v="3591.28"/>
    <n v="1963.62"/>
    <x v="0"/>
    <n v="11"/>
    <d v="2025-02-18T11:00:00"/>
    <s v="Feb"/>
    <n v="2"/>
    <s v="Q1"/>
    <x v="0"/>
    <x v="0"/>
    <x v="0"/>
    <x v="0"/>
  </r>
  <r>
    <x v="329"/>
    <x v="201"/>
    <s v="CUST0276"/>
    <x v="5"/>
    <x v="6"/>
    <x v="1"/>
    <x v="4"/>
    <n v="7"/>
    <n v="42839.02"/>
    <n v="0"/>
    <n v="42839.02"/>
    <n v="34846.550000000003"/>
    <n v="7992.47"/>
    <x v="0"/>
    <n v="8"/>
    <d v="2025-01-17T08:00:00"/>
    <s v="Jan"/>
    <n v="1"/>
    <s v="Q1"/>
    <x v="0"/>
    <x v="0"/>
    <x v="0"/>
    <x v="0"/>
  </r>
  <r>
    <x v="330"/>
    <x v="104"/>
    <s v="CUST0049"/>
    <x v="7"/>
    <x v="2"/>
    <x v="3"/>
    <x v="20"/>
    <n v="4"/>
    <n v="8909.84"/>
    <n v="0.25"/>
    <n v="6682.38"/>
    <n v="5402.71"/>
    <n v="1279.67"/>
    <x v="3"/>
    <n v="6"/>
    <d v="2025-06-21T06:00:00"/>
    <s v="Jun"/>
    <n v="6"/>
    <s v="Q2"/>
    <x v="1"/>
    <x v="1"/>
    <x v="0"/>
    <x v="0"/>
  </r>
  <r>
    <x v="331"/>
    <x v="153"/>
    <s v="CUST0096"/>
    <x v="6"/>
    <x v="2"/>
    <x v="4"/>
    <x v="13"/>
    <n v="5"/>
    <n v="38751.550000000003"/>
    <n v="0"/>
    <n v="38751.550000000003"/>
    <n v="25818.6"/>
    <n v="12932.95"/>
    <x v="0"/>
    <n v="17"/>
    <d v="2025-08-08T17:00:00"/>
    <s v="Aug"/>
    <n v="8"/>
    <s v="Q3"/>
    <x v="0"/>
    <x v="0"/>
    <x v="0"/>
    <x v="0"/>
  </r>
  <r>
    <x v="332"/>
    <x v="193"/>
    <s v="CUST0059"/>
    <x v="1"/>
    <x v="7"/>
    <x v="1"/>
    <x v="5"/>
    <n v="7"/>
    <n v="10075.59"/>
    <n v="0.1"/>
    <n v="9068.0300000000007"/>
    <n v="5882"/>
    <n v="3186.03"/>
    <x v="0"/>
    <n v="19"/>
    <d v="2025-06-07T19:00:00"/>
    <s v="Jun"/>
    <n v="6"/>
    <s v="Q2"/>
    <x v="0"/>
    <x v="0"/>
    <x v="0"/>
    <x v="0"/>
  </r>
  <r>
    <x v="333"/>
    <x v="202"/>
    <s v="CUST0231"/>
    <x v="8"/>
    <x v="4"/>
    <x v="3"/>
    <x v="20"/>
    <n v="3"/>
    <n v="16150.59"/>
    <n v="0.15"/>
    <n v="13728"/>
    <n v="10086.540000000001"/>
    <n v="3641.46"/>
    <x v="0"/>
    <n v="23"/>
    <d v="2025-02-15T23:00:00"/>
    <s v="Feb"/>
    <n v="2"/>
    <s v="Q1"/>
    <x v="0"/>
    <x v="0"/>
    <x v="0"/>
    <x v="0"/>
  </r>
  <r>
    <x v="334"/>
    <x v="203"/>
    <s v="CUST0177"/>
    <x v="1"/>
    <x v="0"/>
    <x v="2"/>
    <x v="3"/>
    <n v="1"/>
    <n v="390.49"/>
    <n v="0.05"/>
    <n v="370.97"/>
    <n v="205.06"/>
    <n v="165.91"/>
    <x v="2"/>
    <n v="57"/>
    <d v="2025-01-08T09:00:00"/>
    <s v="Jan"/>
    <n v="1"/>
    <s v="Q1"/>
    <x v="1"/>
    <x v="0"/>
    <x v="1"/>
    <x v="0"/>
  </r>
  <r>
    <x v="335"/>
    <x v="103"/>
    <s v="CUST0090"/>
    <x v="1"/>
    <x v="2"/>
    <x v="3"/>
    <x v="16"/>
    <n v="5"/>
    <n v="27625.3"/>
    <n v="0.05"/>
    <n v="26244.04"/>
    <n v="15150.16"/>
    <n v="11093.88"/>
    <x v="2"/>
    <n v="80"/>
    <d v="2025-04-12T08:00:00"/>
    <s v="Apr"/>
    <n v="4"/>
    <s v="Q2"/>
    <x v="1"/>
    <x v="0"/>
    <x v="1"/>
    <x v="0"/>
  </r>
  <r>
    <x v="336"/>
    <x v="141"/>
    <s v="CUST0282"/>
    <x v="9"/>
    <x v="6"/>
    <x v="4"/>
    <x v="22"/>
    <n v="5"/>
    <n v="12320.8"/>
    <n v="0"/>
    <n v="12320.8"/>
    <n v="7289.43"/>
    <n v="5031.37"/>
    <x v="3"/>
    <n v="1"/>
    <d v="2025-08-21T01:00:00"/>
    <s v="Aug"/>
    <n v="8"/>
    <s v="Q3"/>
    <x v="1"/>
    <x v="1"/>
    <x v="0"/>
    <x v="0"/>
  </r>
  <r>
    <x v="337"/>
    <x v="182"/>
    <s v="CUST0036"/>
    <x v="4"/>
    <x v="2"/>
    <x v="0"/>
    <x v="17"/>
    <n v="2"/>
    <n v="7809.6"/>
    <n v="0"/>
    <n v="7809.6"/>
    <n v="4773.12"/>
    <n v="3036.48"/>
    <x v="3"/>
    <n v="9"/>
    <d v="2025-02-06T09:00:00"/>
    <s v="Feb"/>
    <n v="2"/>
    <s v="Q1"/>
    <x v="1"/>
    <x v="1"/>
    <x v="0"/>
    <x v="0"/>
  </r>
  <r>
    <x v="338"/>
    <x v="77"/>
    <s v="CUST0171"/>
    <x v="2"/>
    <x v="5"/>
    <x v="3"/>
    <x v="20"/>
    <n v="7"/>
    <n v="21230.720000000001"/>
    <n v="0.1"/>
    <n v="19107.650000000001"/>
    <n v="13737.75"/>
    <n v="5369.9"/>
    <x v="0"/>
    <n v="38"/>
    <d v="2025-10-08T14:00:00"/>
    <s v="Oct"/>
    <n v="10"/>
    <s v="Q4"/>
    <x v="0"/>
    <x v="0"/>
    <x v="0"/>
    <x v="0"/>
  </r>
  <r>
    <x v="339"/>
    <x v="1"/>
    <s v="CUST0126"/>
    <x v="4"/>
    <x v="6"/>
    <x v="0"/>
    <x v="19"/>
    <n v="2"/>
    <n v="3185.04"/>
    <n v="0.1"/>
    <n v="2866.54"/>
    <n v="2515.2199999999998"/>
    <n v="351.32"/>
    <x v="2"/>
    <n v="55"/>
    <d v="2025-12-17T07:00:00"/>
    <s v="Dec"/>
    <n v="12"/>
    <s v="Q4"/>
    <x v="1"/>
    <x v="0"/>
    <x v="1"/>
    <x v="0"/>
  </r>
  <r>
    <x v="340"/>
    <x v="204"/>
    <s v="CUST0299"/>
    <x v="5"/>
    <x v="4"/>
    <x v="2"/>
    <x v="3"/>
    <n v="1"/>
    <n v="5343.54"/>
    <n v="0.15"/>
    <n v="4542.01"/>
    <n v="3476.28"/>
    <n v="1065.73"/>
    <x v="0"/>
    <n v="32"/>
    <d v="2025-10-30T08:00:00"/>
    <s v="Oct"/>
    <n v="10"/>
    <s v="Q4"/>
    <x v="0"/>
    <x v="0"/>
    <x v="0"/>
    <x v="0"/>
  </r>
  <r>
    <x v="341"/>
    <x v="205"/>
    <s v="CUST0204"/>
    <x v="8"/>
    <x v="2"/>
    <x v="3"/>
    <x v="20"/>
    <n v="7"/>
    <n v="52601.5"/>
    <n v="0.1"/>
    <n v="47341.35"/>
    <n v="26995.39"/>
    <n v="20345.96"/>
    <x v="1"/>
    <n v="10"/>
    <d v="2025-06-30T10:00:00"/>
    <s v="Jun"/>
    <n v="6"/>
    <s v="Q2"/>
    <x v="1"/>
    <x v="0"/>
    <x v="0"/>
    <x v="1"/>
  </r>
  <r>
    <x v="342"/>
    <x v="206"/>
    <s v="CUST0289"/>
    <x v="7"/>
    <x v="0"/>
    <x v="1"/>
    <x v="4"/>
    <n v="6"/>
    <n v="48950.1"/>
    <n v="0.1"/>
    <n v="44055.09"/>
    <n v="31871.27"/>
    <n v="12183.82"/>
    <x v="2"/>
    <n v="87"/>
    <d v="2025-04-08T15:00:00"/>
    <s v="Apr"/>
    <n v="4"/>
    <s v="Q2"/>
    <x v="1"/>
    <x v="0"/>
    <x v="1"/>
    <x v="0"/>
  </r>
  <r>
    <x v="343"/>
    <x v="103"/>
    <s v="CUST0097"/>
    <x v="3"/>
    <x v="4"/>
    <x v="0"/>
    <x v="19"/>
    <n v="7"/>
    <n v="12292.63"/>
    <n v="0"/>
    <n v="12292.63"/>
    <n v="8775.6200000000008"/>
    <n v="3517.01"/>
    <x v="2"/>
    <n v="75"/>
    <d v="2025-04-12T03:00:00"/>
    <s v="Apr"/>
    <n v="4"/>
    <s v="Q2"/>
    <x v="1"/>
    <x v="0"/>
    <x v="1"/>
    <x v="0"/>
  </r>
  <r>
    <x v="344"/>
    <x v="31"/>
    <s v="CUST0238"/>
    <x v="5"/>
    <x v="5"/>
    <x v="2"/>
    <x v="11"/>
    <n v="6"/>
    <n v="36840.36"/>
    <n v="0"/>
    <n v="36840.36"/>
    <n v="22014.89"/>
    <n v="14825.47"/>
    <x v="0"/>
    <n v="31"/>
    <d v="2025-07-08T07:00:00"/>
    <s v="Jul"/>
    <n v="7"/>
    <s v="Q3"/>
    <x v="0"/>
    <x v="0"/>
    <x v="0"/>
    <x v="0"/>
  </r>
  <r>
    <x v="345"/>
    <x v="140"/>
    <s v="CUST0173"/>
    <x v="3"/>
    <x v="1"/>
    <x v="1"/>
    <x v="10"/>
    <n v="5"/>
    <n v="28486.15"/>
    <n v="0.25"/>
    <n v="21364.61"/>
    <n v="18238.75"/>
    <n v="3125.86"/>
    <x v="1"/>
    <n v="24"/>
    <d v="2025-04-27T00:00:00"/>
    <s v="Apr"/>
    <n v="4"/>
    <s v="Q2"/>
    <x v="1"/>
    <x v="0"/>
    <x v="0"/>
    <x v="1"/>
  </r>
  <r>
    <x v="346"/>
    <x v="63"/>
    <s v="CUST0088"/>
    <x v="3"/>
    <x v="0"/>
    <x v="1"/>
    <x v="8"/>
    <n v="2"/>
    <n v="6034.4"/>
    <n v="0"/>
    <n v="6034.4"/>
    <n v="4196.6400000000003"/>
    <n v="1837.76"/>
    <x v="3"/>
    <n v="23"/>
    <d v="2025-07-10T23:00:00"/>
    <s v="Jul"/>
    <n v="7"/>
    <s v="Q3"/>
    <x v="1"/>
    <x v="1"/>
    <x v="0"/>
    <x v="0"/>
  </r>
  <r>
    <x v="347"/>
    <x v="25"/>
    <s v="CUST0017"/>
    <x v="7"/>
    <x v="4"/>
    <x v="1"/>
    <x v="8"/>
    <n v="3"/>
    <n v="928.44"/>
    <n v="0.1"/>
    <n v="835.6"/>
    <n v="733.83"/>
    <n v="101.77"/>
    <x v="1"/>
    <n v="21"/>
    <d v="2025-09-10T21:00:00"/>
    <s v="Sep"/>
    <n v="9"/>
    <s v="Q3"/>
    <x v="1"/>
    <x v="0"/>
    <x v="0"/>
    <x v="1"/>
  </r>
  <r>
    <x v="348"/>
    <x v="22"/>
    <s v="CUST0140"/>
    <x v="0"/>
    <x v="7"/>
    <x v="1"/>
    <x v="10"/>
    <n v="7"/>
    <n v="41368.32"/>
    <n v="0"/>
    <n v="41368.32"/>
    <n v="28487.21"/>
    <n v="12881.11"/>
    <x v="2"/>
    <n v="50"/>
    <d v="2025-06-12T02:00:00"/>
    <s v="Jun"/>
    <n v="6"/>
    <s v="Q2"/>
    <x v="1"/>
    <x v="0"/>
    <x v="1"/>
    <x v="0"/>
  </r>
  <r>
    <x v="349"/>
    <x v="207"/>
    <s v="CUST0254"/>
    <x v="4"/>
    <x v="2"/>
    <x v="3"/>
    <x v="20"/>
    <n v="3"/>
    <n v="24134.639999999999"/>
    <n v="0.15"/>
    <n v="20514.439999999999"/>
    <n v="15398.67"/>
    <n v="5115.7700000000004"/>
    <x v="3"/>
    <n v="2"/>
    <d v="2025-09-13T02:00:00"/>
    <s v="Sep"/>
    <n v="9"/>
    <s v="Q3"/>
    <x v="1"/>
    <x v="1"/>
    <x v="0"/>
    <x v="0"/>
  </r>
  <r>
    <x v="350"/>
    <x v="208"/>
    <s v="CUST0278"/>
    <x v="1"/>
    <x v="0"/>
    <x v="3"/>
    <x v="18"/>
    <n v="7"/>
    <n v="37997.4"/>
    <n v="0.15"/>
    <n v="32297.79"/>
    <n v="18880.37"/>
    <n v="13417.42"/>
    <x v="1"/>
    <n v="18"/>
    <d v="2025-11-19T18:00:00"/>
    <s v="Nov"/>
    <n v="11"/>
    <s v="Q4"/>
    <x v="1"/>
    <x v="0"/>
    <x v="0"/>
    <x v="1"/>
  </r>
  <r>
    <x v="351"/>
    <x v="136"/>
    <s v="CUST0151"/>
    <x v="6"/>
    <x v="3"/>
    <x v="3"/>
    <x v="20"/>
    <n v="5"/>
    <n v="18923.45"/>
    <n v="0.05"/>
    <n v="17977.28"/>
    <n v="12582.21"/>
    <n v="5395.07"/>
    <x v="3"/>
    <n v="22"/>
    <d v="2025-05-08T22:00:00"/>
    <s v="May"/>
    <n v="5"/>
    <s v="Q2"/>
    <x v="1"/>
    <x v="1"/>
    <x v="0"/>
    <x v="0"/>
  </r>
  <r>
    <x v="352"/>
    <x v="209"/>
    <s v="CUST0140"/>
    <x v="3"/>
    <x v="0"/>
    <x v="2"/>
    <x v="11"/>
    <n v="2"/>
    <n v="9070.08"/>
    <n v="0.05"/>
    <n v="8616.58"/>
    <n v="5418.04"/>
    <n v="3198.54"/>
    <x v="3"/>
    <n v="12"/>
    <d v="2025-01-18T12:00:00"/>
    <s v="Jan"/>
    <n v="1"/>
    <s v="Q1"/>
    <x v="1"/>
    <x v="1"/>
    <x v="0"/>
    <x v="0"/>
  </r>
  <r>
    <x v="353"/>
    <x v="210"/>
    <s v="CUST0114"/>
    <x v="8"/>
    <x v="1"/>
    <x v="2"/>
    <x v="2"/>
    <n v="1"/>
    <n v="1816.9"/>
    <n v="0.1"/>
    <n v="1635.21"/>
    <n v="1350.25"/>
    <n v="284.95999999999998"/>
    <x v="0"/>
    <n v="15"/>
    <d v="2025-10-08T15:00:00"/>
    <s v="Oct"/>
    <n v="10"/>
    <s v="Q4"/>
    <x v="0"/>
    <x v="0"/>
    <x v="0"/>
    <x v="0"/>
  </r>
  <r>
    <x v="354"/>
    <x v="211"/>
    <s v="CUST0068"/>
    <x v="5"/>
    <x v="4"/>
    <x v="2"/>
    <x v="24"/>
    <n v="1"/>
    <n v="6417.04"/>
    <n v="0.05"/>
    <n v="6096.19"/>
    <n v="4929.95"/>
    <n v="1166.24"/>
    <x v="0"/>
    <n v="47"/>
    <d v="2025-08-12T23:00:00"/>
    <s v="Aug"/>
    <n v="8"/>
    <s v="Q3"/>
    <x v="0"/>
    <x v="0"/>
    <x v="0"/>
    <x v="0"/>
  </r>
  <r>
    <x v="355"/>
    <x v="59"/>
    <s v="CUST0179"/>
    <x v="0"/>
    <x v="5"/>
    <x v="4"/>
    <x v="21"/>
    <n v="1"/>
    <n v="6382.61"/>
    <n v="0"/>
    <n v="6382.61"/>
    <n v="5246.37"/>
    <n v="1136.24"/>
    <x v="3"/>
    <n v="13"/>
    <d v="2025-02-23T13:00:00"/>
    <s v="Feb"/>
    <n v="2"/>
    <s v="Q1"/>
    <x v="1"/>
    <x v="1"/>
    <x v="0"/>
    <x v="0"/>
  </r>
  <r>
    <x v="356"/>
    <x v="212"/>
    <s v="CUST0125"/>
    <x v="3"/>
    <x v="3"/>
    <x v="2"/>
    <x v="15"/>
    <n v="7"/>
    <n v="9555.49"/>
    <n v="0.15"/>
    <n v="8122.17"/>
    <n v="6406.7"/>
    <n v="1715.47"/>
    <x v="0"/>
    <n v="27"/>
    <d v="2025-02-28T03:00:00"/>
    <s v="Feb"/>
    <n v="2"/>
    <s v="Q1"/>
    <x v="0"/>
    <x v="0"/>
    <x v="0"/>
    <x v="0"/>
  </r>
  <r>
    <x v="357"/>
    <x v="208"/>
    <s v="CUST0233"/>
    <x v="0"/>
    <x v="1"/>
    <x v="3"/>
    <x v="16"/>
    <n v="7"/>
    <n v="52367.839999999997"/>
    <n v="0"/>
    <n v="52367.839999999997"/>
    <n v="43192.23"/>
    <n v="9175.61"/>
    <x v="2"/>
    <n v="62"/>
    <d v="2025-11-21T14:00:00"/>
    <s v="Nov"/>
    <n v="11"/>
    <s v="Q4"/>
    <x v="1"/>
    <x v="0"/>
    <x v="1"/>
    <x v="0"/>
  </r>
  <r>
    <x v="358"/>
    <x v="12"/>
    <s v="CUST0147"/>
    <x v="0"/>
    <x v="7"/>
    <x v="3"/>
    <x v="18"/>
    <n v="3"/>
    <n v="7193.19"/>
    <n v="0.2"/>
    <n v="5754.55"/>
    <n v="3546.38"/>
    <n v="2208.17"/>
    <x v="2"/>
    <n v="92"/>
    <d v="2025-12-29T20:00:00"/>
    <s v="Dec"/>
    <n v="12"/>
    <s v="Q4"/>
    <x v="1"/>
    <x v="0"/>
    <x v="1"/>
    <x v="0"/>
  </r>
  <r>
    <x v="359"/>
    <x v="213"/>
    <s v="CUST0111"/>
    <x v="3"/>
    <x v="5"/>
    <x v="4"/>
    <x v="9"/>
    <n v="2"/>
    <n v="16703.68"/>
    <n v="0.1"/>
    <n v="15033.31"/>
    <n v="10510.91"/>
    <n v="4522.3999999999996"/>
    <x v="0"/>
    <n v="19"/>
    <d v="2025-06-23T19:00:00"/>
    <s v="Jun"/>
    <n v="6"/>
    <s v="Q2"/>
    <x v="0"/>
    <x v="0"/>
    <x v="0"/>
    <x v="0"/>
  </r>
  <r>
    <x v="360"/>
    <x v="77"/>
    <s v="CUST0238"/>
    <x v="9"/>
    <x v="5"/>
    <x v="4"/>
    <x v="13"/>
    <n v="7"/>
    <n v="23430.68"/>
    <n v="0"/>
    <n v="23430.68"/>
    <n v="18236.32"/>
    <n v="5194.3599999999997"/>
    <x v="0"/>
    <n v="35"/>
    <d v="2025-10-08T11:00:00"/>
    <s v="Oct"/>
    <n v="10"/>
    <s v="Q4"/>
    <x v="0"/>
    <x v="0"/>
    <x v="0"/>
    <x v="0"/>
  </r>
  <r>
    <x v="361"/>
    <x v="214"/>
    <s v="CUST0003"/>
    <x v="2"/>
    <x v="0"/>
    <x v="2"/>
    <x v="3"/>
    <n v="2"/>
    <n v="3270.66"/>
    <n v="0.1"/>
    <n v="2943.59"/>
    <n v="2238.13"/>
    <n v="705.46"/>
    <x v="3"/>
    <n v="12"/>
    <d v="2025-04-24T12:00:00"/>
    <s v="Apr"/>
    <n v="4"/>
    <s v="Q2"/>
    <x v="1"/>
    <x v="1"/>
    <x v="0"/>
    <x v="0"/>
  </r>
  <r>
    <x v="362"/>
    <x v="215"/>
    <s v="CUST0211"/>
    <x v="8"/>
    <x v="2"/>
    <x v="0"/>
    <x v="0"/>
    <n v="3"/>
    <n v="9260.58"/>
    <n v="0.1"/>
    <n v="8334.52"/>
    <n v="6554.24"/>
    <n v="1780.28"/>
    <x v="3"/>
    <n v="4"/>
    <d v="2025-10-15T04:00:00"/>
    <s v="Oct"/>
    <n v="10"/>
    <s v="Q4"/>
    <x v="1"/>
    <x v="1"/>
    <x v="0"/>
    <x v="0"/>
  </r>
  <r>
    <x v="363"/>
    <x v="216"/>
    <s v="CUST0025"/>
    <x v="1"/>
    <x v="3"/>
    <x v="4"/>
    <x v="13"/>
    <n v="7"/>
    <n v="26778.57"/>
    <n v="0.05"/>
    <n v="25439.64"/>
    <n v="15874.47"/>
    <n v="9565.17"/>
    <x v="3"/>
    <n v="21"/>
    <d v="2025-12-08T21:00:00"/>
    <s v="Dec"/>
    <n v="12"/>
    <s v="Q4"/>
    <x v="1"/>
    <x v="1"/>
    <x v="0"/>
    <x v="0"/>
  </r>
  <r>
    <x v="364"/>
    <x v="175"/>
    <s v="CUST0184"/>
    <x v="1"/>
    <x v="2"/>
    <x v="1"/>
    <x v="1"/>
    <n v="1"/>
    <n v="728.72"/>
    <n v="0.05"/>
    <n v="692.28"/>
    <n v="403.24"/>
    <n v="289.04000000000002"/>
    <x v="1"/>
    <n v="21"/>
    <d v="2025-05-31T21:00:00"/>
    <s v="May"/>
    <n v="5"/>
    <s v="Q2"/>
    <x v="1"/>
    <x v="0"/>
    <x v="0"/>
    <x v="1"/>
  </r>
  <r>
    <x v="365"/>
    <x v="217"/>
    <s v="CUST0061"/>
    <x v="8"/>
    <x v="5"/>
    <x v="3"/>
    <x v="18"/>
    <n v="1"/>
    <n v="4978.12"/>
    <n v="0.05"/>
    <n v="4729.21"/>
    <n v="4031.87"/>
    <n v="697.34"/>
    <x v="3"/>
    <n v="16"/>
    <d v="2025-05-07T16:00:00"/>
    <s v="May"/>
    <n v="5"/>
    <s v="Q2"/>
    <x v="1"/>
    <x v="1"/>
    <x v="0"/>
    <x v="0"/>
  </r>
  <r>
    <x v="366"/>
    <x v="218"/>
    <s v="CUST0123"/>
    <x v="9"/>
    <x v="4"/>
    <x v="1"/>
    <x v="4"/>
    <n v="5"/>
    <n v="25701.15"/>
    <n v="0.05"/>
    <n v="24416.09"/>
    <n v="17942.330000000002"/>
    <n v="6473.76"/>
    <x v="3"/>
    <n v="2"/>
    <d v="2025-06-04T02:00:00"/>
    <s v="Jun"/>
    <n v="6"/>
    <s v="Q2"/>
    <x v="1"/>
    <x v="1"/>
    <x v="0"/>
    <x v="0"/>
  </r>
  <r>
    <x v="367"/>
    <x v="219"/>
    <s v="CUST0055"/>
    <x v="1"/>
    <x v="4"/>
    <x v="3"/>
    <x v="12"/>
    <n v="6"/>
    <n v="37920.42"/>
    <n v="0"/>
    <n v="37920.42"/>
    <n v="22781.17"/>
    <n v="15139.25"/>
    <x v="0"/>
    <n v="24"/>
    <d v="2025-10-01T00:00:00"/>
    <s v="Sep"/>
    <n v="9"/>
    <s v="Q3"/>
    <x v="0"/>
    <x v="0"/>
    <x v="0"/>
    <x v="0"/>
  </r>
  <r>
    <x v="368"/>
    <x v="185"/>
    <s v="CUST0163"/>
    <x v="0"/>
    <x v="7"/>
    <x v="3"/>
    <x v="7"/>
    <n v="4"/>
    <n v="1574.28"/>
    <n v="0.05"/>
    <n v="1495.57"/>
    <n v="1214.1500000000001"/>
    <n v="281.42"/>
    <x v="0"/>
    <n v="46"/>
    <d v="2025-04-15T22:00:00"/>
    <s v="Apr"/>
    <n v="4"/>
    <s v="Q2"/>
    <x v="0"/>
    <x v="0"/>
    <x v="0"/>
    <x v="0"/>
  </r>
  <r>
    <x v="369"/>
    <x v="220"/>
    <s v="CUST0187"/>
    <x v="7"/>
    <x v="1"/>
    <x v="4"/>
    <x v="9"/>
    <n v="6"/>
    <n v="28016.04"/>
    <n v="0.05"/>
    <n v="26615.24"/>
    <n v="22674.240000000002"/>
    <n v="3941"/>
    <x v="0"/>
    <n v="9"/>
    <d v="2025-10-26T09:00:00"/>
    <s v="Oct"/>
    <n v="10"/>
    <s v="Q4"/>
    <x v="0"/>
    <x v="0"/>
    <x v="0"/>
    <x v="0"/>
  </r>
  <r>
    <x v="370"/>
    <x v="221"/>
    <s v="CUST0039"/>
    <x v="5"/>
    <x v="3"/>
    <x v="4"/>
    <x v="13"/>
    <n v="7"/>
    <n v="4142.46"/>
    <n v="0.1"/>
    <n v="3728.21"/>
    <n v="2259.13"/>
    <n v="1469.08"/>
    <x v="0"/>
    <n v="12"/>
    <d v="2025-09-03T12:00:00"/>
    <s v="Sep"/>
    <n v="9"/>
    <s v="Q3"/>
    <x v="0"/>
    <x v="0"/>
    <x v="0"/>
    <x v="0"/>
  </r>
  <r>
    <x v="371"/>
    <x v="191"/>
    <s v="CUST0185"/>
    <x v="4"/>
    <x v="7"/>
    <x v="1"/>
    <x v="4"/>
    <n v="2"/>
    <n v="12009.1"/>
    <n v="0.1"/>
    <n v="10808.19"/>
    <n v="8859.9699999999993"/>
    <n v="1948.22"/>
    <x v="0"/>
    <n v="4"/>
    <d v="2025-06-25T04:00:00"/>
    <s v="Jun"/>
    <n v="6"/>
    <s v="Q2"/>
    <x v="0"/>
    <x v="0"/>
    <x v="0"/>
    <x v="0"/>
  </r>
  <r>
    <x v="372"/>
    <x v="173"/>
    <s v="CUST0083"/>
    <x v="1"/>
    <x v="1"/>
    <x v="3"/>
    <x v="16"/>
    <n v="7"/>
    <n v="4307.3100000000004"/>
    <n v="0.1"/>
    <n v="3876.58"/>
    <n v="3325.97"/>
    <n v="550.61"/>
    <x v="3"/>
    <n v="10"/>
    <d v="2025-02-08T10:00:00"/>
    <s v="Feb"/>
    <n v="2"/>
    <s v="Q1"/>
    <x v="1"/>
    <x v="1"/>
    <x v="0"/>
    <x v="0"/>
  </r>
  <r>
    <x v="373"/>
    <x v="30"/>
    <s v="CUST0195"/>
    <x v="8"/>
    <x v="6"/>
    <x v="1"/>
    <x v="4"/>
    <n v="2"/>
    <n v="15525.86"/>
    <n v="0.15"/>
    <n v="13196.98"/>
    <n v="11344.91"/>
    <n v="1852.07"/>
    <x v="0"/>
    <n v="17"/>
    <d v="2025-06-19T17:00:00"/>
    <s v="Jun"/>
    <n v="6"/>
    <s v="Q2"/>
    <x v="0"/>
    <x v="0"/>
    <x v="0"/>
    <x v="0"/>
  </r>
  <r>
    <x v="374"/>
    <x v="157"/>
    <s v="CUST0034"/>
    <x v="7"/>
    <x v="6"/>
    <x v="0"/>
    <x v="17"/>
    <n v="2"/>
    <n v="12024.78"/>
    <n v="0.15"/>
    <n v="10221.06"/>
    <n v="8704.99"/>
    <n v="1516.07"/>
    <x v="0"/>
    <n v="9"/>
    <d v="2025-09-04T09:00:00"/>
    <s v="Sep"/>
    <n v="9"/>
    <s v="Q3"/>
    <x v="0"/>
    <x v="0"/>
    <x v="0"/>
    <x v="0"/>
  </r>
  <r>
    <x v="375"/>
    <x v="222"/>
    <s v="CUST0113"/>
    <x v="3"/>
    <x v="1"/>
    <x v="1"/>
    <x v="10"/>
    <n v="6"/>
    <n v="26320.2"/>
    <n v="0.1"/>
    <n v="23688.18"/>
    <n v="17299.93"/>
    <n v="6388.25"/>
    <x v="0"/>
    <n v="4"/>
    <d v="2025-01-26T04:00:00"/>
    <s v="Jan"/>
    <n v="1"/>
    <s v="Q1"/>
    <x v="0"/>
    <x v="0"/>
    <x v="0"/>
    <x v="0"/>
  </r>
  <r>
    <x v="376"/>
    <x v="223"/>
    <s v="CUST0230"/>
    <x v="2"/>
    <x v="4"/>
    <x v="2"/>
    <x v="15"/>
    <n v="4"/>
    <n v="15346.24"/>
    <n v="0.1"/>
    <n v="13811.62"/>
    <n v="9219.94"/>
    <n v="4591.68"/>
    <x v="0"/>
    <n v="25"/>
    <d v="2025-12-22T01:00:00"/>
    <s v="Dec"/>
    <n v="12"/>
    <s v="Q4"/>
    <x v="0"/>
    <x v="0"/>
    <x v="0"/>
    <x v="0"/>
  </r>
  <r>
    <x v="377"/>
    <x v="224"/>
    <s v="CUST0283"/>
    <x v="8"/>
    <x v="4"/>
    <x v="1"/>
    <x v="1"/>
    <n v="5"/>
    <n v="6205.6"/>
    <n v="0.05"/>
    <n v="5895.32"/>
    <n v="3256.57"/>
    <n v="2638.75"/>
    <x v="3"/>
    <n v="5"/>
    <d v="2025-11-02T05:00:00"/>
    <s v="Nov"/>
    <n v="11"/>
    <s v="Q4"/>
    <x v="1"/>
    <x v="1"/>
    <x v="0"/>
    <x v="0"/>
  </r>
  <r>
    <x v="378"/>
    <x v="125"/>
    <s v="CUST0287"/>
    <x v="0"/>
    <x v="6"/>
    <x v="2"/>
    <x v="3"/>
    <n v="6"/>
    <n v="15479.04"/>
    <n v="0.2"/>
    <n v="12383.23"/>
    <n v="7059.69"/>
    <n v="5323.54"/>
    <x v="3"/>
    <n v="0"/>
    <d v="2025-01-13T00:00:00"/>
    <s v="Jan"/>
    <n v="1"/>
    <s v="Q1"/>
    <x v="1"/>
    <x v="1"/>
    <x v="0"/>
    <x v="0"/>
  </r>
  <r>
    <x v="379"/>
    <x v="45"/>
    <s v="CUST0155"/>
    <x v="2"/>
    <x v="5"/>
    <x v="2"/>
    <x v="3"/>
    <n v="4"/>
    <n v="29623.24"/>
    <n v="0"/>
    <n v="29623.24"/>
    <n v="20484.97"/>
    <n v="9138.27"/>
    <x v="0"/>
    <n v="6"/>
    <d v="2025-11-12T06:00:00"/>
    <s v="Nov"/>
    <n v="11"/>
    <s v="Q4"/>
    <x v="0"/>
    <x v="0"/>
    <x v="0"/>
    <x v="0"/>
  </r>
  <r>
    <x v="380"/>
    <x v="225"/>
    <s v="CUST0165"/>
    <x v="5"/>
    <x v="4"/>
    <x v="2"/>
    <x v="3"/>
    <n v="1"/>
    <n v="7702.18"/>
    <n v="0.05"/>
    <n v="7317.07"/>
    <n v="4988.6099999999997"/>
    <n v="2328.46"/>
    <x v="2"/>
    <n v="70"/>
    <d v="2025-11-11T22:00:00"/>
    <s v="Nov"/>
    <n v="11"/>
    <s v="Q4"/>
    <x v="1"/>
    <x v="0"/>
    <x v="1"/>
    <x v="0"/>
  </r>
  <r>
    <x v="381"/>
    <x v="124"/>
    <s v="CUST0182"/>
    <x v="5"/>
    <x v="2"/>
    <x v="0"/>
    <x v="17"/>
    <n v="1"/>
    <n v="156.24"/>
    <n v="0.15"/>
    <n v="132.80000000000001"/>
    <n v="81.13"/>
    <n v="51.67"/>
    <x v="0"/>
    <n v="9"/>
    <d v="2025-02-05T09:00:00"/>
    <s v="Feb"/>
    <n v="2"/>
    <s v="Q1"/>
    <x v="0"/>
    <x v="0"/>
    <x v="0"/>
    <x v="0"/>
  </r>
  <r>
    <x v="382"/>
    <x v="226"/>
    <s v="CUST0239"/>
    <x v="9"/>
    <x v="5"/>
    <x v="1"/>
    <x v="1"/>
    <n v="2"/>
    <n v="10222.08"/>
    <n v="0"/>
    <n v="10222.08"/>
    <n v="6956.21"/>
    <n v="3265.87"/>
    <x v="0"/>
    <n v="9"/>
    <d v="2025-06-22T09:00:00"/>
    <s v="Jun"/>
    <n v="6"/>
    <s v="Q2"/>
    <x v="0"/>
    <x v="0"/>
    <x v="0"/>
    <x v="0"/>
  </r>
  <r>
    <x v="383"/>
    <x v="227"/>
    <s v="CUST0137"/>
    <x v="6"/>
    <x v="4"/>
    <x v="1"/>
    <x v="1"/>
    <n v="3"/>
    <n v="18468.48"/>
    <n v="0"/>
    <n v="18468.48"/>
    <n v="11222.09"/>
    <n v="7246.39"/>
    <x v="1"/>
    <n v="1"/>
    <d v="2025-01-20T01:00:00"/>
    <s v="Jan"/>
    <n v="1"/>
    <s v="Q1"/>
    <x v="1"/>
    <x v="0"/>
    <x v="0"/>
    <x v="1"/>
  </r>
  <r>
    <x v="384"/>
    <x v="228"/>
    <s v="CUST0266"/>
    <x v="9"/>
    <x v="1"/>
    <x v="0"/>
    <x v="0"/>
    <n v="7"/>
    <n v="37215.78"/>
    <n v="0.1"/>
    <n v="33494.199999999997"/>
    <n v="27803.57"/>
    <n v="5690.63"/>
    <x v="0"/>
    <n v="24"/>
    <d v="2025-11-18T00:00:00"/>
    <s v="Nov"/>
    <n v="11"/>
    <s v="Q4"/>
    <x v="0"/>
    <x v="0"/>
    <x v="0"/>
    <x v="0"/>
  </r>
  <r>
    <x v="385"/>
    <x v="53"/>
    <s v="CUST0187"/>
    <x v="7"/>
    <x v="0"/>
    <x v="3"/>
    <x v="16"/>
    <n v="7"/>
    <n v="5824.21"/>
    <n v="0.1"/>
    <n v="5241.79"/>
    <n v="3398.8"/>
    <n v="1842.99"/>
    <x v="3"/>
    <n v="2"/>
    <d v="2025-09-21T02:00:00"/>
    <s v="Sep"/>
    <n v="9"/>
    <s v="Q3"/>
    <x v="1"/>
    <x v="1"/>
    <x v="0"/>
    <x v="0"/>
  </r>
  <r>
    <x v="386"/>
    <x v="229"/>
    <s v="CUST0040"/>
    <x v="2"/>
    <x v="1"/>
    <x v="4"/>
    <x v="13"/>
    <n v="2"/>
    <n v="3936"/>
    <n v="0.15"/>
    <n v="3345.6"/>
    <n v="2500.92"/>
    <n v="844.68"/>
    <x v="0"/>
    <n v="29"/>
    <d v="2025-05-23T05:00:00"/>
    <s v="May"/>
    <n v="5"/>
    <s v="Q2"/>
    <x v="0"/>
    <x v="0"/>
    <x v="0"/>
    <x v="0"/>
  </r>
  <r>
    <x v="387"/>
    <x v="121"/>
    <s v="CUST0167"/>
    <x v="6"/>
    <x v="4"/>
    <x v="1"/>
    <x v="4"/>
    <n v="3"/>
    <n v="6721.02"/>
    <n v="0.15"/>
    <n v="5712.87"/>
    <n v="4090.06"/>
    <n v="1622.81"/>
    <x v="0"/>
    <n v="34"/>
    <d v="2025-05-24T10:00:00"/>
    <s v="May"/>
    <n v="5"/>
    <s v="Q2"/>
    <x v="0"/>
    <x v="0"/>
    <x v="0"/>
    <x v="0"/>
  </r>
  <r>
    <x v="388"/>
    <x v="52"/>
    <s v="CUST0260"/>
    <x v="3"/>
    <x v="1"/>
    <x v="4"/>
    <x v="13"/>
    <n v="4"/>
    <n v="28379.599999999999"/>
    <n v="0"/>
    <n v="28379.599999999999"/>
    <n v="16094.67"/>
    <n v="12284.93"/>
    <x v="3"/>
    <n v="16"/>
    <d v="2025-04-02T16:00:00"/>
    <s v="Apr"/>
    <n v="4"/>
    <s v="Q2"/>
    <x v="1"/>
    <x v="1"/>
    <x v="0"/>
    <x v="0"/>
  </r>
  <r>
    <x v="389"/>
    <x v="230"/>
    <s v="CUST0143"/>
    <x v="0"/>
    <x v="3"/>
    <x v="0"/>
    <x v="6"/>
    <n v="1"/>
    <n v="4017.72"/>
    <n v="0"/>
    <n v="4017.72"/>
    <n v="3459"/>
    <n v="558.72"/>
    <x v="0"/>
    <n v="35"/>
    <d v="2025-12-21T11:00:00"/>
    <s v="Dec"/>
    <n v="12"/>
    <s v="Q4"/>
    <x v="0"/>
    <x v="0"/>
    <x v="0"/>
    <x v="0"/>
  </r>
  <r>
    <x v="390"/>
    <x v="231"/>
    <s v="CUST0204"/>
    <x v="2"/>
    <x v="6"/>
    <x v="3"/>
    <x v="16"/>
    <n v="7"/>
    <n v="29505.14"/>
    <n v="0.1"/>
    <n v="26554.63"/>
    <n v="19225.14"/>
    <n v="7329.49"/>
    <x v="0"/>
    <n v="13"/>
    <d v="2025-11-18T13:00:00"/>
    <s v="Nov"/>
    <n v="11"/>
    <s v="Q4"/>
    <x v="0"/>
    <x v="0"/>
    <x v="0"/>
    <x v="0"/>
  </r>
  <r>
    <x v="391"/>
    <x v="215"/>
    <s v="CUST0176"/>
    <x v="9"/>
    <x v="0"/>
    <x v="3"/>
    <x v="20"/>
    <n v="6"/>
    <n v="47738.16"/>
    <n v="0.05"/>
    <n v="45351.25"/>
    <n v="29807.97"/>
    <n v="15543.28"/>
    <x v="0"/>
    <n v="26"/>
    <d v="2025-10-16T02:00:00"/>
    <s v="Oct"/>
    <n v="10"/>
    <s v="Q4"/>
    <x v="0"/>
    <x v="0"/>
    <x v="0"/>
    <x v="0"/>
  </r>
  <r>
    <x v="392"/>
    <x v="8"/>
    <s v="CUST0262"/>
    <x v="4"/>
    <x v="5"/>
    <x v="3"/>
    <x v="16"/>
    <n v="3"/>
    <n v="16409.009999999998"/>
    <n v="0.1"/>
    <n v="14768.11"/>
    <n v="8893.09"/>
    <n v="5875.02"/>
    <x v="0"/>
    <n v="9"/>
    <d v="2025-08-03T09:00:00"/>
    <s v="Aug"/>
    <n v="8"/>
    <s v="Q3"/>
    <x v="0"/>
    <x v="0"/>
    <x v="0"/>
    <x v="0"/>
  </r>
  <r>
    <x v="393"/>
    <x v="216"/>
    <s v="CUST0252"/>
    <x v="6"/>
    <x v="5"/>
    <x v="0"/>
    <x v="17"/>
    <n v="4"/>
    <n v="30615.52"/>
    <n v="0"/>
    <n v="30615.52"/>
    <n v="20258.71"/>
    <n v="10356.81"/>
    <x v="2"/>
    <n v="70"/>
    <d v="2025-12-10T22:00:00"/>
    <s v="Dec"/>
    <n v="12"/>
    <s v="Q4"/>
    <x v="1"/>
    <x v="0"/>
    <x v="1"/>
    <x v="0"/>
  </r>
  <r>
    <x v="394"/>
    <x v="34"/>
    <s v="CUST0200"/>
    <x v="6"/>
    <x v="3"/>
    <x v="2"/>
    <x v="15"/>
    <n v="1"/>
    <n v="3961.85"/>
    <n v="0.1"/>
    <n v="3565.66"/>
    <n v="1985.25"/>
    <n v="1580.41"/>
    <x v="0"/>
    <n v="31"/>
    <d v="2025-02-21T07:00:00"/>
    <s v="Feb"/>
    <n v="2"/>
    <s v="Q1"/>
    <x v="0"/>
    <x v="0"/>
    <x v="0"/>
    <x v="0"/>
  </r>
  <r>
    <x v="395"/>
    <x v="186"/>
    <s v="CUST0199"/>
    <x v="0"/>
    <x v="3"/>
    <x v="2"/>
    <x v="15"/>
    <n v="6"/>
    <n v="8386.74"/>
    <n v="0.1"/>
    <n v="7548.07"/>
    <n v="5057.01"/>
    <n v="2491.06"/>
    <x v="0"/>
    <n v="33"/>
    <d v="2025-06-03T09:00:00"/>
    <s v="Jun"/>
    <n v="6"/>
    <s v="Q2"/>
    <x v="0"/>
    <x v="0"/>
    <x v="0"/>
    <x v="0"/>
  </r>
  <r>
    <x v="396"/>
    <x v="232"/>
    <s v="CUST0196"/>
    <x v="1"/>
    <x v="4"/>
    <x v="4"/>
    <x v="22"/>
    <n v="3"/>
    <n v="23744.880000000001"/>
    <n v="0.1"/>
    <n v="21370.39"/>
    <n v="15501.87"/>
    <n v="5868.52"/>
    <x v="3"/>
    <n v="6"/>
    <d v="2025-07-05T06:00:00"/>
    <s v="Jul"/>
    <n v="7"/>
    <s v="Q3"/>
    <x v="1"/>
    <x v="1"/>
    <x v="0"/>
    <x v="0"/>
  </r>
  <r>
    <x v="397"/>
    <x v="88"/>
    <s v="CUST0077"/>
    <x v="5"/>
    <x v="4"/>
    <x v="2"/>
    <x v="11"/>
    <n v="2"/>
    <n v="7960.38"/>
    <n v="0.1"/>
    <n v="7164.34"/>
    <n v="6001.68"/>
    <n v="1162.6600000000001"/>
    <x v="2"/>
    <n v="56"/>
    <d v="2025-03-06T08:00:00"/>
    <s v="Mar"/>
    <n v="3"/>
    <s v="Q1"/>
    <x v="1"/>
    <x v="0"/>
    <x v="1"/>
    <x v="0"/>
  </r>
  <r>
    <x v="398"/>
    <x v="32"/>
    <s v="CUST0019"/>
    <x v="5"/>
    <x v="5"/>
    <x v="2"/>
    <x v="15"/>
    <n v="2"/>
    <n v="3333.24"/>
    <n v="0.1"/>
    <n v="2999.92"/>
    <n v="2330.44"/>
    <n v="669.48"/>
    <x v="0"/>
    <n v="35"/>
    <d v="2025-07-10T11:00:00"/>
    <s v="Jul"/>
    <n v="7"/>
    <s v="Q3"/>
    <x v="0"/>
    <x v="0"/>
    <x v="0"/>
    <x v="0"/>
  </r>
  <r>
    <x v="399"/>
    <x v="233"/>
    <s v="CUST0062"/>
    <x v="4"/>
    <x v="3"/>
    <x v="3"/>
    <x v="18"/>
    <n v="2"/>
    <n v="5350"/>
    <n v="0.05"/>
    <n v="5082.5"/>
    <n v="2982.52"/>
    <n v="2099.98"/>
    <x v="0"/>
    <n v="37"/>
    <d v="2025-05-06T13:00:00"/>
    <s v="May"/>
    <n v="5"/>
    <s v="Q2"/>
    <x v="0"/>
    <x v="0"/>
    <x v="0"/>
    <x v="0"/>
  </r>
  <r>
    <x v="400"/>
    <x v="15"/>
    <s v="CUST0281"/>
    <x v="7"/>
    <x v="3"/>
    <x v="3"/>
    <x v="18"/>
    <n v="7"/>
    <n v="4019.4"/>
    <n v="0"/>
    <n v="4019.4"/>
    <n v="2406.64"/>
    <n v="1612.76"/>
    <x v="0"/>
    <n v="44"/>
    <d v="2025-05-31T20:00:00"/>
    <s v="May"/>
    <n v="5"/>
    <s v="Q2"/>
    <x v="0"/>
    <x v="0"/>
    <x v="0"/>
    <x v="0"/>
  </r>
  <r>
    <x v="401"/>
    <x v="23"/>
    <s v="CUST0250"/>
    <x v="7"/>
    <x v="5"/>
    <x v="4"/>
    <x v="21"/>
    <n v="4"/>
    <n v="16241.24"/>
    <n v="0"/>
    <n v="16241.24"/>
    <n v="11227.26"/>
    <n v="5013.9799999999996"/>
    <x v="0"/>
    <n v="47"/>
    <d v="2025-11-11T23:00:00"/>
    <s v="Nov"/>
    <n v="11"/>
    <s v="Q4"/>
    <x v="0"/>
    <x v="0"/>
    <x v="0"/>
    <x v="0"/>
  </r>
  <r>
    <x v="402"/>
    <x v="212"/>
    <s v="CUST0227"/>
    <x v="3"/>
    <x v="7"/>
    <x v="1"/>
    <x v="10"/>
    <n v="2"/>
    <n v="14547.24"/>
    <n v="0.05"/>
    <n v="13819.88"/>
    <n v="8493.4699999999993"/>
    <n v="5326.41"/>
    <x v="1"/>
    <n v="13"/>
    <d v="2025-02-27T13:00:00"/>
    <s v="Feb"/>
    <n v="2"/>
    <s v="Q1"/>
    <x v="1"/>
    <x v="0"/>
    <x v="0"/>
    <x v="1"/>
  </r>
  <r>
    <x v="403"/>
    <x v="216"/>
    <s v="CUST0127"/>
    <x v="2"/>
    <x v="7"/>
    <x v="4"/>
    <x v="23"/>
    <n v="7"/>
    <n v="55617.8"/>
    <n v="0.05"/>
    <n v="52836.91"/>
    <n v="29545.89"/>
    <n v="23291.02"/>
    <x v="0"/>
    <n v="34"/>
    <d v="2025-12-09T10:00:00"/>
    <s v="Dec"/>
    <n v="12"/>
    <s v="Q4"/>
    <x v="0"/>
    <x v="0"/>
    <x v="0"/>
    <x v="0"/>
  </r>
  <r>
    <x v="404"/>
    <x v="234"/>
    <s v="CUST0058"/>
    <x v="8"/>
    <x v="2"/>
    <x v="4"/>
    <x v="22"/>
    <n v="5"/>
    <n v="39686.15"/>
    <n v="0.1"/>
    <n v="35717.54"/>
    <n v="29133.19"/>
    <n v="6584.35"/>
    <x v="2"/>
    <n v="56"/>
    <d v="2025-11-03T08:00:00"/>
    <s v="Nov"/>
    <n v="11"/>
    <s v="Q4"/>
    <x v="1"/>
    <x v="0"/>
    <x v="1"/>
    <x v="0"/>
  </r>
  <r>
    <x v="405"/>
    <x v="149"/>
    <s v="CUST0204"/>
    <x v="1"/>
    <x v="6"/>
    <x v="0"/>
    <x v="14"/>
    <n v="7"/>
    <n v="8369.69"/>
    <n v="0.05"/>
    <n v="7951.21"/>
    <n v="4424.3900000000003"/>
    <n v="3526.82"/>
    <x v="0"/>
    <n v="44"/>
    <d v="2025-06-30T20:00:00"/>
    <s v="Jun"/>
    <n v="6"/>
    <s v="Q2"/>
    <x v="0"/>
    <x v="0"/>
    <x v="0"/>
    <x v="0"/>
  </r>
  <r>
    <x v="406"/>
    <x v="30"/>
    <s v="CUST0243"/>
    <x v="9"/>
    <x v="3"/>
    <x v="0"/>
    <x v="6"/>
    <n v="1"/>
    <n v="3340.15"/>
    <n v="0.1"/>
    <n v="3006.14"/>
    <n v="2477.44"/>
    <n v="528.70000000000005"/>
    <x v="0"/>
    <n v="24"/>
    <d v="2025-06-20T00:00:00"/>
    <s v="Jun"/>
    <n v="6"/>
    <s v="Q2"/>
    <x v="0"/>
    <x v="0"/>
    <x v="0"/>
    <x v="0"/>
  </r>
  <r>
    <x v="407"/>
    <x v="168"/>
    <s v="CUST0252"/>
    <x v="8"/>
    <x v="1"/>
    <x v="4"/>
    <x v="22"/>
    <n v="7"/>
    <n v="2699.97"/>
    <n v="0.2"/>
    <n v="2159.98"/>
    <n v="1290.71"/>
    <n v="869.27"/>
    <x v="0"/>
    <n v="19"/>
    <d v="2025-11-22T19:00:00"/>
    <s v="Nov"/>
    <n v="11"/>
    <s v="Q4"/>
    <x v="0"/>
    <x v="0"/>
    <x v="0"/>
    <x v="0"/>
  </r>
  <r>
    <x v="408"/>
    <x v="2"/>
    <s v="CUST0199"/>
    <x v="8"/>
    <x v="0"/>
    <x v="4"/>
    <x v="9"/>
    <n v="4"/>
    <n v="29162.52"/>
    <n v="0.05"/>
    <n v="27704.39"/>
    <n v="24148.36"/>
    <n v="3556.03"/>
    <x v="3"/>
    <n v="15"/>
    <d v="2025-09-28T15:00:00"/>
    <s v="Sep"/>
    <n v="9"/>
    <s v="Q3"/>
    <x v="1"/>
    <x v="1"/>
    <x v="0"/>
    <x v="0"/>
  </r>
  <r>
    <x v="409"/>
    <x v="59"/>
    <s v="CUST0240"/>
    <x v="6"/>
    <x v="7"/>
    <x v="4"/>
    <x v="21"/>
    <n v="6"/>
    <n v="18873.66"/>
    <n v="0"/>
    <n v="18873.66"/>
    <n v="14141.63"/>
    <n v="4732.03"/>
    <x v="0"/>
    <n v="46"/>
    <d v="2025-02-24T22:00:00"/>
    <s v="Feb"/>
    <n v="2"/>
    <s v="Q1"/>
    <x v="0"/>
    <x v="0"/>
    <x v="0"/>
    <x v="0"/>
  </r>
  <r>
    <x v="410"/>
    <x v="107"/>
    <s v="CUST0139"/>
    <x v="4"/>
    <x v="5"/>
    <x v="2"/>
    <x v="11"/>
    <n v="7"/>
    <n v="37938.81"/>
    <n v="0"/>
    <n v="37938.81"/>
    <n v="30068.19"/>
    <n v="7870.62"/>
    <x v="3"/>
    <n v="9"/>
    <d v="2025-04-11T09:00:00"/>
    <s v="Apr"/>
    <n v="4"/>
    <s v="Q2"/>
    <x v="1"/>
    <x v="1"/>
    <x v="0"/>
    <x v="0"/>
  </r>
  <r>
    <x v="411"/>
    <x v="53"/>
    <s v="CUST0122"/>
    <x v="5"/>
    <x v="4"/>
    <x v="0"/>
    <x v="19"/>
    <n v="2"/>
    <n v="12238.8"/>
    <n v="0.1"/>
    <n v="11014.92"/>
    <n v="6459.81"/>
    <n v="4555.1099999999997"/>
    <x v="0"/>
    <n v="22"/>
    <d v="2025-09-21T22:00:00"/>
    <s v="Sep"/>
    <n v="9"/>
    <s v="Q3"/>
    <x v="0"/>
    <x v="0"/>
    <x v="0"/>
    <x v="0"/>
  </r>
  <r>
    <x v="412"/>
    <x v="50"/>
    <s v="CUST0049"/>
    <x v="3"/>
    <x v="3"/>
    <x v="4"/>
    <x v="13"/>
    <n v="1"/>
    <n v="3739.2"/>
    <n v="0.05"/>
    <n v="3552.24"/>
    <n v="2964.32"/>
    <n v="587.91999999999996"/>
    <x v="0"/>
    <n v="35"/>
    <d v="2025-02-23T11:00:00"/>
    <s v="Feb"/>
    <n v="2"/>
    <s v="Q1"/>
    <x v="0"/>
    <x v="0"/>
    <x v="0"/>
    <x v="0"/>
  </r>
  <r>
    <x v="413"/>
    <x v="179"/>
    <s v="CUST0115"/>
    <x v="7"/>
    <x v="1"/>
    <x v="3"/>
    <x v="7"/>
    <n v="3"/>
    <n v="8126.37"/>
    <n v="0"/>
    <n v="8126.37"/>
    <n v="6719.97"/>
    <n v="1406.4"/>
    <x v="0"/>
    <n v="18"/>
    <d v="2025-03-01T18:00:00"/>
    <s v="Mar"/>
    <n v="3"/>
    <s v="Q1"/>
    <x v="0"/>
    <x v="0"/>
    <x v="0"/>
    <x v="0"/>
  </r>
  <r>
    <x v="414"/>
    <x v="134"/>
    <s v="CUST0251"/>
    <x v="4"/>
    <x v="0"/>
    <x v="3"/>
    <x v="20"/>
    <n v="2"/>
    <n v="16368.96"/>
    <n v="0.1"/>
    <n v="14732.06"/>
    <n v="11277.21"/>
    <n v="3454.85"/>
    <x v="3"/>
    <n v="19"/>
    <d v="2025-04-18T19:00:00"/>
    <s v="Apr"/>
    <n v="4"/>
    <s v="Q2"/>
    <x v="1"/>
    <x v="1"/>
    <x v="0"/>
    <x v="0"/>
  </r>
  <r>
    <x v="415"/>
    <x v="109"/>
    <s v="CUST0007"/>
    <x v="6"/>
    <x v="1"/>
    <x v="2"/>
    <x v="2"/>
    <n v="1"/>
    <n v="8203.48"/>
    <n v="0"/>
    <n v="8203.48"/>
    <n v="5871.65"/>
    <n v="2331.83"/>
    <x v="0"/>
    <n v="14"/>
    <d v="2025-01-05T14:00:00"/>
    <s v="Jan"/>
    <n v="1"/>
    <s v="Q1"/>
    <x v="0"/>
    <x v="0"/>
    <x v="0"/>
    <x v="0"/>
  </r>
  <r>
    <x v="416"/>
    <x v="0"/>
    <s v="CUST0219"/>
    <x v="9"/>
    <x v="2"/>
    <x v="2"/>
    <x v="2"/>
    <n v="5"/>
    <n v="12833.95"/>
    <n v="0.1"/>
    <n v="11550.56"/>
    <n v="9102.9"/>
    <n v="2447.66"/>
    <x v="3"/>
    <n v="18"/>
    <d v="2025-04-13T18:00:00"/>
    <s v="Apr"/>
    <n v="4"/>
    <s v="Q2"/>
    <x v="1"/>
    <x v="1"/>
    <x v="0"/>
    <x v="0"/>
  </r>
  <r>
    <x v="417"/>
    <x v="235"/>
    <s v="CUST0077"/>
    <x v="3"/>
    <x v="1"/>
    <x v="1"/>
    <x v="8"/>
    <n v="3"/>
    <n v="12464.61"/>
    <n v="0.1"/>
    <n v="11218.15"/>
    <n v="6191.93"/>
    <n v="5026.22"/>
    <x v="0"/>
    <n v="32"/>
    <d v="2025-07-16T08:00:00"/>
    <s v="Jul"/>
    <n v="7"/>
    <s v="Q3"/>
    <x v="0"/>
    <x v="0"/>
    <x v="0"/>
    <x v="0"/>
  </r>
  <r>
    <x v="418"/>
    <x v="236"/>
    <s v="CUST0179"/>
    <x v="6"/>
    <x v="4"/>
    <x v="1"/>
    <x v="8"/>
    <n v="5"/>
    <n v="41366.25"/>
    <n v="0.15"/>
    <n v="35161.31"/>
    <n v="26212.95"/>
    <n v="8948.36"/>
    <x v="0"/>
    <n v="48"/>
    <d v="2025-09-21T00:00:00"/>
    <s v="Sep"/>
    <n v="9"/>
    <s v="Q3"/>
    <x v="0"/>
    <x v="0"/>
    <x v="0"/>
    <x v="0"/>
  </r>
  <r>
    <x v="419"/>
    <x v="196"/>
    <s v="CUST0145"/>
    <x v="5"/>
    <x v="7"/>
    <x v="1"/>
    <x v="10"/>
    <n v="6"/>
    <n v="1143.9000000000001"/>
    <n v="0"/>
    <n v="1143.9000000000001"/>
    <n v="949.03"/>
    <n v="194.87"/>
    <x v="0"/>
    <n v="7"/>
    <d v="2025-12-31T07:00:00"/>
    <s v="Dec"/>
    <n v="12"/>
    <s v="Q4"/>
    <x v="0"/>
    <x v="0"/>
    <x v="0"/>
    <x v="0"/>
  </r>
  <r>
    <x v="420"/>
    <x v="237"/>
    <s v="CUST0154"/>
    <x v="5"/>
    <x v="1"/>
    <x v="2"/>
    <x v="11"/>
    <n v="1"/>
    <n v="3595.86"/>
    <n v="0.2"/>
    <n v="2876.69"/>
    <n v="1920.99"/>
    <n v="955.7"/>
    <x v="0"/>
    <n v="39"/>
    <d v="2025-12-17T15:00:00"/>
    <s v="Dec"/>
    <n v="12"/>
    <s v="Q4"/>
    <x v="0"/>
    <x v="0"/>
    <x v="0"/>
    <x v="0"/>
  </r>
  <r>
    <x v="421"/>
    <x v="238"/>
    <s v="CUST0121"/>
    <x v="5"/>
    <x v="0"/>
    <x v="2"/>
    <x v="24"/>
    <n v="5"/>
    <n v="4944.1000000000004"/>
    <n v="0.15"/>
    <n v="4202.49"/>
    <n v="2461.5500000000002"/>
    <n v="1740.94"/>
    <x v="0"/>
    <n v="26"/>
    <d v="2025-02-17T02:00:00"/>
    <s v="Feb"/>
    <n v="2"/>
    <s v="Q1"/>
    <x v="0"/>
    <x v="0"/>
    <x v="0"/>
    <x v="0"/>
  </r>
  <r>
    <x v="422"/>
    <x v="223"/>
    <s v="CUST0124"/>
    <x v="4"/>
    <x v="7"/>
    <x v="2"/>
    <x v="2"/>
    <n v="6"/>
    <n v="26408.82"/>
    <n v="0.05"/>
    <n v="25088.38"/>
    <n v="17283.12"/>
    <n v="7805.26"/>
    <x v="0"/>
    <n v="18"/>
    <d v="2025-12-21T18:00:00"/>
    <s v="Dec"/>
    <n v="12"/>
    <s v="Q4"/>
    <x v="0"/>
    <x v="0"/>
    <x v="0"/>
    <x v="0"/>
  </r>
  <r>
    <x v="423"/>
    <x v="239"/>
    <s v="CUST0150"/>
    <x v="4"/>
    <x v="2"/>
    <x v="3"/>
    <x v="7"/>
    <n v="1"/>
    <n v="355.99"/>
    <n v="0"/>
    <n v="355.99"/>
    <n v="281.20999999999998"/>
    <n v="74.78"/>
    <x v="2"/>
    <n v="58"/>
    <d v="2025-11-09T10:00:00"/>
    <s v="Nov"/>
    <n v="11"/>
    <s v="Q4"/>
    <x v="1"/>
    <x v="0"/>
    <x v="1"/>
    <x v="0"/>
  </r>
  <r>
    <x v="424"/>
    <x v="172"/>
    <s v="CUST0268"/>
    <x v="7"/>
    <x v="2"/>
    <x v="2"/>
    <x v="15"/>
    <n v="1"/>
    <n v="3547.6"/>
    <n v="0.05"/>
    <n v="3370.22"/>
    <n v="1972.96"/>
    <n v="1397.26"/>
    <x v="1"/>
    <n v="9"/>
    <d v="2025-11-04T09:00:00"/>
    <s v="Nov"/>
    <n v="11"/>
    <s v="Q4"/>
    <x v="1"/>
    <x v="0"/>
    <x v="0"/>
    <x v="1"/>
  </r>
  <r>
    <x v="425"/>
    <x v="165"/>
    <s v="CUST0001"/>
    <x v="7"/>
    <x v="6"/>
    <x v="3"/>
    <x v="18"/>
    <n v="5"/>
    <n v="9964.2000000000007"/>
    <n v="0.15"/>
    <n v="8469.57"/>
    <n v="5234.16"/>
    <n v="3235.41"/>
    <x v="1"/>
    <n v="9"/>
    <d v="2025-05-24T09:00:00"/>
    <s v="May"/>
    <n v="5"/>
    <s v="Q2"/>
    <x v="1"/>
    <x v="0"/>
    <x v="0"/>
    <x v="1"/>
  </r>
  <r>
    <x v="426"/>
    <x v="240"/>
    <s v="CUST0161"/>
    <x v="9"/>
    <x v="4"/>
    <x v="1"/>
    <x v="5"/>
    <n v="1"/>
    <n v="4603.12"/>
    <n v="0.15"/>
    <n v="3912.65"/>
    <n v="2342.4699999999998"/>
    <n v="1570.18"/>
    <x v="1"/>
    <n v="17"/>
    <d v="2025-09-26T17:00:00"/>
    <s v="Sep"/>
    <n v="9"/>
    <s v="Q3"/>
    <x v="1"/>
    <x v="0"/>
    <x v="0"/>
    <x v="1"/>
  </r>
  <r>
    <x v="427"/>
    <x v="167"/>
    <s v="CUST0244"/>
    <x v="3"/>
    <x v="7"/>
    <x v="1"/>
    <x v="5"/>
    <n v="2"/>
    <n v="16933.099999999999"/>
    <n v="0.1"/>
    <n v="15239.79"/>
    <n v="12389.84"/>
    <n v="2849.95"/>
    <x v="0"/>
    <n v="43"/>
    <d v="2025-05-05T19:00:00"/>
    <s v="May"/>
    <n v="5"/>
    <s v="Q2"/>
    <x v="0"/>
    <x v="0"/>
    <x v="0"/>
    <x v="0"/>
  </r>
  <r>
    <x v="428"/>
    <x v="60"/>
    <s v="CUST0251"/>
    <x v="0"/>
    <x v="2"/>
    <x v="1"/>
    <x v="5"/>
    <n v="1"/>
    <n v="6834.48"/>
    <n v="0.2"/>
    <n v="5467.58"/>
    <n v="3120.65"/>
    <n v="2346.9299999999998"/>
    <x v="2"/>
    <n v="78"/>
    <d v="2025-04-19T06:00:00"/>
    <s v="Apr"/>
    <n v="4"/>
    <s v="Q2"/>
    <x v="1"/>
    <x v="0"/>
    <x v="1"/>
    <x v="0"/>
  </r>
  <r>
    <x v="429"/>
    <x v="193"/>
    <s v="CUST0064"/>
    <x v="0"/>
    <x v="2"/>
    <x v="4"/>
    <x v="9"/>
    <n v="4"/>
    <n v="28844.44"/>
    <n v="0"/>
    <n v="28844.44"/>
    <n v="22399.83"/>
    <n v="6444.61"/>
    <x v="0"/>
    <n v="25"/>
    <d v="2025-06-08T01:00:00"/>
    <s v="Jun"/>
    <n v="6"/>
    <s v="Q2"/>
    <x v="0"/>
    <x v="0"/>
    <x v="0"/>
    <x v="0"/>
  </r>
  <r>
    <x v="430"/>
    <x v="170"/>
    <s v="CUST0299"/>
    <x v="6"/>
    <x v="7"/>
    <x v="4"/>
    <x v="23"/>
    <n v="6"/>
    <n v="32726.76"/>
    <n v="0"/>
    <n v="32726.76"/>
    <n v="21957.39"/>
    <n v="10769.37"/>
    <x v="0"/>
    <n v="17"/>
    <d v="2025-05-27T17:00:00"/>
    <s v="May"/>
    <n v="5"/>
    <s v="Q2"/>
    <x v="0"/>
    <x v="0"/>
    <x v="0"/>
    <x v="0"/>
  </r>
  <r>
    <x v="431"/>
    <x v="241"/>
    <s v="CUST0248"/>
    <x v="5"/>
    <x v="1"/>
    <x v="0"/>
    <x v="6"/>
    <n v="1"/>
    <n v="497.02"/>
    <n v="0.2"/>
    <n v="397.62"/>
    <n v="317.86"/>
    <n v="79.760000000000005"/>
    <x v="0"/>
    <n v="20"/>
    <d v="2025-05-25T20:00:00"/>
    <s v="May"/>
    <n v="5"/>
    <s v="Q2"/>
    <x v="0"/>
    <x v="0"/>
    <x v="0"/>
    <x v="0"/>
  </r>
  <r>
    <x v="432"/>
    <x v="183"/>
    <s v="CUST0297"/>
    <x v="3"/>
    <x v="5"/>
    <x v="0"/>
    <x v="6"/>
    <n v="4"/>
    <n v="7507.04"/>
    <n v="0.15"/>
    <n v="6380.98"/>
    <n v="5540.26"/>
    <n v="840.72"/>
    <x v="3"/>
    <n v="3"/>
    <d v="2025-04-30T03:00:00"/>
    <s v="Apr"/>
    <n v="4"/>
    <s v="Q2"/>
    <x v="1"/>
    <x v="1"/>
    <x v="0"/>
    <x v="0"/>
  </r>
  <r>
    <x v="433"/>
    <x v="242"/>
    <s v="CUST0115"/>
    <x v="8"/>
    <x v="0"/>
    <x v="0"/>
    <x v="0"/>
    <n v="1"/>
    <n v="7874.29"/>
    <n v="0.1"/>
    <n v="7086.86"/>
    <n v="4165.66"/>
    <n v="2921.2"/>
    <x v="2"/>
    <n v="66"/>
    <d v="2025-11-17T18:00:00"/>
    <s v="Nov"/>
    <n v="11"/>
    <s v="Q4"/>
    <x v="1"/>
    <x v="0"/>
    <x v="1"/>
    <x v="0"/>
  </r>
  <r>
    <x v="434"/>
    <x v="243"/>
    <s v="CUST0295"/>
    <x v="4"/>
    <x v="1"/>
    <x v="4"/>
    <x v="9"/>
    <n v="1"/>
    <n v="3207.04"/>
    <n v="0.15"/>
    <n v="2725.98"/>
    <n v="1782.1"/>
    <n v="943.88"/>
    <x v="0"/>
    <n v="18"/>
    <d v="2025-10-02T18:00:00"/>
    <s v="Oct"/>
    <n v="10"/>
    <s v="Q4"/>
    <x v="0"/>
    <x v="0"/>
    <x v="0"/>
    <x v="0"/>
  </r>
  <r>
    <x v="435"/>
    <x v="52"/>
    <s v="CUST0001"/>
    <x v="2"/>
    <x v="0"/>
    <x v="4"/>
    <x v="13"/>
    <n v="5"/>
    <n v="5076.8500000000004"/>
    <n v="0.25"/>
    <n v="3807.64"/>
    <n v="3112.14"/>
    <n v="695.5"/>
    <x v="3"/>
    <n v="9"/>
    <d v="2025-04-02T09:00:00"/>
    <s v="Apr"/>
    <n v="4"/>
    <s v="Q2"/>
    <x v="1"/>
    <x v="1"/>
    <x v="0"/>
    <x v="0"/>
  </r>
  <r>
    <x v="436"/>
    <x v="212"/>
    <s v="CUST0041"/>
    <x v="1"/>
    <x v="2"/>
    <x v="0"/>
    <x v="0"/>
    <n v="2"/>
    <n v="12030.16"/>
    <n v="0.15"/>
    <n v="10225.64"/>
    <n v="6522.24"/>
    <n v="3703.4"/>
    <x v="0"/>
    <n v="27"/>
    <d v="2025-02-28T03:00:00"/>
    <s v="Feb"/>
    <n v="2"/>
    <s v="Q1"/>
    <x v="0"/>
    <x v="0"/>
    <x v="0"/>
    <x v="0"/>
  </r>
  <r>
    <x v="437"/>
    <x v="49"/>
    <s v="CUST0173"/>
    <x v="9"/>
    <x v="2"/>
    <x v="0"/>
    <x v="17"/>
    <n v="6"/>
    <n v="15902.82"/>
    <n v="0.15"/>
    <n v="13517.4"/>
    <n v="8394.17"/>
    <n v="5123.2299999999996"/>
    <x v="0"/>
    <n v="15"/>
    <d v="2025-12-12T15:00:00"/>
    <s v="Dec"/>
    <n v="12"/>
    <s v="Q4"/>
    <x v="0"/>
    <x v="0"/>
    <x v="0"/>
    <x v="0"/>
  </r>
  <r>
    <x v="438"/>
    <x v="244"/>
    <s v="CUST0088"/>
    <x v="5"/>
    <x v="4"/>
    <x v="2"/>
    <x v="2"/>
    <n v="2"/>
    <n v="4789.92"/>
    <n v="0.15"/>
    <n v="4071.43"/>
    <n v="3348.24"/>
    <n v="723.19"/>
    <x v="1"/>
    <n v="22"/>
    <d v="2025-08-17T22:00:00"/>
    <s v="Aug"/>
    <n v="8"/>
    <s v="Q3"/>
    <x v="1"/>
    <x v="0"/>
    <x v="0"/>
    <x v="1"/>
  </r>
  <r>
    <x v="439"/>
    <x v="245"/>
    <s v="CUST0098"/>
    <x v="5"/>
    <x v="7"/>
    <x v="0"/>
    <x v="19"/>
    <n v="3"/>
    <n v="25449.33"/>
    <n v="0"/>
    <n v="25449.33"/>
    <n v="22286.92"/>
    <n v="3162.41"/>
    <x v="0"/>
    <n v="45"/>
    <d v="2025-04-28T21:00:00"/>
    <s v="Apr"/>
    <n v="4"/>
    <s v="Q2"/>
    <x v="0"/>
    <x v="0"/>
    <x v="0"/>
    <x v="0"/>
  </r>
  <r>
    <x v="440"/>
    <x v="145"/>
    <s v="CUST0088"/>
    <x v="5"/>
    <x v="3"/>
    <x v="2"/>
    <x v="11"/>
    <n v="5"/>
    <n v="36577.300000000003"/>
    <n v="0.15"/>
    <n v="31090.7"/>
    <n v="22813.439999999999"/>
    <n v="8277.26"/>
    <x v="0"/>
    <n v="45"/>
    <d v="2025-11-15T21:00:00"/>
    <s v="Nov"/>
    <n v="11"/>
    <s v="Q4"/>
    <x v="0"/>
    <x v="0"/>
    <x v="0"/>
    <x v="0"/>
  </r>
  <r>
    <x v="441"/>
    <x v="246"/>
    <s v="CUST0251"/>
    <x v="4"/>
    <x v="2"/>
    <x v="3"/>
    <x v="20"/>
    <n v="5"/>
    <n v="17781.400000000001"/>
    <n v="0"/>
    <n v="17781.400000000001"/>
    <n v="11411.32"/>
    <n v="6370.08"/>
    <x v="0"/>
    <n v="34"/>
    <d v="2025-10-07T10:00:00"/>
    <s v="Oct"/>
    <n v="10"/>
    <s v="Q4"/>
    <x v="0"/>
    <x v="0"/>
    <x v="0"/>
    <x v="0"/>
  </r>
  <r>
    <x v="442"/>
    <x v="217"/>
    <s v="CUST0141"/>
    <x v="4"/>
    <x v="0"/>
    <x v="4"/>
    <x v="21"/>
    <n v="2"/>
    <n v="16670.36"/>
    <n v="0.2"/>
    <n v="13336.29"/>
    <n v="9089.0400000000009"/>
    <n v="4247.25"/>
    <x v="2"/>
    <n v="89"/>
    <d v="2025-05-10T17:00:00"/>
    <s v="May"/>
    <n v="5"/>
    <s v="Q2"/>
    <x v="1"/>
    <x v="0"/>
    <x v="1"/>
    <x v="0"/>
  </r>
  <r>
    <x v="443"/>
    <x v="86"/>
    <s v="CUST0071"/>
    <x v="1"/>
    <x v="0"/>
    <x v="0"/>
    <x v="14"/>
    <n v="7"/>
    <n v="39049.15"/>
    <n v="0.1"/>
    <n v="35144.239999999998"/>
    <n v="21302.44"/>
    <n v="13841.8"/>
    <x v="3"/>
    <n v="9"/>
    <d v="2025-05-09T09:00:00"/>
    <s v="May"/>
    <n v="5"/>
    <s v="Q2"/>
    <x v="1"/>
    <x v="1"/>
    <x v="0"/>
    <x v="0"/>
  </r>
  <r>
    <x v="444"/>
    <x v="212"/>
    <s v="CUST0137"/>
    <x v="8"/>
    <x v="5"/>
    <x v="4"/>
    <x v="23"/>
    <n v="5"/>
    <n v="31729.45"/>
    <n v="0.1"/>
    <n v="28556.5"/>
    <n v="22885.83"/>
    <n v="5670.67"/>
    <x v="0"/>
    <n v="12"/>
    <d v="2025-02-27T12:00:00"/>
    <s v="Feb"/>
    <n v="2"/>
    <s v="Q1"/>
    <x v="0"/>
    <x v="0"/>
    <x v="0"/>
    <x v="0"/>
  </r>
  <r>
    <x v="445"/>
    <x v="7"/>
    <s v="CUST0099"/>
    <x v="3"/>
    <x v="5"/>
    <x v="4"/>
    <x v="9"/>
    <n v="2"/>
    <n v="826.26"/>
    <n v="0.1"/>
    <n v="743.63"/>
    <n v="598.80999999999995"/>
    <n v="144.82"/>
    <x v="0"/>
    <n v="17"/>
    <d v="2025-05-02T17:00:00"/>
    <s v="May"/>
    <n v="5"/>
    <s v="Q2"/>
    <x v="0"/>
    <x v="0"/>
    <x v="0"/>
    <x v="0"/>
  </r>
  <r>
    <x v="446"/>
    <x v="247"/>
    <s v="CUST0151"/>
    <x v="5"/>
    <x v="1"/>
    <x v="4"/>
    <x v="23"/>
    <n v="5"/>
    <n v="5827"/>
    <n v="0"/>
    <n v="5827"/>
    <n v="4887.63"/>
    <n v="939.37"/>
    <x v="0"/>
    <n v="22"/>
    <d v="2025-01-01T22:00:00"/>
    <s v="Jan"/>
    <n v="1"/>
    <s v="Q1"/>
    <x v="0"/>
    <x v="0"/>
    <x v="0"/>
    <x v="0"/>
  </r>
  <r>
    <x v="447"/>
    <x v="248"/>
    <s v="CUST0175"/>
    <x v="0"/>
    <x v="1"/>
    <x v="3"/>
    <x v="7"/>
    <n v="1"/>
    <n v="5436.26"/>
    <n v="0.05"/>
    <n v="5164.45"/>
    <n v="2885.79"/>
    <n v="2278.66"/>
    <x v="0"/>
    <n v="34"/>
    <d v="2025-08-28T10:00:00"/>
    <s v="Aug"/>
    <n v="8"/>
    <s v="Q3"/>
    <x v="0"/>
    <x v="0"/>
    <x v="0"/>
    <x v="0"/>
  </r>
  <r>
    <x v="448"/>
    <x v="249"/>
    <s v="CUST0167"/>
    <x v="7"/>
    <x v="2"/>
    <x v="1"/>
    <x v="1"/>
    <n v="2"/>
    <n v="15313.7"/>
    <n v="0.25"/>
    <n v="11485.28"/>
    <n v="8446.89"/>
    <n v="3038.39"/>
    <x v="1"/>
    <n v="7"/>
    <d v="2025-10-17T07:00:00"/>
    <s v="Oct"/>
    <n v="10"/>
    <s v="Q4"/>
    <x v="1"/>
    <x v="0"/>
    <x v="0"/>
    <x v="1"/>
  </r>
  <r>
    <x v="449"/>
    <x v="119"/>
    <s v="CUST0257"/>
    <x v="0"/>
    <x v="2"/>
    <x v="0"/>
    <x v="14"/>
    <n v="2"/>
    <n v="10716.52"/>
    <n v="0.25"/>
    <n v="8037.39"/>
    <n v="4988.84"/>
    <n v="3048.55"/>
    <x v="1"/>
    <n v="23"/>
    <d v="2025-04-06T23:00:00"/>
    <s v="Apr"/>
    <n v="4"/>
    <s v="Q2"/>
    <x v="1"/>
    <x v="0"/>
    <x v="0"/>
    <x v="1"/>
  </r>
  <r>
    <x v="450"/>
    <x v="156"/>
    <s v="CUST0224"/>
    <x v="6"/>
    <x v="6"/>
    <x v="1"/>
    <x v="10"/>
    <n v="4"/>
    <n v="5076.4399999999996"/>
    <n v="0.05"/>
    <n v="4822.62"/>
    <n v="3194.94"/>
    <n v="1627.68"/>
    <x v="0"/>
    <n v="42"/>
    <d v="2025-05-07T18:00:00"/>
    <s v="May"/>
    <n v="5"/>
    <s v="Q2"/>
    <x v="0"/>
    <x v="0"/>
    <x v="0"/>
    <x v="0"/>
  </r>
  <r>
    <x v="451"/>
    <x v="250"/>
    <s v="CUST0065"/>
    <x v="0"/>
    <x v="0"/>
    <x v="1"/>
    <x v="8"/>
    <n v="5"/>
    <n v="5583"/>
    <n v="0.25"/>
    <n v="4187.25"/>
    <n v="3387.63"/>
    <n v="799.62"/>
    <x v="0"/>
    <n v="29"/>
    <d v="2025-04-29T05:00:00"/>
    <s v="Apr"/>
    <n v="4"/>
    <s v="Q2"/>
    <x v="0"/>
    <x v="0"/>
    <x v="0"/>
    <x v="0"/>
  </r>
  <r>
    <x v="452"/>
    <x v="99"/>
    <s v="CUST0069"/>
    <x v="6"/>
    <x v="4"/>
    <x v="1"/>
    <x v="5"/>
    <n v="5"/>
    <n v="35994.75"/>
    <n v="0.15"/>
    <n v="30595.54"/>
    <n v="18766.419999999998"/>
    <n v="11829.12"/>
    <x v="0"/>
    <n v="11"/>
    <d v="2025-02-17T11:00:00"/>
    <s v="Feb"/>
    <n v="2"/>
    <s v="Q1"/>
    <x v="0"/>
    <x v="0"/>
    <x v="0"/>
    <x v="0"/>
  </r>
  <r>
    <x v="453"/>
    <x v="44"/>
    <s v="CUST0067"/>
    <x v="2"/>
    <x v="7"/>
    <x v="4"/>
    <x v="13"/>
    <n v="2"/>
    <n v="2626.34"/>
    <n v="0.1"/>
    <n v="2363.71"/>
    <n v="1797.96"/>
    <n v="565.75"/>
    <x v="0"/>
    <n v="27"/>
    <d v="2025-03-31T03:00:00"/>
    <s v="Mar"/>
    <n v="3"/>
    <s v="Q1"/>
    <x v="0"/>
    <x v="0"/>
    <x v="0"/>
    <x v="0"/>
  </r>
  <r>
    <x v="454"/>
    <x v="75"/>
    <s v="CUST0050"/>
    <x v="7"/>
    <x v="7"/>
    <x v="2"/>
    <x v="11"/>
    <n v="1"/>
    <n v="4493.9399999999996"/>
    <n v="0"/>
    <n v="4493.9399999999996"/>
    <n v="3442.39"/>
    <n v="1051.55"/>
    <x v="3"/>
    <n v="11"/>
    <d v="2025-08-25T11:00:00"/>
    <s v="Aug"/>
    <n v="8"/>
    <s v="Q3"/>
    <x v="1"/>
    <x v="1"/>
    <x v="0"/>
    <x v="0"/>
  </r>
  <r>
    <x v="455"/>
    <x v="251"/>
    <s v="CUST0091"/>
    <x v="0"/>
    <x v="5"/>
    <x v="4"/>
    <x v="22"/>
    <n v="1"/>
    <n v="459.9"/>
    <n v="0.2"/>
    <n v="367.92"/>
    <n v="318.2"/>
    <n v="49.72"/>
    <x v="0"/>
    <n v="22"/>
    <d v="2025-09-29T22:00:00"/>
    <s v="Sep"/>
    <n v="9"/>
    <s v="Q3"/>
    <x v="0"/>
    <x v="0"/>
    <x v="0"/>
    <x v="0"/>
  </r>
  <r>
    <x v="456"/>
    <x v="5"/>
    <s v="CUST0115"/>
    <x v="2"/>
    <x v="7"/>
    <x v="4"/>
    <x v="21"/>
    <n v="6"/>
    <n v="4941.54"/>
    <n v="0.1"/>
    <n v="4447.3900000000003"/>
    <n v="3583.72"/>
    <n v="863.67"/>
    <x v="3"/>
    <n v="8"/>
    <d v="2025-07-08T08:00:00"/>
    <s v="Jul"/>
    <n v="7"/>
    <s v="Q3"/>
    <x v="1"/>
    <x v="1"/>
    <x v="0"/>
    <x v="0"/>
  </r>
  <r>
    <x v="457"/>
    <x v="20"/>
    <s v="CUST0057"/>
    <x v="9"/>
    <x v="0"/>
    <x v="1"/>
    <x v="10"/>
    <n v="1"/>
    <n v="5764.11"/>
    <n v="0.2"/>
    <n v="4611.29"/>
    <n v="3759.12"/>
    <n v="852.17"/>
    <x v="0"/>
    <n v="25"/>
    <d v="2025-07-12T01:00:00"/>
    <s v="Jul"/>
    <n v="7"/>
    <s v="Q3"/>
    <x v="0"/>
    <x v="0"/>
    <x v="0"/>
    <x v="0"/>
  </r>
  <r>
    <x v="458"/>
    <x v="252"/>
    <s v="CUST0018"/>
    <x v="3"/>
    <x v="1"/>
    <x v="4"/>
    <x v="23"/>
    <n v="5"/>
    <n v="29523.3"/>
    <n v="0.15"/>
    <n v="25094.799999999999"/>
    <n v="18204.48"/>
    <n v="6890.32"/>
    <x v="0"/>
    <n v="12"/>
    <d v="2025-03-10T12:00:00"/>
    <s v="Mar"/>
    <n v="3"/>
    <s v="Q1"/>
    <x v="0"/>
    <x v="0"/>
    <x v="0"/>
    <x v="0"/>
  </r>
  <r>
    <x v="459"/>
    <x v="253"/>
    <s v="CUST0272"/>
    <x v="2"/>
    <x v="4"/>
    <x v="1"/>
    <x v="10"/>
    <n v="7"/>
    <n v="21008.89"/>
    <n v="0.15"/>
    <n v="17857.560000000001"/>
    <n v="10922.36"/>
    <n v="6935.2"/>
    <x v="0"/>
    <n v="47"/>
    <d v="2025-10-06T23:00:00"/>
    <s v="Oct"/>
    <n v="10"/>
    <s v="Q4"/>
    <x v="0"/>
    <x v="0"/>
    <x v="0"/>
    <x v="0"/>
  </r>
  <r>
    <x v="460"/>
    <x v="1"/>
    <s v="CUST0130"/>
    <x v="3"/>
    <x v="7"/>
    <x v="2"/>
    <x v="24"/>
    <n v="4"/>
    <n v="7801.36"/>
    <n v="0.1"/>
    <n v="7021.22"/>
    <n v="4847.7"/>
    <n v="2173.52"/>
    <x v="0"/>
    <n v="7"/>
    <d v="2025-12-15T07:00:00"/>
    <s v="Dec"/>
    <n v="12"/>
    <s v="Q4"/>
    <x v="0"/>
    <x v="0"/>
    <x v="0"/>
    <x v="0"/>
  </r>
  <r>
    <x v="461"/>
    <x v="157"/>
    <s v="CUST0269"/>
    <x v="0"/>
    <x v="0"/>
    <x v="0"/>
    <x v="0"/>
    <n v="2"/>
    <n v="13888.96"/>
    <n v="0.05"/>
    <n v="13194.51"/>
    <n v="9649.56"/>
    <n v="3544.95"/>
    <x v="0"/>
    <n v="40"/>
    <d v="2025-09-05T16:00:00"/>
    <s v="Sep"/>
    <n v="9"/>
    <s v="Q3"/>
    <x v="0"/>
    <x v="0"/>
    <x v="0"/>
    <x v="0"/>
  </r>
  <r>
    <x v="462"/>
    <x v="254"/>
    <s v="CUST0080"/>
    <x v="8"/>
    <x v="3"/>
    <x v="1"/>
    <x v="8"/>
    <n v="3"/>
    <n v="5888.43"/>
    <n v="0.05"/>
    <n v="5594.01"/>
    <n v="4329.08"/>
    <n v="1264.93"/>
    <x v="0"/>
    <n v="11"/>
    <d v="2025-03-17T11:00:00"/>
    <s v="Mar"/>
    <n v="3"/>
    <s v="Q1"/>
    <x v="0"/>
    <x v="0"/>
    <x v="0"/>
    <x v="0"/>
  </r>
  <r>
    <x v="463"/>
    <x v="255"/>
    <s v="CUST0299"/>
    <x v="2"/>
    <x v="2"/>
    <x v="2"/>
    <x v="3"/>
    <n v="4"/>
    <n v="18703.72"/>
    <n v="0.05"/>
    <n v="17768.53"/>
    <n v="13336.06"/>
    <n v="4432.47"/>
    <x v="0"/>
    <n v="4"/>
    <d v="2025-06-03T04:00:00"/>
    <s v="Jun"/>
    <n v="6"/>
    <s v="Q2"/>
    <x v="0"/>
    <x v="0"/>
    <x v="0"/>
    <x v="0"/>
  </r>
  <r>
    <x v="464"/>
    <x v="165"/>
    <s v="CUST0202"/>
    <x v="7"/>
    <x v="6"/>
    <x v="0"/>
    <x v="6"/>
    <n v="7"/>
    <n v="57641.78"/>
    <n v="0"/>
    <n v="57641.78"/>
    <n v="39197.14"/>
    <n v="18444.64"/>
    <x v="0"/>
    <n v="31"/>
    <d v="2025-05-25T07:00:00"/>
    <s v="May"/>
    <n v="5"/>
    <s v="Q2"/>
    <x v="0"/>
    <x v="0"/>
    <x v="0"/>
    <x v="0"/>
  </r>
  <r>
    <x v="465"/>
    <x v="129"/>
    <s v="CUST0225"/>
    <x v="0"/>
    <x v="6"/>
    <x v="3"/>
    <x v="16"/>
    <n v="3"/>
    <n v="4153.71"/>
    <n v="0.1"/>
    <n v="3738.34"/>
    <n v="2383.39"/>
    <n v="1354.95"/>
    <x v="3"/>
    <n v="21"/>
    <d v="2025-03-27T21:00:00"/>
    <s v="Mar"/>
    <n v="3"/>
    <s v="Q1"/>
    <x v="1"/>
    <x v="1"/>
    <x v="0"/>
    <x v="0"/>
  </r>
  <r>
    <x v="466"/>
    <x v="256"/>
    <s v="CUST0159"/>
    <x v="5"/>
    <x v="7"/>
    <x v="1"/>
    <x v="4"/>
    <n v="4"/>
    <n v="32025.279999999999"/>
    <n v="0.1"/>
    <n v="28822.75"/>
    <n v="17452.64"/>
    <n v="11370.11"/>
    <x v="0"/>
    <n v="39"/>
    <d v="2025-07-05T15:00:00"/>
    <s v="Jul"/>
    <n v="7"/>
    <s v="Q3"/>
    <x v="0"/>
    <x v="0"/>
    <x v="0"/>
    <x v="0"/>
  </r>
  <r>
    <x v="467"/>
    <x v="257"/>
    <s v="CUST0204"/>
    <x v="4"/>
    <x v="1"/>
    <x v="1"/>
    <x v="5"/>
    <n v="1"/>
    <n v="1677.16"/>
    <n v="0.2"/>
    <n v="1341.73"/>
    <n v="1045.17"/>
    <n v="296.56"/>
    <x v="1"/>
    <n v="15"/>
    <d v="2025-10-12T15:00:00"/>
    <s v="Oct"/>
    <n v="10"/>
    <s v="Q4"/>
    <x v="1"/>
    <x v="0"/>
    <x v="0"/>
    <x v="1"/>
  </r>
  <r>
    <x v="468"/>
    <x v="153"/>
    <s v="CUST0137"/>
    <x v="2"/>
    <x v="6"/>
    <x v="3"/>
    <x v="16"/>
    <n v="5"/>
    <n v="24440.75"/>
    <n v="0"/>
    <n v="24440.75"/>
    <n v="18647.84"/>
    <n v="5792.91"/>
    <x v="0"/>
    <n v="8"/>
    <d v="2025-08-08T08:00:00"/>
    <s v="Aug"/>
    <n v="8"/>
    <s v="Q3"/>
    <x v="0"/>
    <x v="0"/>
    <x v="0"/>
    <x v="0"/>
  </r>
  <r>
    <x v="469"/>
    <x v="252"/>
    <s v="CUST0073"/>
    <x v="7"/>
    <x v="6"/>
    <x v="3"/>
    <x v="16"/>
    <n v="7"/>
    <n v="23086.07"/>
    <n v="0.1"/>
    <n v="20777.46"/>
    <n v="16140.61"/>
    <n v="4636.8500000000004"/>
    <x v="0"/>
    <n v="27"/>
    <d v="2025-03-11T03:00:00"/>
    <s v="Mar"/>
    <n v="3"/>
    <s v="Q1"/>
    <x v="0"/>
    <x v="0"/>
    <x v="0"/>
    <x v="0"/>
  </r>
  <r>
    <x v="470"/>
    <x v="238"/>
    <s v="CUST0048"/>
    <x v="9"/>
    <x v="5"/>
    <x v="1"/>
    <x v="8"/>
    <n v="3"/>
    <n v="24621.45"/>
    <n v="0"/>
    <n v="24621.45"/>
    <n v="16568.61"/>
    <n v="8052.84"/>
    <x v="0"/>
    <n v="21"/>
    <d v="2025-02-16T21:00:00"/>
    <s v="Feb"/>
    <n v="2"/>
    <s v="Q1"/>
    <x v="0"/>
    <x v="0"/>
    <x v="0"/>
    <x v="0"/>
  </r>
  <r>
    <x v="471"/>
    <x v="258"/>
    <s v="CUST0018"/>
    <x v="5"/>
    <x v="6"/>
    <x v="3"/>
    <x v="7"/>
    <n v="7"/>
    <n v="17038.560000000001"/>
    <n v="0"/>
    <n v="17038.560000000001"/>
    <n v="10846.65"/>
    <n v="6191.91"/>
    <x v="2"/>
    <n v="49"/>
    <d v="2025-04-06T01:00:00"/>
    <s v="Apr"/>
    <n v="4"/>
    <s v="Q2"/>
    <x v="1"/>
    <x v="0"/>
    <x v="1"/>
    <x v="0"/>
  </r>
  <r>
    <x v="472"/>
    <x v="192"/>
    <s v="CUST0267"/>
    <x v="9"/>
    <x v="6"/>
    <x v="4"/>
    <x v="22"/>
    <n v="4"/>
    <n v="13948.56"/>
    <n v="0"/>
    <n v="13948.56"/>
    <n v="11168.72"/>
    <n v="2779.84"/>
    <x v="2"/>
    <n v="88"/>
    <d v="2025-08-29T16:00:00"/>
    <s v="Aug"/>
    <n v="8"/>
    <s v="Q3"/>
    <x v="1"/>
    <x v="0"/>
    <x v="1"/>
    <x v="0"/>
  </r>
  <r>
    <x v="473"/>
    <x v="259"/>
    <s v="CUST0019"/>
    <x v="0"/>
    <x v="7"/>
    <x v="0"/>
    <x v="0"/>
    <n v="5"/>
    <n v="41784.400000000001"/>
    <n v="0.15"/>
    <n v="35516.74"/>
    <n v="28601.759999999998"/>
    <n v="6914.98"/>
    <x v="0"/>
    <n v="16"/>
    <d v="2025-07-23T16:00:00"/>
    <s v="Jul"/>
    <n v="7"/>
    <s v="Q3"/>
    <x v="0"/>
    <x v="0"/>
    <x v="0"/>
    <x v="0"/>
  </r>
  <r>
    <x v="474"/>
    <x v="64"/>
    <s v="CUST0100"/>
    <x v="4"/>
    <x v="5"/>
    <x v="0"/>
    <x v="6"/>
    <n v="7"/>
    <n v="32406.71"/>
    <n v="0"/>
    <n v="32406.71"/>
    <n v="22696.15"/>
    <n v="9710.56"/>
    <x v="0"/>
    <n v="8"/>
    <d v="2025-08-06T08:00:00"/>
    <s v="Aug"/>
    <n v="8"/>
    <s v="Q3"/>
    <x v="0"/>
    <x v="0"/>
    <x v="0"/>
    <x v="0"/>
  </r>
  <r>
    <x v="475"/>
    <x v="260"/>
    <s v="CUST0116"/>
    <x v="2"/>
    <x v="0"/>
    <x v="0"/>
    <x v="19"/>
    <n v="3"/>
    <n v="13040.88"/>
    <n v="0.15"/>
    <n v="11084.75"/>
    <n v="8334.94"/>
    <n v="2749.81"/>
    <x v="0"/>
    <n v="33"/>
    <d v="2025-12-08T09:00:00"/>
    <s v="Dec"/>
    <n v="12"/>
    <s v="Q4"/>
    <x v="0"/>
    <x v="0"/>
    <x v="0"/>
    <x v="0"/>
  </r>
  <r>
    <x v="476"/>
    <x v="173"/>
    <s v="CUST0074"/>
    <x v="2"/>
    <x v="4"/>
    <x v="4"/>
    <x v="23"/>
    <n v="2"/>
    <n v="4604.8999999999996"/>
    <n v="0.05"/>
    <n v="4374.66"/>
    <n v="2945.29"/>
    <n v="1429.37"/>
    <x v="0"/>
    <n v="4"/>
    <d v="2025-02-08T04:00:00"/>
    <s v="Feb"/>
    <n v="2"/>
    <s v="Q1"/>
    <x v="0"/>
    <x v="0"/>
    <x v="0"/>
    <x v="0"/>
  </r>
  <r>
    <x v="477"/>
    <x v="11"/>
    <s v="CUST0280"/>
    <x v="8"/>
    <x v="4"/>
    <x v="3"/>
    <x v="7"/>
    <n v="4"/>
    <n v="24025.56"/>
    <n v="0.2"/>
    <n v="19220.45"/>
    <n v="15023.52"/>
    <n v="4196.93"/>
    <x v="3"/>
    <n v="17"/>
    <d v="2025-04-10T17:00:00"/>
    <s v="Apr"/>
    <n v="4"/>
    <s v="Q2"/>
    <x v="1"/>
    <x v="1"/>
    <x v="0"/>
    <x v="0"/>
  </r>
  <r>
    <x v="478"/>
    <x v="91"/>
    <s v="CUST0269"/>
    <x v="8"/>
    <x v="1"/>
    <x v="2"/>
    <x v="2"/>
    <n v="2"/>
    <n v="540.02"/>
    <n v="0.15"/>
    <n v="459.02"/>
    <n v="379.05"/>
    <n v="79.97"/>
    <x v="0"/>
    <n v="21"/>
    <d v="2025-10-16T21:00:00"/>
    <s v="Oct"/>
    <n v="10"/>
    <s v="Q4"/>
    <x v="0"/>
    <x v="0"/>
    <x v="0"/>
    <x v="0"/>
  </r>
  <r>
    <x v="479"/>
    <x v="180"/>
    <s v="CUST0125"/>
    <x v="0"/>
    <x v="0"/>
    <x v="3"/>
    <x v="7"/>
    <n v="1"/>
    <n v="563.42999999999995"/>
    <n v="0.25"/>
    <n v="422.57"/>
    <n v="328.39"/>
    <n v="94.18"/>
    <x v="0"/>
    <n v="8"/>
    <d v="2025-09-11T08:00:00"/>
    <s v="Sep"/>
    <n v="9"/>
    <s v="Q3"/>
    <x v="0"/>
    <x v="0"/>
    <x v="0"/>
    <x v="0"/>
  </r>
  <r>
    <x v="480"/>
    <x v="120"/>
    <s v="CUST0116"/>
    <x v="0"/>
    <x v="2"/>
    <x v="1"/>
    <x v="10"/>
    <n v="2"/>
    <n v="10309.280000000001"/>
    <n v="0.2"/>
    <n v="8247.42"/>
    <n v="5931.15"/>
    <n v="2316.27"/>
    <x v="3"/>
    <n v="11"/>
    <d v="2025-08-10T11:00:00"/>
    <s v="Aug"/>
    <n v="8"/>
    <s v="Q3"/>
    <x v="1"/>
    <x v="1"/>
    <x v="0"/>
    <x v="0"/>
  </r>
  <r>
    <x v="481"/>
    <x v="261"/>
    <s v="CUST0174"/>
    <x v="4"/>
    <x v="3"/>
    <x v="0"/>
    <x v="6"/>
    <n v="2"/>
    <n v="6005.96"/>
    <n v="0.2"/>
    <n v="4804.7700000000004"/>
    <n v="3369.86"/>
    <n v="1434.91"/>
    <x v="1"/>
    <n v="14"/>
    <d v="2025-12-23T14:00:00"/>
    <s v="Dec"/>
    <n v="12"/>
    <s v="Q4"/>
    <x v="1"/>
    <x v="0"/>
    <x v="0"/>
    <x v="1"/>
  </r>
  <r>
    <x v="482"/>
    <x v="262"/>
    <s v="CUST0181"/>
    <x v="8"/>
    <x v="4"/>
    <x v="3"/>
    <x v="12"/>
    <n v="6"/>
    <n v="48661.14"/>
    <n v="0.2"/>
    <n v="38928.910000000003"/>
    <n v="29662.49"/>
    <n v="9266.42"/>
    <x v="2"/>
    <n v="96"/>
    <d v="2025-01-27T00:00:00"/>
    <s v="Jan"/>
    <n v="1"/>
    <s v="Q1"/>
    <x v="1"/>
    <x v="0"/>
    <x v="1"/>
    <x v="0"/>
  </r>
  <r>
    <x v="483"/>
    <x v="263"/>
    <s v="CUST0226"/>
    <x v="7"/>
    <x v="3"/>
    <x v="2"/>
    <x v="11"/>
    <n v="4"/>
    <n v="30766.560000000001"/>
    <n v="0.1"/>
    <n v="27689.9"/>
    <n v="21441.33"/>
    <n v="6248.57"/>
    <x v="0"/>
    <n v="28"/>
    <d v="2025-09-08T04:00:00"/>
    <s v="Sep"/>
    <n v="9"/>
    <s v="Q3"/>
    <x v="0"/>
    <x v="0"/>
    <x v="0"/>
    <x v="0"/>
  </r>
  <r>
    <x v="484"/>
    <x v="264"/>
    <s v="CUST0157"/>
    <x v="7"/>
    <x v="4"/>
    <x v="1"/>
    <x v="5"/>
    <n v="1"/>
    <n v="6109.45"/>
    <n v="0"/>
    <n v="6109.45"/>
    <n v="4486.66"/>
    <n v="1622.79"/>
    <x v="1"/>
    <n v="17"/>
    <d v="2025-01-10T17:00:00"/>
    <s v="Jan"/>
    <n v="1"/>
    <s v="Q1"/>
    <x v="1"/>
    <x v="0"/>
    <x v="0"/>
    <x v="1"/>
  </r>
  <r>
    <x v="485"/>
    <x v="221"/>
    <s v="CUST0164"/>
    <x v="4"/>
    <x v="5"/>
    <x v="4"/>
    <x v="13"/>
    <n v="2"/>
    <n v="13963.04"/>
    <n v="0.05"/>
    <n v="13264.89"/>
    <n v="10031.32"/>
    <n v="3233.57"/>
    <x v="1"/>
    <n v="23"/>
    <d v="2025-09-03T23:00:00"/>
    <s v="Sep"/>
    <n v="9"/>
    <s v="Q3"/>
    <x v="1"/>
    <x v="0"/>
    <x v="0"/>
    <x v="1"/>
  </r>
  <r>
    <x v="486"/>
    <x v="162"/>
    <s v="CUST0071"/>
    <x v="7"/>
    <x v="4"/>
    <x v="4"/>
    <x v="22"/>
    <n v="5"/>
    <n v="28611.1"/>
    <n v="0.05"/>
    <n v="27180.54"/>
    <n v="15815.66"/>
    <n v="11364.88"/>
    <x v="1"/>
    <n v="19"/>
    <d v="2025-11-21T19:00:00"/>
    <s v="Nov"/>
    <n v="11"/>
    <s v="Q4"/>
    <x v="1"/>
    <x v="0"/>
    <x v="0"/>
    <x v="1"/>
  </r>
  <r>
    <x v="487"/>
    <x v="11"/>
    <s v="CUST0222"/>
    <x v="6"/>
    <x v="5"/>
    <x v="2"/>
    <x v="24"/>
    <n v="3"/>
    <n v="3595.83"/>
    <n v="0.1"/>
    <n v="3236.25"/>
    <n v="2796.39"/>
    <n v="439.86"/>
    <x v="2"/>
    <n v="71"/>
    <d v="2025-04-12T23:00:00"/>
    <s v="Apr"/>
    <n v="4"/>
    <s v="Q2"/>
    <x v="1"/>
    <x v="0"/>
    <x v="1"/>
    <x v="0"/>
  </r>
  <r>
    <x v="488"/>
    <x v="249"/>
    <s v="CUST0126"/>
    <x v="3"/>
    <x v="5"/>
    <x v="1"/>
    <x v="8"/>
    <n v="2"/>
    <n v="13084.58"/>
    <n v="0.1"/>
    <n v="11776.12"/>
    <n v="9549.9"/>
    <n v="2226.2199999999998"/>
    <x v="0"/>
    <n v="23"/>
    <d v="2025-10-17T23:00:00"/>
    <s v="Oct"/>
    <n v="10"/>
    <s v="Q4"/>
    <x v="0"/>
    <x v="0"/>
    <x v="0"/>
    <x v="0"/>
  </r>
  <r>
    <x v="489"/>
    <x v="149"/>
    <s v="CUST0145"/>
    <x v="4"/>
    <x v="1"/>
    <x v="0"/>
    <x v="14"/>
    <n v="1"/>
    <n v="1905.1"/>
    <n v="0.2"/>
    <n v="1524.08"/>
    <n v="1026.31"/>
    <n v="497.77"/>
    <x v="2"/>
    <n v="73"/>
    <d v="2025-07-02T01:00:00"/>
    <s v="Jun"/>
    <n v="6"/>
    <s v="Q2"/>
    <x v="1"/>
    <x v="0"/>
    <x v="1"/>
    <x v="0"/>
  </r>
  <r>
    <x v="490"/>
    <x v="211"/>
    <s v="CUST0176"/>
    <x v="4"/>
    <x v="6"/>
    <x v="3"/>
    <x v="7"/>
    <n v="2"/>
    <n v="5701.5"/>
    <n v="0.25"/>
    <n v="4276.12"/>
    <n v="3146.06"/>
    <n v="1130.06"/>
    <x v="1"/>
    <n v="18"/>
    <d v="2025-08-11T18:00:00"/>
    <s v="Aug"/>
    <n v="8"/>
    <s v="Q3"/>
    <x v="1"/>
    <x v="0"/>
    <x v="0"/>
    <x v="1"/>
  </r>
  <r>
    <x v="491"/>
    <x v="263"/>
    <s v="CUST0152"/>
    <x v="1"/>
    <x v="1"/>
    <x v="1"/>
    <x v="8"/>
    <n v="3"/>
    <n v="20971.83"/>
    <n v="0.05"/>
    <n v="19923.240000000002"/>
    <n v="11268.93"/>
    <n v="8654.31"/>
    <x v="0"/>
    <n v="26"/>
    <d v="2025-09-08T02:00:00"/>
    <s v="Sep"/>
    <n v="9"/>
    <s v="Q3"/>
    <x v="0"/>
    <x v="0"/>
    <x v="0"/>
    <x v="0"/>
  </r>
  <r>
    <x v="492"/>
    <x v="170"/>
    <s v="CUST0182"/>
    <x v="5"/>
    <x v="5"/>
    <x v="4"/>
    <x v="21"/>
    <n v="1"/>
    <n v="4629.99"/>
    <n v="0.1"/>
    <n v="4166.99"/>
    <n v="2348.54"/>
    <n v="1818.45"/>
    <x v="3"/>
    <n v="7"/>
    <d v="2025-05-27T07:00:00"/>
    <s v="May"/>
    <n v="5"/>
    <s v="Q2"/>
    <x v="1"/>
    <x v="1"/>
    <x v="0"/>
    <x v="0"/>
  </r>
  <r>
    <x v="493"/>
    <x v="119"/>
    <s v="CUST0085"/>
    <x v="5"/>
    <x v="5"/>
    <x v="2"/>
    <x v="2"/>
    <n v="4"/>
    <n v="29322"/>
    <n v="0.25"/>
    <n v="21991.5"/>
    <n v="13915.42"/>
    <n v="8076.08"/>
    <x v="2"/>
    <n v="58"/>
    <d v="2025-04-08T10:00:00"/>
    <s v="Apr"/>
    <n v="4"/>
    <s v="Q2"/>
    <x v="1"/>
    <x v="0"/>
    <x v="1"/>
    <x v="0"/>
  </r>
  <r>
    <x v="494"/>
    <x v="108"/>
    <s v="CUST0121"/>
    <x v="6"/>
    <x v="4"/>
    <x v="2"/>
    <x v="3"/>
    <n v="1"/>
    <n v="1928.84"/>
    <n v="0.05"/>
    <n v="1832.4"/>
    <n v="1424.88"/>
    <n v="407.52"/>
    <x v="0"/>
    <n v="20"/>
    <d v="2025-09-14T20:00:00"/>
    <s v="Sep"/>
    <n v="9"/>
    <s v="Q3"/>
    <x v="0"/>
    <x v="0"/>
    <x v="0"/>
    <x v="0"/>
  </r>
  <r>
    <x v="495"/>
    <x v="162"/>
    <s v="CUST0129"/>
    <x v="8"/>
    <x v="0"/>
    <x v="3"/>
    <x v="18"/>
    <n v="4"/>
    <n v="20899.8"/>
    <n v="0.15"/>
    <n v="17764.830000000002"/>
    <n v="14766.28"/>
    <n v="2998.55"/>
    <x v="1"/>
    <n v="3"/>
    <d v="2025-11-21T03:00:00"/>
    <s v="Nov"/>
    <n v="11"/>
    <s v="Q4"/>
    <x v="1"/>
    <x v="0"/>
    <x v="0"/>
    <x v="1"/>
  </r>
  <r>
    <x v="496"/>
    <x v="200"/>
    <s v="CUST0006"/>
    <x v="0"/>
    <x v="6"/>
    <x v="2"/>
    <x v="11"/>
    <n v="1"/>
    <n v="849.65"/>
    <n v="0.05"/>
    <n v="807.17"/>
    <n v="592.89"/>
    <n v="214.28"/>
    <x v="0"/>
    <n v="43"/>
    <d v="2025-01-05T19:00:00"/>
    <s v="Jan"/>
    <n v="1"/>
    <s v="Q1"/>
    <x v="0"/>
    <x v="0"/>
    <x v="0"/>
    <x v="0"/>
  </r>
  <r>
    <x v="497"/>
    <x v="265"/>
    <s v="CUST0183"/>
    <x v="0"/>
    <x v="0"/>
    <x v="2"/>
    <x v="24"/>
    <n v="7"/>
    <n v="38636.92"/>
    <n v="0.1"/>
    <n v="34773.230000000003"/>
    <n v="25231.59"/>
    <n v="9541.64"/>
    <x v="3"/>
    <n v="2"/>
    <d v="2025-01-16T02:00:00"/>
    <s v="Jan"/>
    <n v="1"/>
    <s v="Q1"/>
    <x v="1"/>
    <x v="1"/>
    <x v="0"/>
    <x v="0"/>
  </r>
  <r>
    <x v="498"/>
    <x v="77"/>
    <s v="CUST0038"/>
    <x v="9"/>
    <x v="0"/>
    <x v="1"/>
    <x v="10"/>
    <n v="3"/>
    <n v="19551.48"/>
    <n v="0.05"/>
    <n v="18573.91"/>
    <n v="12681.56"/>
    <n v="5892.35"/>
    <x v="0"/>
    <n v="6"/>
    <d v="2025-10-07T06:00:00"/>
    <s v="Oct"/>
    <n v="10"/>
    <s v="Q4"/>
    <x v="0"/>
    <x v="0"/>
    <x v="0"/>
    <x v="0"/>
  </r>
  <r>
    <x v="499"/>
    <x v="266"/>
    <s v="CUST0116"/>
    <x v="6"/>
    <x v="0"/>
    <x v="0"/>
    <x v="6"/>
    <n v="3"/>
    <n v="15102.51"/>
    <n v="0.2"/>
    <n v="12082.01"/>
    <n v="7289.41"/>
    <n v="4792.6000000000004"/>
    <x v="2"/>
    <n v="58"/>
    <d v="2025-12-04T10:00:00"/>
    <s v="Dec"/>
    <n v="12"/>
    <s v="Q4"/>
    <x v="1"/>
    <x v="0"/>
    <x v="1"/>
    <x v="0"/>
  </r>
  <r>
    <x v="500"/>
    <x v="157"/>
    <s v="CUST0102"/>
    <x v="4"/>
    <x v="6"/>
    <x v="3"/>
    <x v="20"/>
    <n v="1"/>
    <n v="2373.0300000000002"/>
    <n v="0.1"/>
    <n v="2135.73"/>
    <n v="1258.07"/>
    <n v="877.66"/>
    <x v="0"/>
    <n v="29"/>
    <d v="2025-09-05T05:00:00"/>
    <s v="Sep"/>
    <n v="9"/>
    <s v="Q3"/>
    <x v="0"/>
    <x v="0"/>
    <x v="0"/>
    <x v="0"/>
  </r>
  <r>
    <x v="501"/>
    <x v="17"/>
    <s v="CUST0008"/>
    <x v="6"/>
    <x v="0"/>
    <x v="1"/>
    <x v="4"/>
    <n v="7"/>
    <n v="2881.97"/>
    <n v="0"/>
    <n v="2881.97"/>
    <n v="2308.5300000000002"/>
    <n v="573.44000000000005"/>
    <x v="0"/>
    <n v="26"/>
    <d v="2025-09-16T02:00:00"/>
    <s v="Sep"/>
    <n v="9"/>
    <s v="Q3"/>
    <x v="0"/>
    <x v="0"/>
    <x v="0"/>
    <x v="0"/>
  </r>
  <r>
    <x v="502"/>
    <x v="126"/>
    <s v="CUST0218"/>
    <x v="6"/>
    <x v="6"/>
    <x v="0"/>
    <x v="19"/>
    <n v="2"/>
    <n v="2294.8000000000002"/>
    <n v="0.05"/>
    <n v="2180.06"/>
    <n v="1866.3"/>
    <n v="313.76"/>
    <x v="0"/>
    <n v="9"/>
    <d v="2025-06-09T09:00:00"/>
    <s v="Jun"/>
    <n v="6"/>
    <s v="Q2"/>
    <x v="0"/>
    <x v="0"/>
    <x v="0"/>
    <x v="0"/>
  </r>
  <r>
    <x v="503"/>
    <x v="51"/>
    <s v="CUST0207"/>
    <x v="6"/>
    <x v="3"/>
    <x v="1"/>
    <x v="1"/>
    <n v="3"/>
    <n v="16038.69"/>
    <n v="0.1"/>
    <n v="14434.82"/>
    <n v="10122.18"/>
    <n v="4312.6400000000003"/>
    <x v="0"/>
    <n v="31"/>
    <d v="2025-12-07T07:00:00"/>
    <s v="Dec"/>
    <n v="12"/>
    <s v="Q4"/>
    <x v="0"/>
    <x v="0"/>
    <x v="0"/>
    <x v="0"/>
  </r>
  <r>
    <x v="504"/>
    <x v="13"/>
    <s v="CUST0078"/>
    <x v="5"/>
    <x v="5"/>
    <x v="1"/>
    <x v="4"/>
    <n v="4"/>
    <n v="31809.64"/>
    <n v="0.25"/>
    <n v="23857.23"/>
    <n v="18313.22"/>
    <n v="5544.01"/>
    <x v="1"/>
    <n v="17"/>
    <d v="2025-06-01T17:00:00"/>
    <s v="Jun"/>
    <n v="6"/>
    <s v="Q2"/>
    <x v="1"/>
    <x v="0"/>
    <x v="0"/>
    <x v="1"/>
  </r>
  <r>
    <x v="505"/>
    <x v="267"/>
    <s v="CUST0055"/>
    <x v="6"/>
    <x v="2"/>
    <x v="2"/>
    <x v="24"/>
    <n v="4"/>
    <n v="7498.24"/>
    <n v="0.15"/>
    <n v="6373.5"/>
    <n v="5428.76"/>
    <n v="944.74"/>
    <x v="1"/>
    <n v="23"/>
    <d v="2025-06-27T23:00:00"/>
    <s v="Jun"/>
    <n v="6"/>
    <s v="Q2"/>
    <x v="1"/>
    <x v="0"/>
    <x v="0"/>
    <x v="1"/>
  </r>
  <r>
    <x v="506"/>
    <x v="90"/>
    <s v="CUST0228"/>
    <x v="3"/>
    <x v="4"/>
    <x v="0"/>
    <x v="19"/>
    <n v="5"/>
    <n v="31437.35"/>
    <n v="0.1"/>
    <n v="28293.62"/>
    <n v="16402.87"/>
    <n v="11890.75"/>
    <x v="2"/>
    <n v="74"/>
    <d v="2025-06-15T02:00:00"/>
    <s v="Jun"/>
    <n v="6"/>
    <s v="Q2"/>
    <x v="1"/>
    <x v="0"/>
    <x v="1"/>
    <x v="0"/>
  </r>
  <r>
    <x v="507"/>
    <x v="98"/>
    <s v="CUST0088"/>
    <x v="0"/>
    <x v="7"/>
    <x v="3"/>
    <x v="12"/>
    <n v="6"/>
    <n v="44309.22"/>
    <n v="0.05"/>
    <n v="42093.760000000002"/>
    <n v="33854.28"/>
    <n v="8239.48"/>
    <x v="2"/>
    <n v="74"/>
    <d v="2025-02-05T02:00:00"/>
    <s v="Feb"/>
    <n v="2"/>
    <s v="Q1"/>
    <x v="1"/>
    <x v="0"/>
    <x v="1"/>
    <x v="0"/>
  </r>
  <r>
    <x v="508"/>
    <x v="115"/>
    <s v="CUST0010"/>
    <x v="9"/>
    <x v="0"/>
    <x v="3"/>
    <x v="20"/>
    <n v="7"/>
    <n v="31495.59"/>
    <n v="0.1"/>
    <n v="28346.03"/>
    <n v="21360.14"/>
    <n v="6985.89"/>
    <x v="0"/>
    <n v="41"/>
    <d v="2025-06-29T17:00:00"/>
    <s v="Jun"/>
    <n v="6"/>
    <s v="Q2"/>
    <x v="0"/>
    <x v="0"/>
    <x v="0"/>
    <x v="0"/>
  </r>
  <r>
    <x v="509"/>
    <x v="107"/>
    <s v="CUST0290"/>
    <x v="3"/>
    <x v="1"/>
    <x v="0"/>
    <x v="17"/>
    <n v="6"/>
    <n v="34430.22"/>
    <n v="0.15"/>
    <n v="29265.69"/>
    <n v="21877.57"/>
    <n v="7388.12"/>
    <x v="2"/>
    <n v="69"/>
    <d v="2025-04-13T21:00:00"/>
    <s v="Apr"/>
    <n v="4"/>
    <s v="Q2"/>
    <x v="1"/>
    <x v="0"/>
    <x v="1"/>
    <x v="0"/>
  </r>
  <r>
    <x v="510"/>
    <x v="97"/>
    <s v="CUST0164"/>
    <x v="9"/>
    <x v="3"/>
    <x v="2"/>
    <x v="2"/>
    <n v="6"/>
    <n v="41732.28"/>
    <n v="0.15"/>
    <n v="35472.44"/>
    <n v="22934.29"/>
    <n v="12538.15"/>
    <x v="0"/>
    <n v="26"/>
    <d v="2025-09-26T02:00:00"/>
    <s v="Sep"/>
    <n v="9"/>
    <s v="Q3"/>
    <x v="0"/>
    <x v="0"/>
    <x v="0"/>
    <x v="0"/>
  </r>
  <r>
    <x v="511"/>
    <x v="208"/>
    <s v="CUST0239"/>
    <x v="1"/>
    <x v="1"/>
    <x v="4"/>
    <x v="13"/>
    <n v="4"/>
    <n v="9306.56"/>
    <n v="0.05"/>
    <n v="8841.23"/>
    <n v="6858.01"/>
    <n v="1983.22"/>
    <x v="1"/>
    <n v="10"/>
    <d v="2025-11-19T10:00:00"/>
    <s v="Nov"/>
    <n v="11"/>
    <s v="Q4"/>
    <x v="1"/>
    <x v="0"/>
    <x v="0"/>
    <x v="1"/>
  </r>
  <r>
    <x v="512"/>
    <x v="83"/>
    <s v="CUST0144"/>
    <x v="9"/>
    <x v="7"/>
    <x v="1"/>
    <x v="1"/>
    <n v="5"/>
    <n v="13145.4"/>
    <n v="0.15"/>
    <n v="11173.59"/>
    <n v="9076.1200000000008"/>
    <n v="2097.4699999999998"/>
    <x v="1"/>
    <n v="9"/>
    <d v="2025-03-06T09:00:00"/>
    <s v="Mar"/>
    <n v="3"/>
    <s v="Q1"/>
    <x v="1"/>
    <x v="0"/>
    <x v="0"/>
    <x v="1"/>
  </r>
  <r>
    <x v="513"/>
    <x v="268"/>
    <s v="CUST0018"/>
    <x v="0"/>
    <x v="6"/>
    <x v="2"/>
    <x v="15"/>
    <n v="6"/>
    <n v="931.44"/>
    <n v="0.1"/>
    <n v="838.3"/>
    <n v="492.29"/>
    <n v="346.01"/>
    <x v="0"/>
    <n v="30"/>
    <d v="2025-06-18T06:00:00"/>
    <s v="Jun"/>
    <n v="6"/>
    <s v="Q2"/>
    <x v="0"/>
    <x v="0"/>
    <x v="0"/>
    <x v="0"/>
  </r>
  <r>
    <x v="514"/>
    <x v="269"/>
    <s v="CUST0071"/>
    <x v="0"/>
    <x v="7"/>
    <x v="0"/>
    <x v="6"/>
    <n v="6"/>
    <n v="49151.040000000001"/>
    <n v="0.25"/>
    <n v="36863.279999999999"/>
    <n v="26765.03"/>
    <n v="10098.25"/>
    <x v="0"/>
    <n v="4"/>
    <d v="2025-11-26T04:00:00"/>
    <s v="Nov"/>
    <n v="11"/>
    <s v="Q4"/>
    <x v="0"/>
    <x v="0"/>
    <x v="0"/>
    <x v="0"/>
  </r>
  <r>
    <x v="515"/>
    <x v="270"/>
    <s v="CUST0175"/>
    <x v="6"/>
    <x v="1"/>
    <x v="1"/>
    <x v="10"/>
    <n v="1"/>
    <n v="7811.5"/>
    <n v="0.2"/>
    <n v="6249.2"/>
    <n v="3645.89"/>
    <n v="2603.31"/>
    <x v="3"/>
    <n v="12"/>
    <d v="2025-02-12T12:00:00"/>
    <s v="Feb"/>
    <n v="2"/>
    <s v="Q1"/>
    <x v="1"/>
    <x v="1"/>
    <x v="0"/>
    <x v="0"/>
  </r>
  <r>
    <x v="516"/>
    <x v="65"/>
    <s v="CUST0288"/>
    <x v="2"/>
    <x v="5"/>
    <x v="3"/>
    <x v="12"/>
    <n v="1"/>
    <n v="6534.15"/>
    <n v="0.15"/>
    <n v="5554.03"/>
    <n v="4654"/>
    <n v="900.03"/>
    <x v="1"/>
    <n v="5"/>
    <d v="2025-02-13T05:00:00"/>
    <s v="Feb"/>
    <n v="2"/>
    <s v="Q1"/>
    <x v="1"/>
    <x v="0"/>
    <x v="0"/>
    <x v="1"/>
  </r>
  <r>
    <x v="517"/>
    <x v="257"/>
    <s v="CUST0299"/>
    <x v="1"/>
    <x v="5"/>
    <x v="4"/>
    <x v="13"/>
    <n v="1"/>
    <n v="810.28"/>
    <n v="0.15"/>
    <n v="688.74"/>
    <n v="494.18"/>
    <n v="194.56"/>
    <x v="0"/>
    <n v="48"/>
    <d v="2025-10-14T00:00:00"/>
    <s v="Oct"/>
    <n v="10"/>
    <s v="Q4"/>
    <x v="0"/>
    <x v="0"/>
    <x v="0"/>
    <x v="0"/>
  </r>
  <r>
    <x v="518"/>
    <x v="271"/>
    <s v="CUST0248"/>
    <x v="4"/>
    <x v="7"/>
    <x v="3"/>
    <x v="16"/>
    <n v="2"/>
    <n v="7773.3"/>
    <n v="0.05"/>
    <n v="7384.64"/>
    <n v="6030.51"/>
    <n v="1354.13"/>
    <x v="0"/>
    <n v="6"/>
    <d v="2025-01-12T06:00:00"/>
    <s v="Jan"/>
    <n v="1"/>
    <s v="Q1"/>
    <x v="0"/>
    <x v="0"/>
    <x v="0"/>
    <x v="0"/>
  </r>
  <r>
    <x v="519"/>
    <x v="206"/>
    <s v="CUST0193"/>
    <x v="7"/>
    <x v="5"/>
    <x v="0"/>
    <x v="19"/>
    <n v="6"/>
    <n v="6004.8"/>
    <n v="0.15"/>
    <n v="5104.08"/>
    <n v="3427.23"/>
    <n v="1676.85"/>
    <x v="0"/>
    <n v="40"/>
    <d v="2025-04-06T16:00:00"/>
    <s v="Apr"/>
    <n v="4"/>
    <s v="Q2"/>
    <x v="0"/>
    <x v="0"/>
    <x v="0"/>
    <x v="0"/>
  </r>
  <r>
    <x v="520"/>
    <x v="204"/>
    <s v="CUST0268"/>
    <x v="9"/>
    <x v="4"/>
    <x v="1"/>
    <x v="1"/>
    <n v="2"/>
    <n v="565.86"/>
    <n v="0.05"/>
    <n v="537.57000000000005"/>
    <n v="317.85000000000002"/>
    <n v="219.72"/>
    <x v="0"/>
    <n v="34"/>
    <d v="2025-10-30T10:00:00"/>
    <s v="Oct"/>
    <n v="10"/>
    <s v="Q4"/>
    <x v="0"/>
    <x v="0"/>
    <x v="0"/>
    <x v="0"/>
  </r>
  <r>
    <x v="521"/>
    <x v="25"/>
    <s v="CUST0204"/>
    <x v="2"/>
    <x v="7"/>
    <x v="0"/>
    <x v="6"/>
    <n v="5"/>
    <n v="26475.65"/>
    <n v="0.05"/>
    <n v="25151.87"/>
    <n v="14177.98"/>
    <n v="10973.89"/>
    <x v="2"/>
    <n v="50"/>
    <d v="2025-09-12T02:00:00"/>
    <s v="Sep"/>
    <n v="9"/>
    <s v="Q3"/>
    <x v="1"/>
    <x v="0"/>
    <x v="1"/>
    <x v="0"/>
  </r>
  <r>
    <x v="522"/>
    <x v="47"/>
    <s v="CUST0123"/>
    <x v="6"/>
    <x v="0"/>
    <x v="1"/>
    <x v="8"/>
    <n v="7"/>
    <n v="57210.51"/>
    <n v="0.05"/>
    <n v="54349.98"/>
    <n v="34941.5"/>
    <n v="19408.48"/>
    <x v="2"/>
    <n v="63"/>
    <d v="2025-09-01T15:00:00"/>
    <s v="Aug"/>
    <n v="8"/>
    <s v="Q3"/>
    <x v="1"/>
    <x v="0"/>
    <x v="1"/>
    <x v="0"/>
  </r>
  <r>
    <x v="523"/>
    <x v="54"/>
    <s v="CUST0058"/>
    <x v="5"/>
    <x v="4"/>
    <x v="2"/>
    <x v="15"/>
    <n v="4"/>
    <n v="30755.8"/>
    <n v="0.15"/>
    <n v="26142.43"/>
    <n v="16485.34"/>
    <n v="9657.09"/>
    <x v="3"/>
    <n v="13"/>
    <d v="2025-02-04T13:00:00"/>
    <s v="Feb"/>
    <n v="2"/>
    <s v="Q1"/>
    <x v="1"/>
    <x v="1"/>
    <x v="0"/>
    <x v="0"/>
  </r>
  <r>
    <x v="524"/>
    <x v="8"/>
    <s v="CUST0201"/>
    <x v="4"/>
    <x v="0"/>
    <x v="4"/>
    <x v="21"/>
    <n v="6"/>
    <n v="35807.4"/>
    <n v="0"/>
    <n v="35807.4"/>
    <n v="26315.439999999999"/>
    <n v="9491.9599999999991"/>
    <x v="0"/>
    <n v="38"/>
    <d v="2025-08-04T14:00:00"/>
    <s v="Aug"/>
    <n v="8"/>
    <s v="Q3"/>
    <x v="0"/>
    <x v="0"/>
    <x v="0"/>
    <x v="0"/>
  </r>
  <r>
    <x v="525"/>
    <x v="272"/>
    <s v="CUST0112"/>
    <x v="8"/>
    <x v="2"/>
    <x v="2"/>
    <x v="2"/>
    <n v="4"/>
    <n v="3827.8"/>
    <n v="0.1"/>
    <n v="3445.02"/>
    <n v="1919.47"/>
    <n v="1525.55"/>
    <x v="0"/>
    <n v="9"/>
    <d v="2025-12-03T09:00:00"/>
    <s v="Dec"/>
    <n v="12"/>
    <s v="Q4"/>
    <x v="0"/>
    <x v="0"/>
    <x v="0"/>
    <x v="0"/>
  </r>
  <r>
    <x v="526"/>
    <x v="273"/>
    <s v="CUST0128"/>
    <x v="2"/>
    <x v="2"/>
    <x v="2"/>
    <x v="11"/>
    <n v="7"/>
    <n v="17074.89"/>
    <n v="0.1"/>
    <n v="15367.4"/>
    <n v="11092.01"/>
    <n v="4275.3900000000003"/>
    <x v="0"/>
    <n v="6"/>
    <d v="2025-03-31T06:00:00"/>
    <s v="Mar"/>
    <n v="3"/>
    <s v="Q1"/>
    <x v="0"/>
    <x v="0"/>
    <x v="0"/>
    <x v="0"/>
  </r>
  <r>
    <x v="527"/>
    <x v="53"/>
    <s v="CUST0036"/>
    <x v="5"/>
    <x v="7"/>
    <x v="0"/>
    <x v="17"/>
    <n v="1"/>
    <n v="2822.47"/>
    <n v="0"/>
    <n v="2822.47"/>
    <n v="1917.26"/>
    <n v="905.21"/>
    <x v="0"/>
    <n v="8"/>
    <d v="2025-09-21T08:00:00"/>
    <s v="Sep"/>
    <n v="9"/>
    <s v="Q3"/>
    <x v="0"/>
    <x v="0"/>
    <x v="0"/>
    <x v="0"/>
  </r>
  <r>
    <x v="528"/>
    <x v="274"/>
    <s v="CUST0234"/>
    <x v="1"/>
    <x v="4"/>
    <x v="4"/>
    <x v="23"/>
    <n v="6"/>
    <n v="39133.800000000003"/>
    <n v="0"/>
    <n v="39133.800000000003"/>
    <n v="28976.639999999999"/>
    <n v="10157.16"/>
    <x v="0"/>
    <n v="12"/>
    <d v="2025-04-03T12:00:00"/>
    <s v="Apr"/>
    <n v="4"/>
    <s v="Q2"/>
    <x v="0"/>
    <x v="0"/>
    <x v="0"/>
    <x v="0"/>
  </r>
  <r>
    <x v="529"/>
    <x v="273"/>
    <s v="CUST0047"/>
    <x v="6"/>
    <x v="5"/>
    <x v="1"/>
    <x v="8"/>
    <n v="3"/>
    <n v="20546.34"/>
    <n v="0.15"/>
    <n v="17464.39"/>
    <n v="13653.62"/>
    <n v="3810.77"/>
    <x v="0"/>
    <n v="31"/>
    <d v="2025-04-01T07:00:00"/>
    <s v="Mar"/>
    <n v="3"/>
    <s v="Q1"/>
    <x v="0"/>
    <x v="0"/>
    <x v="0"/>
    <x v="0"/>
  </r>
  <r>
    <x v="530"/>
    <x v="275"/>
    <s v="CUST0115"/>
    <x v="4"/>
    <x v="4"/>
    <x v="1"/>
    <x v="1"/>
    <n v="2"/>
    <n v="6731.28"/>
    <n v="0.15"/>
    <n v="5721.59"/>
    <n v="4344.12"/>
    <n v="1377.47"/>
    <x v="3"/>
    <n v="14"/>
    <d v="2025-04-25T14:00:00"/>
    <s v="Apr"/>
    <n v="4"/>
    <s v="Q2"/>
    <x v="1"/>
    <x v="1"/>
    <x v="0"/>
    <x v="0"/>
  </r>
  <r>
    <x v="531"/>
    <x v="276"/>
    <s v="CUST0255"/>
    <x v="4"/>
    <x v="2"/>
    <x v="3"/>
    <x v="7"/>
    <n v="2"/>
    <n v="7278.66"/>
    <n v="0.05"/>
    <n v="6914.73"/>
    <n v="6049.92"/>
    <n v="864.81"/>
    <x v="0"/>
    <n v="31"/>
    <d v="2025-04-16T07:00:00"/>
    <s v="Apr"/>
    <n v="4"/>
    <s v="Q2"/>
    <x v="0"/>
    <x v="0"/>
    <x v="0"/>
    <x v="0"/>
  </r>
  <r>
    <x v="532"/>
    <x v="235"/>
    <s v="CUST0223"/>
    <x v="4"/>
    <x v="7"/>
    <x v="1"/>
    <x v="8"/>
    <n v="6"/>
    <n v="3129.9"/>
    <n v="0.2"/>
    <n v="2503.92"/>
    <n v="1491.4"/>
    <n v="1012.52"/>
    <x v="3"/>
    <n v="0"/>
    <d v="2025-07-15T00:00:00"/>
    <s v="Jul"/>
    <n v="7"/>
    <s v="Q3"/>
    <x v="1"/>
    <x v="1"/>
    <x v="0"/>
    <x v="0"/>
  </r>
  <r>
    <x v="533"/>
    <x v="23"/>
    <s v="CUST0124"/>
    <x v="1"/>
    <x v="3"/>
    <x v="0"/>
    <x v="19"/>
    <n v="7"/>
    <n v="17950.03"/>
    <n v="0.15"/>
    <n v="15257.53"/>
    <n v="10555.36"/>
    <n v="4702.17"/>
    <x v="0"/>
    <n v="16"/>
    <d v="2025-11-10T16:00:00"/>
    <s v="Nov"/>
    <n v="11"/>
    <s v="Q4"/>
    <x v="0"/>
    <x v="0"/>
    <x v="0"/>
    <x v="0"/>
  </r>
  <r>
    <x v="534"/>
    <x v="214"/>
    <s v="CUST0160"/>
    <x v="9"/>
    <x v="6"/>
    <x v="2"/>
    <x v="2"/>
    <n v="1"/>
    <n v="3918.23"/>
    <n v="0.05"/>
    <n v="3722.32"/>
    <n v="2569.12"/>
    <n v="1153.2"/>
    <x v="0"/>
    <n v="41"/>
    <d v="2025-04-25T17:00:00"/>
    <s v="Apr"/>
    <n v="4"/>
    <s v="Q2"/>
    <x v="0"/>
    <x v="0"/>
    <x v="0"/>
    <x v="0"/>
  </r>
  <r>
    <x v="535"/>
    <x v="184"/>
    <s v="CUST0096"/>
    <x v="8"/>
    <x v="6"/>
    <x v="2"/>
    <x v="24"/>
    <n v="2"/>
    <n v="2253.62"/>
    <n v="0.15"/>
    <n v="1915.58"/>
    <n v="1317.21"/>
    <n v="598.37"/>
    <x v="0"/>
    <n v="46"/>
    <d v="2025-03-17T22:00:00"/>
    <s v="Mar"/>
    <n v="3"/>
    <s v="Q1"/>
    <x v="0"/>
    <x v="0"/>
    <x v="0"/>
    <x v="0"/>
  </r>
  <r>
    <x v="536"/>
    <x v="78"/>
    <s v="CUST0107"/>
    <x v="1"/>
    <x v="6"/>
    <x v="2"/>
    <x v="15"/>
    <n v="1"/>
    <n v="3934.78"/>
    <n v="0.25"/>
    <n v="2951.08"/>
    <n v="2269.54"/>
    <n v="681.54"/>
    <x v="3"/>
    <n v="18"/>
    <d v="2025-08-05T18:00:00"/>
    <s v="Aug"/>
    <n v="8"/>
    <s v="Q3"/>
    <x v="1"/>
    <x v="1"/>
    <x v="0"/>
    <x v="0"/>
  </r>
  <r>
    <x v="537"/>
    <x v="21"/>
    <s v="CUST0120"/>
    <x v="7"/>
    <x v="5"/>
    <x v="4"/>
    <x v="13"/>
    <n v="5"/>
    <n v="36370.1"/>
    <n v="0.1"/>
    <n v="32733.09"/>
    <n v="23294.28"/>
    <n v="9438.81"/>
    <x v="2"/>
    <n v="90"/>
    <d v="2025-10-07T18:00:00"/>
    <s v="Oct"/>
    <n v="10"/>
    <s v="Q4"/>
    <x v="1"/>
    <x v="0"/>
    <x v="1"/>
    <x v="0"/>
  </r>
  <r>
    <x v="538"/>
    <x v="277"/>
    <s v="CUST0101"/>
    <x v="8"/>
    <x v="4"/>
    <x v="1"/>
    <x v="1"/>
    <n v="4"/>
    <n v="20016.12"/>
    <n v="0.05"/>
    <n v="19015.310000000001"/>
    <n v="13705.34"/>
    <n v="5309.97"/>
    <x v="0"/>
    <n v="9"/>
    <d v="2025-09-06T09:00:00"/>
    <s v="Sep"/>
    <n v="9"/>
    <s v="Q3"/>
    <x v="0"/>
    <x v="0"/>
    <x v="0"/>
    <x v="0"/>
  </r>
  <r>
    <x v="539"/>
    <x v="278"/>
    <s v="CUST0103"/>
    <x v="0"/>
    <x v="5"/>
    <x v="0"/>
    <x v="19"/>
    <n v="7"/>
    <n v="5663.42"/>
    <n v="0.2"/>
    <n v="4530.74"/>
    <n v="3138.34"/>
    <n v="1392.4"/>
    <x v="2"/>
    <n v="51"/>
    <d v="2025-06-15T03:00:00"/>
    <s v="Jun"/>
    <n v="6"/>
    <s v="Q2"/>
    <x v="1"/>
    <x v="0"/>
    <x v="1"/>
    <x v="0"/>
  </r>
  <r>
    <x v="540"/>
    <x v="261"/>
    <s v="CUST0166"/>
    <x v="6"/>
    <x v="2"/>
    <x v="4"/>
    <x v="13"/>
    <n v="3"/>
    <n v="5251.38"/>
    <n v="0.1"/>
    <n v="4726.24"/>
    <n v="4146.1499999999996"/>
    <n v="580.09"/>
    <x v="3"/>
    <n v="13"/>
    <d v="2025-12-23T13:00:00"/>
    <s v="Dec"/>
    <n v="12"/>
    <s v="Q4"/>
    <x v="1"/>
    <x v="1"/>
    <x v="0"/>
    <x v="0"/>
  </r>
  <r>
    <x v="541"/>
    <x v="20"/>
    <s v="CUST0186"/>
    <x v="1"/>
    <x v="6"/>
    <x v="3"/>
    <x v="7"/>
    <n v="4"/>
    <n v="16449.8"/>
    <n v="0"/>
    <n v="16449.8"/>
    <n v="14082.6"/>
    <n v="2367.1999999999998"/>
    <x v="1"/>
    <n v="8"/>
    <d v="2025-07-11T08:00:00"/>
    <s v="Jul"/>
    <n v="7"/>
    <s v="Q3"/>
    <x v="1"/>
    <x v="0"/>
    <x v="0"/>
    <x v="1"/>
  </r>
  <r>
    <x v="542"/>
    <x v="106"/>
    <s v="CUST0032"/>
    <x v="5"/>
    <x v="2"/>
    <x v="0"/>
    <x v="0"/>
    <n v="4"/>
    <n v="12673.68"/>
    <n v="0.1"/>
    <n v="11406.31"/>
    <n v="7431.77"/>
    <n v="3974.54"/>
    <x v="3"/>
    <n v="7"/>
    <d v="2025-08-15T07:00:00"/>
    <s v="Aug"/>
    <n v="8"/>
    <s v="Q3"/>
    <x v="1"/>
    <x v="1"/>
    <x v="0"/>
    <x v="0"/>
  </r>
  <r>
    <x v="543"/>
    <x v="279"/>
    <s v="CUST0066"/>
    <x v="8"/>
    <x v="4"/>
    <x v="0"/>
    <x v="19"/>
    <n v="5"/>
    <n v="15726.85"/>
    <n v="0.1"/>
    <n v="14154.16"/>
    <n v="8306.0300000000007"/>
    <n v="5848.13"/>
    <x v="0"/>
    <n v="42"/>
    <d v="2025-06-27T18:00:00"/>
    <s v="Jun"/>
    <n v="6"/>
    <s v="Q2"/>
    <x v="0"/>
    <x v="0"/>
    <x v="0"/>
    <x v="0"/>
  </r>
  <r>
    <x v="544"/>
    <x v="103"/>
    <s v="CUST0179"/>
    <x v="7"/>
    <x v="2"/>
    <x v="0"/>
    <x v="14"/>
    <n v="2"/>
    <n v="9138.76"/>
    <n v="0.2"/>
    <n v="7311.01"/>
    <n v="6047.1"/>
    <n v="1263.9100000000001"/>
    <x v="1"/>
    <n v="22"/>
    <d v="2025-04-09T22:00:00"/>
    <s v="Apr"/>
    <n v="4"/>
    <s v="Q2"/>
    <x v="1"/>
    <x v="0"/>
    <x v="0"/>
    <x v="1"/>
  </r>
  <r>
    <x v="545"/>
    <x v="124"/>
    <s v="CUST0267"/>
    <x v="0"/>
    <x v="3"/>
    <x v="2"/>
    <x v="3"/>
    <n v="3"/>
    <n v="15089.13"/>
    <n v="0.1"/>
    <n v="13580.22"/>
    <n v="11937.91"/>
    <n v="1642.31"/>
    <x v="1"/>
    <n v="22"/>
    <d v="2025-02-05T22:00:00"/>
    <s v="Feb"/>
    <n v="2"/>
    <s v="Q1"/>
    <x v="1"/>
    <x v="0"/>
    <x v="0"/>
    <x v="1"/>
  </r>
  <r>
    <x v="546"/>
    <x v="119"/>
    <s v="CUST0037"/>
    <x v="9"/>
    <x v="5"/>
    <x v="0"/>
    <x v="14"/>
    <n v="2"/>
    <n v="13607.58"/>
    <n v="0.05"/>
    <n v="12927.2"/>
    <n v="8358.2199999999993"/>
    <n v="4568.9799999999996"/>
    <x v="0"/>
    <n v="24"/>
    <d v="2025-04-07T00:00:00"/>
    <s v="Apr"/>
    <n v="4"/>
    <s v="Q2"/>
    <x v="0"/>
    <x v="0"/>
    <x v="0"/>
    <x v="0"/>
  </r>
  <r>
    <x v="547"/>
    <x v="13"/>
    <s v="CUST0201"/>
    <x v="5"/>
    <x v="7"/>
    <x v="1"/>
    <x v="5"/>
    <n v="6"/>
    <n v="17982.419999999998"/>
    <n v="0.1"/>
    <n v="16184.18"/>
    <n v="10812.15"/>
    <n v="5372.03"/>
    <x v="1"/>
    <n v="15"/>
    <d v="2025-06-01T15:00:00"/>
    <s v="Jun"/>
    <n v="6"/>
    <s v="Q2"/>
    <x v="1"/>
    <x v="0"/>
    <x v="0"/>
    <x v="1"/>
  </r>
  <r>
    <x v="548"/>
    <x v="175"/>
    <s v="CUST0049"/>
    <x v="8"/>
    <x v="2"/>
    <x v="0"/>
    <x v="6"/>
    <n v="4"/>
    <n v="27502.560000000001"/>
    <n v="0.1"/>
    <n v="24752.3"/>
    <n v="21305.27"/>
    <n v="3447.03"/>
    <x v="0"/>
    <n v="28"/>
    <d v="2025-06-01T04:00:00"/>
    <s v="May"/>
    <n v="5"/>
    <s v="Q2"/>
    <x v="0"/>
    <x v="0"/>
    <x v="0"/>
    <x v="0"/>
  </r>
  <r>
    <x v="549"/>
    <x v="32"/>
    <s v="CUST0275"/>
    <x v="6"/>
    <x v="2"/>
    <x v="2"/>
    <x v="15"/>
    <n v="6"/>
    <n v="17864.400000000001"/>
    <n v="0.05"/>
    <n v="16971.18"/>
    <n v="13316.82"/>
    <n v="3654.36"/>
    <x v="0"/>
    <n v="35"/>
    <d v="2025-07-10T11:00:00"/>
    <s v="Jul"/>
    <n v="7"/>
    <s v="Q3"/>
    <x v="0"/>
    <x v="0"/>
    <x v="0"/>
    <x v="0"/>
  </r>
  <r>
    <x v="550"/>
    <x v="155"/>
    <s v="CUST0168"/>
    <x v="5"/>
    <x v="7"/>
    <x v="0"/>
    <x v="17"/>
    <n v="1"/>
    <n v="612.87"/>
    <n v="0.1"/>
    <n v="551.58000000000004"/>
    <n v="357.18"/>
    <n v="194.4"/>
    <x v="2"/>
    <n v="75"/>
    <d v="2025-08-15T03:00:00"/>
    <s v="Aug"/>
    <n v="8"/>
    <s v="Q3"/>
    <x v="1"/>
    <x v="0"/>
    <x v="1"/>
    <x v="0"/>
  </r>
  <r>
    <x v="551"/>
    <x v="182"/>
    <s v="CUST0263"/>
    <x v="0"/>
    <x v="4"/>
    <x v="3"/>
    <x v="18"/>
    <n v="4"/>
    <n v="19109.88"/>
    <n v="0.15"/>
    <n v="16243.4"/>
    <n v="12048.47"/>
    <n v="4194.93"/>
    <x v="0"/>
    <n v="8"/>
    <d v="2025-02-06T08:00:00"/>
    <s v="Feb"/>
    <n v="2"/>
    <s v="Q1"/>
    <x v="0"/>
    <x v="0"/>
    <x v="0"/>
    <x v="0"/>
  </r>
  <r>
    <x v="552"/>
    <x v="97"/>
    <s v="CUST0133"/>
    <x v="5"/>
    <x v="4"/>
    <x v="3"/>
    <x v="12"/>
    <n v="2"/>
    <n v="10117.959999999999"/>
    <n v="0"/>
    <n v="10117.959999999999"/>
    <n v="8717.59"/>
    <n v="1400.37"/>
    <x v="0"/>
    <n v="33"/>
    <d v="2025-09-26T09:00:00"/>
    <s v="Sep"/>
    <n v="9"/>
    <s v="Q3"/>
    <x v="0"/>
    <x v="0"/>
    <x v="0"/>
    <x v="0"/>
  </r>
  <r>
    <x v="553"/>
    <x v="280"/>
    <s v="CUST0298"/>
    <x v="3"/>
    <x v="5"/>
    <x v="2"/>
    <x v="15"/>
    <n v="4"/>
    <n v="31813.64"/>
    <n v="0.1"/>
    <n v="28632.28"/>
    <n v="23418.29"/>
    <n v="5213.99"/>
    <x v="0"/>
    <n v="11"/>
    <d v="2025-07-02T11:00:00"/>
    <s v="Jul"/>
    <n v="7"/>
    <s v="Q3"/>
    <x v="0"/>
    <x v="0"/>
    <x v="0"/>
    <x v="0"/>
  </r>
  <r>
    <x v="554"/>
    <x v="125"/>
    <s v="CUST0176"/>
    <x v="2"/>
    <x v="2"/>
    <x v="1"/>
    <x v="5"/>
    <n v="1"/>
    <n v="6212.61"/>
    <n v="0.05"/>
    <n v="5901.98"/>
    <n v="4690.92"/>
    <n v="1211.06"/>
    <x v="0"/>
    <n v="22"/>
    <d v="2025-01-13T22:00:00"/>
    <s v="Jan"/>
    <n v="1"/>
    <s v="Q1"/>
    <x v="0"/>
    <x v="0"/>
    <x v="0"/>
    <x v="0"/>
  </r>
  <r>
    <x v="555"/>
    <x v="246"/>
    <s v="CUST0011"/>
    <x v="9"/>
    <x v="3"/>
    <x v="1"/>
    <x v="8"/>
    <n v="5"/>
    <n v="39067"/>
    <n v="0.05"/>
    <n v="37113.65"/>
    <n v="29438.87"/>
    <n v="7674.78"/>
    <x v="2"/>
    <n v="86"/>
    <d v="2025-10-09T14:00:00"/>
    <s v="Oct"/>
    <n v="10"/>
    <s v="Q4"/>
    <x v="1"/>
    <x v="0"/>
    <x v="1"/>
    <x v="0"/>
  </r>
  <r>
    <x v="556"/>
    <x v="78"/>
    <s v="CUST0201"/>
    <x v="0"/>
    <x v="6"/>
    <x v="4"/>
    <x v="23"/>
    <n v="6"/>
    <n v="46408.2"/>
    <n v="0.05"/>
    <n v="44087.79"/>
    <n v="26838.3"/>
    <n v="17249.490000000002"/>
    <x v="0"/>
    <n v="33"/>
    <d v="2025-08-06T09:00:00"/>
    <s v="Aug"/>
    <n v="8"/>
    <s v="Q3"/>
    <x v="0"/>
    <x v="0"/>
    <x v="0"/>
    <x v="0"/>
  </r>
  <r>
    <x v="557"/>
    <x v="223"/>
    <s v="CUST0297"/>
    <x v="5"/>
    <x v="3"/>
    <x v="2"/>
    <x v="11"/>
    <n v="6"/>
    <n v="31189.14"/>
    <n v="0.05"/>
    <n v="29629.68"/>
    <n v="24359.89"/>
    <n v="5269.79"/>
    <x v="3"/>
    <n v="15"/>
    <d v="2025-12-21T15:00:00"/>
    <s v="Dec"/>
    <n v="12"/>
    <s v="Q4"/>
    <x v="1"/>
    <x v="1"/>
    <x v="0"/>
    <x v="0"/>
  </r>
  <r>
    <x v="558"/>
    <x v="281"/>
    <s v="CUST0003"/>
    <x v="2"/>
    <x v="7"/>
    <x v="0"/>
    <x v="17"/>
    <n v="2"/>
    <n v="9113.6200000000008"/>
    <n v="0.15"/>
    <n v="7746.58"/>
    <n v="4966.4799999999996"/>
    <n v="2780.1"/>
    <x v="0"/>
    <n v="39"/>
    <d v="2025-12-28T15:00:00"/>
    <s v="Dec"/>
    <n v="12"/>
    <s v="Q4"/>
    <x v="0"/>
    <x v="0"/>
    <x v="0"/>
    <x v="0"/>
  </r>
  <r>
    <x v="559"/>
    <x v="135"/>
    <s v="CUST0214"/>
    <x v="2"/>
    <x v="7"/>
    <x v="2"/>
    <x v="15"/>
    <n v="4"/>
    <n v="19218.52"/>
    <n v="0.05"/>
    <n v="18257.59"/>
    <n v="15647.14"/>
    <n v="2610.4499999999998"/>
    <x v="1"/>
    <n v="21"/>
    <d v="2025-10-13T21:00:00"/>
    <s v="Oct"/>
    <n v="10"/>
    <s v="Q4"/>
    <x v="1"/>
    <x v="0"/>
    <x v="0"/>
    <x v="1"/>
  </r>
  <r>
    <x v="560"/>
    <x v="219"/>
    <s v="CUST0296"/>
    <x v="5"/>
    <x v="0"/>
    <x v="4"/>
    <x v="13"/>
    <n v="2"/>
    <n v="16638.12"/>
    <n v="0.15"/>
    <n v="14142.4"/>
    <n v="9480.09"/>
    <n v="4662.3100000000004"/>
    <x v="0"/>
    <n v="30"/>
    <d v="2025-10-01T06:00:00"/>
    <s v="Sep"/>
    <n v="9"/>
    <s v="Q3"/>
    <x v="0"/>
    <x v="0"/>
    <x v="0"/>
    <x v="0"/>
  </r>
  <r>
    <x v="561"/>
    <x v="100"/>
    <s v="CUST0032"/>
    <x v="6"/>
    <x v="6"/>
    <x v="2"/>
    <x v="3"/>
    <n v="5"/>
    <n v="33029.75"/>
    <n v="0"/>
    <n v="33029.75"/>
    <n v="27514.7"/>
    <n v="5515.05"/>
    <x v="0"/>
    <n v="16"/>
    <d v="2025-03-03T16:00:00"/>
    <s v="Mar"/>
    <n v="3"/>
    <s v="Q1"/>
    <x v="0"/>
    <x v="0"/>
    <x v="0"/>
    <x v="0"/>
  </r>
  <r>
    <x v="562"/>
    <x v="282"/>
    <s v="CUST0048"/>
    <x v="3"/>
    <x v="2"/>
    <x v="2"/>
    <x v="3"/>
    <n v="4"/>
    <n v="4149.28"/>
    <n v="0.25"/>
    <n v="3111.96"/>
    <n v="1984.99"/>
    <n v="1126.97"/>
    <x v="3"/>
    <n v="3"/>
    <d v="2025-03-25T03:00:00"/>
    <s v="Mar"/>
    <n v="3"/>
    <s v="Q1"/>
    <x v="1"/>
    <x v="1"/>
    <x v="0"/>
    <x v="0"/>
  </r>
  <r>
    <x v="563"/>
    <x v="78"/>
    <s v="CUST0252"/>
    <x v="1"/>
    <x v="7"/>
    <x v="4"/>
    <x v="22"/>
    <n v="4"/>
    <n v="26599.52"/>
    <n v="0.1"/>
    <n v="23939.57"/>
    <n v="17231.560000000001"/>
    <n v="6708.01"/>
    <x v="1"/>
    <n v="1"/>
    <d v="2025-08-05T01:00:00"/>
    <s v="Aug"/>
    <n v="8"/>
    <s v="Q3"/>
    <x v="1"/>
    <x v="0"/>
    <x v="0"/>
    <x v="1"/>
  </r>
  <r>
    <x v="564"/>
    <x v="216"/>
    <s v="CUST0199"/>
    <x v="3"/>
    <x v="0"/>
    <x v="1"/>
    <x v="5"/>
    <n v="2"/>
    <n v="3147.98"/>
    <n v="0.15"/>
    <n v="2675.78"/>
    <n v="1566.06"/>
    <n v="1109.72"/>
    <x v="0"/>
    <n v="33"/>
    <d v="2025-12-09T09:00:00"/>
    <s v="Dec"/>
    <n v="12"/>
    <s v="Q4"/>
    <x v="0"/>
    <x v="0"/>
    <x v="0"/>
    <x v="0"/>
  </r>
  <r>
    <x v="565"/>
    <x v="127"/>
    <s v="CUST0089"/>
    <x v="5"/>
    <x v="4"/>
    <x v="0"/>
    <x v="14"/>
    <n v="2"/>
    <n v="7770.76"/>
    <n v="0.05"/>
    <n v="7382.22"/>
    <n v="5668.36"/>
    <n v="1713.86"/>
    <x v="0"/>
    <n v="42"/>
    <d v="2025-07-07T18:00:00"/>
    <s v="Jul"/>
    <n v="7"/>
    <s v="Q3"/>
    <x v="0"/>
    <x v="0"/>
    <x v="0"/>
    <x v="0"/>
  </r>
  <r>
    <x v="566"/>
    <x v="283"/>
    <s v="CUST0109"/>
    <x v="9"/>
    <x v="7"/>
    <x v="4"/>
    <x v="21"/>
    <n v="1"/>
    <n v="1907.34"/>
    <n v="0.05"/>
    <n v="1811.97"/>
    <n v="1496.52"/>
    <n v="315.45"/>
    <x v="2"/>
    <n v="90"/>
    <d v="2025-01-22T18:00:00"/>
    <s v="Jan"/>
    <n v="1"/>
    <s v="Q1"/>
    <x v="1"/>
    <x v="0"/>
    <x v="1"/>
    <x v="0"/>
  </r>
  <r>
    <x v="567"/>
    <x v="279"/>
    <s v="CUST0291"/>
    <x v="1"/>
    <x v="1"/>
    <x v="3"/>
    <x v="12"/>
    <n v="7"/>
    <n v="41356.14"/>
    <n v="0.05"/>
    <n v="39288.33"/>
    <n v="30923.360000000001"/>
    <n v="8364.9699999999993"/>
    <x v="0"/>
    <n v="19"/>
    <d v="2025-06-26T19:00:00"/>
    <s v="Jun"/>
    <n v="6"/>
    <s v="Q2"/>
    <x v="0"/>
    <x v="0"/>
    <x v="0"/>
    <x v="0"/>
  </r>
  <r>
    <x v="568"/>
    <x v="11"/>
    <s v="CUST0108"/>
    <x v="0"/>
    <x v="6"/>
    <x v="1"/>
    <x v="4"/>
    <n v="7"/>
    <n v="52328.78"/>
    <n v="0.2"/>
    <n v="41863.019999999997"/>
    <n v="30253.37"/>
    <n v="11609.65"/>
    <x v="2"/>
    <n v="70"/>
    <d v="2025-04-12T22:00:00"/>
    <s v="Apr"/>
    <n v="4"/>
    <s v="Q2"/>
    <x v="1"/>
    <x v="0"/>
    <x v="1"/>
    <x v="0"/>
  </r>
  <r>
    <x v="569"/>
    <x v="141"/>
    <s v="CUST0040"/>
    <x v="3"/>
    <x v="0"/>
    <x v="3"/>
    <x v="18"/>
    <n v="5"/>
    <n v="12872.6"/>
    <n v="0.1"/>
    <n v="11585.34"/>
    <n v="6544.42"/>
    <n v="5040.92"/>
    <x v="0"/>
    <n v="10"/>
    <d v="2025-08-21T10:00:00"/>
    <s v="Aug"/>
    <n v="8"/>
    <s v="Q3"/>
    <x v="0"/>
    <x v="0"/>
    <x v="0"/>
    <x v="0"/>
  </r>
  <r>
    <x v="570"/>
    <x v="254"/>
    <s v="CUST0052"/>
    <x v="5"/>
    <x v="6"/>
    <x v="1"/>
    <x v="4"/>
    <n v="7"/>
    <n v="5843.53"/>
    <n v="0.1"/>
    <n v="5259.18"/>
    <n v="4512.5600000000004"/>
    <n v="746.62"/>
    <x v="0"/>
    <n v="30"/>
    <d v="2025-03-18T06:00:00"/>
    <s v="Mar"/>
    <n v="3"/>
    <s v="Q1"/>
    <x v="0"/>
    <x v="0"/>
    <x v="0"/>
    <x v="0"/>
  </r>
  <r>
    <x v="571"/>
    <x v="48"/>
    <s v="CUST0112"/>
    <x v="3"/>
    <x v="6"/>
    <x v="0"/>
    <x v="19"/>
    <n v="1"/>
    <n v="2642.42"/>
    <n v="0.15"/>
    <n v="2246.06"/>
    <n v="1758.24"/>
    <n v="487.82"/>
    <x v="1"/>
    <n v="0"/>
    <d v="2025-09-22T00:00:00"/>
    <s v="Sep"/>
    <n v="9"/>
    <s v="Q3"/>
    <x v="1"/>
    <x v="0"/>
    <x v="0"/>
    <x v="1"/>
  </r>
  <r>
    <x v="572"/>
    <x v="130"/>
    <s v="CUST0295"/>
    <x v="1"/>
    <x v="1"/>
    <x v="0"/>
    <x v="0"/>
    <n v="6"/>
    <n v="34585.32"/>
    <n v="0.05"/>
    <n v="32856.050000000003"/>
    <n v="26157.86"/>
    <n v="6698.19"/>
    <x v="1"/>
    <n v="23"/>
    <d v="2025-10-11T23:00:00"/>
    <s v="Oct"/>
    <n v="10"/>
    <s v="Q4"/>
    <x v="1"/>
    <x v="0"/>
    <x v="0"/>
    <x v="1"/>
  </r>
  <r>
    <x v="573"/>
    <x v="55"/>
    <s v="CUST0068"/>
    <x v="7"/>
    <x v="3"/>
    <x v="2"/>
    <x v="11"/>
    <n v="4"/>
    <n v="11580.6"/>
    <n v="0.15"/>
    <n v="9843.51"/>
    <n v="7995.34"/>
    <n v="1848.17"/>
    <x v="0"/>
    <n v="18"/>
    <d v="2025-07-25T18:00:00"/>
    <s v="Jul"/>
    <n v="7"/>
    <s v="Q3"/>
    <x v="0"/>
    <x v="0"/>
    <x v="0"/>
    <x v="0"/>
  </r>
  <r>
    <x v="574"/>
    <x v="211"/>
    <s v="CUST0189"/>
    <x v="8"/>
    <x v="4"/>
    <x v="3"/>
    <x v="20"/>
    <n v="2"/>
    <n v="4944.4799999999996"/>
    <n v="0.1"/>
    <n v="4450.03"/>
    <n v="3545.59"/>
    <n v="904.44"/>
    <x v="0"/>
    <n v="31"/>
    <d v="2025-08-12T07:00:00"/>
    <s v="Aug"/>
    <n v="8"/>
    <s v="Q3"/>
    <x v="0"/>
    <x v="0"/>
    <x v="0"/>
    <x v="0"/>
  </r>
  <r>
    <x v="575"/>
    <x v="118"/>
    <s v="CUST0209"/>
    <x v="3"/>
    <x v="6"/>
    <x v="1"/>
    <x v="10"/>
    <n v="4"/>
    <n v="6760.12"/>
    <n v="0.15"/>
    <n v="5746.1"/>
    <n v="3996.81"/>
    <n v="1749.29"/>
    <x v="2"/>
    <n v="51"/>
    <d v="2025-02-23T03:00:00"/>
    <s v="Feb"/>
    <n v="2"/>
    <s v="Q1"/>
    <x v="1"/>
    <x v="0"/>
    <x v="1"/>
    <x v="0"/>
  </r>
  <r>
    <x v="576"/>
    <x v="284"/>
    <s v="CUST0065"/>
    <x v="0"/>
    <x v="7"/>
    <x v="0"/>
    <x v="0"/>
    <n v="4"/>
    <n v="17217.04"/>
    <n v="0.1"/>
    <n v="15495.34"/>
    <n v="12273.78"/>
    <n v="3221.56"/>
    <x v="1"/>
    <n v="22"/>
    <d v="2025-12-05T22:00:00"/>
    <s v="Dec"/>
    <n v="12"/>
    <s v="Q4"/>
    <x v="1"/>
    <x v="0"/>
    <x v="0"/>
    <x v="1"/>
  </r>
  <r>
    <x v="577"/>
    <x v="165"/>
    <s v="CUST0062"/>
    <x v="0"/>
    <x v="5"/>
    <x v="4"/>
    <x v="9"/>
    <n v="3"/>
    <n v="7362.51"/>
    <n v="0.05"/>
    <n v="6994.38"/>
    <n v="5289.56"/>
    <n v="1704.82"/>
    <x v="1"/>
    <n v="24"/>
    <d v="2025-05-25T00:00:00"/>
    <s v="May"/>
    <n v="5"/>
    <s v="Q2"/>
    <x v="1"/>
    <x v="0"/>
    <x v="0"/>
    <x v="1"/>
  </r>
  <r>
    <x v="578"/>
    <x v="252"/>
    <s v="CUST0258"/>
    <x v="4"/>
    <x v="4"/>
    <x v="0"/>
    <x v="6"/>
    <n v="6"/>
    <n v="37523.64"/>
    <n v="0.05"/>
    <n v="35647.46"/>
    <n v="29652.46"/>
    <n v="5995"/>
    <x v="1"/>
    <n v="12"/>
    <d v="2025-03-10T12:00:00"/>
    <s v="Mar"/>
    <n v="3"/>
    <s v="Q1"/>
    <x v="1"/>
    <x v="0"/>
    <x v="0"/>
    <x v="1"/>
  </r>
  <r>
    <x v="579"/>
    <x v="103"/>
    <s v="CUST0134"/>
    <x v="3"/>
    <x v="7"/>
    <x v="4"/>
    <x v="9"/>
    <n v="3"/>
    <n v="2369.4"/>
    <n v="0.15"/>
    <n v="2013.99"/>
    <n v="1641.02"/>
    <n v="372.97"/>
    <x v="0"/>
    <n v="41"/>
    <d v="2025-04-10T17:00:00"/>
    <s v="Apr"/>
    <n v="4"/>
    <s v="Q2"/>
    <x v="0"/>
    <x v="0"/>
    <x v="0"/>
    <x v="0"/>
  </r>
  <r>
    <x v="580"/>
    <x v="285"/>
    <s v="CUST0122"/>
    <x v="8"/>
    <x v="4"/>
    <x v="1"/>
    <x v="10"/>
    <n v="7"/>
    <n v="39862.76"/>
    <n v="0.1"/>
    <n v="35876.480000000003"/>
    <n v="20221.91"/>
    <n v="15654.57"/>
    <x v="1"/>
    <n v="15"/>
    <d v="2025-01-25T15:00:00"/>
    <s v="Jan"/>
    <n v="1"/>
    <s v="Q1"/>
    <x v="1"/>
    <x v="0"/>
    <x v="0"/>
    <x v="1"/>
  </r>
  <r>
    <x v="581"/>
    <x v="50"/>
    <s v="CUST0171"/>
    <x v="6"/>
    <x v="2"/>
    <x v="0"/>
    <x v="17"/>
    <n v="4"/>
    <n v="8534.52"/>
    <n v="0.05"/>
    <n v="8107.79"/>
    <n v="5473.02"/>
    <n v="2634.77"/>
    <x v="0"/>
    <n v="35"/>
    <d v="2025-02-23T11:00:00"/>
    <s v="Feb"/>
    <n v="2"/>
    <s v="Q1"/>
    <x v="0"/>
    <x v="0"/>
    <x v="0"/>
    <x v="0"/>
  </r>
  <r>
    <x v="582"/>
    <x v="175"/>
    <s v="CUST0210"/>
    <x v="2"/>
    <x v="4"/>
    <x v="0"/>
    <x v="19"/>
    <n v="2"/>
    <n v="8470.9599999999991"/>
    <n v="0.2"/>
    <n v="6776.77"/>
    <n v="3804.86"/>
    <n v="2971.91"/>
    <x v="1"/>
    <n v="24"/>
    <d v="2025-06-01T00:00:00"/>
    <s v="May"/>
    <n v="5"/>
    <s v="Q2"/>
    <x v="1"/>
    <x v="0"/>
    <x v="0"/>
    <x v="1"/>
  </r>
  <r>
    <x v="583"/>
    <x v="165"/>
    <s v="CUST0296"/>
    <x v="8"/>
    <x v="0"/>
    <x v="1"/>
    <x v="5"/>
    <n v="4"/>
    <n v="10155.4"/>
    <n v="0"/>
    <n v="10155.4"/>
    <n v="5927.55"/>
    <n v="4227.8500000000004"/>
    <x v="0"/>
    <n v="42"/>
    <d v="2025-05-25T18:00:00"/>
    <s v="May"/>
    <n v="5"/>
    <s v="Q2"/>
    <x v="0"/>
    <x v="0"/>
    <x v="0"/>
    <x v="0"/>
  </r>
  <r>
    <x v="584"/>
    <x v="286"/>
    <s v="CUST0089"/>
    <x v="2"/>
    <x v="7"/>
    <x v="0"/>
    <x v="19"/>
    <n v="6"/>
    <n v="37110.720000000001"/>
    <n v="0.2"/>
    <n v="29688.58"/>
    <n v="22220.880000000001"/>
    <n v="7467.7"/>
    <x v="0"/>
    <n v="23"/>
    <d v="2025-02-26T23:00:00"/>
    <s v="Feb"/>
    <n v="2"/>
    <s v="Q1"/>
    <x v="0"/>
    <x v="0"/>
    <x v="0"/>
    <x v="0"/>
  </r>
  <r>
    <x v="585"/>
    <x v="173"/>
    <s v="CUST0167"/>
    <x v="2"/>
    <x v="5"/>
    <x v="4"/>
    <x v="13"/>
    <n v="3"/>
    <n v="24129.93"/>
    <n v="0.25"/>
    <n v="18097.45"/>
    <n v="15172.2"/>
    <n v="2925.25"/>
    <x v="0"/>
    <n v="21"/>
    <d v="2025-02-08T21:00:00"/>
    <s v="Feb"/>
    <n v="2"/>
    <s v="Q1"/>
    <x v="0"/>
    <x v="0"/>
    <x v="0"/>
    <x v="0"/>
  </r>
  <r>
    <x v="586"/>
    <x v="287"/>
    <s v="CUST0028"/>
    <x v="7"/>
    <x v="7"/>
    <x v="0"/>
    <x v="19"/>
    <n v="2"/>
    <n v="15615.18"/>
    <n v="0.2"/>
    <n v="12492.14"/>
    <n v="7364.64"/>
    <n v="5127.5"/>
    <x v="0"/>
    <n v="18"/>
    <d v="2025-04-19T18:00:00"/>
    <s v="Apr"/>
    <n v="4"/>
    <s v="Q2"/>
    <x v="0"/>
    <x v="0"/>
    <x v="0"/>
    <x v="0"/>
  </r>
  <r>
    <x v="587"/>
    <x v="205"/>
    <s v="CUST0238"/>
    <x v="4"/>
    <x v="2"/>
    <x v="3"/>
    <x v="16"/>
    <n v="4"/>
    <n v="20086.439999999999"/>
    <n v="0.15"/>
    <n v="17073.47"/>
    <n v="11931.96"/>
    <n v="5141.51"/>
    <x v="0"/>
    <n v="25"/>
    <d v="2025-07-01T01:00:00"/>
    <s v="Jun"/>
    <n v="6"/>
    <s v="Q2"/>
    <x v="0"/>
    <x v="0"/>
    <x v="0"/>
    <x v="0"/>
  </r>
  <r>
    <x v="588"/>
    <x v="114"/>
    <s v="CUST0063"/>
    <x v="8"/>
    <x v="4"/>
    <x v="2"/>
    <x v="11"/>
    <n v="5"/>
    <n v="20064"/>
    <n v="0.05"/>
    <n v="19060.8"/>
    <n v="16212.93"/>
    <n v="2847.87"/>
    <x v="1"/>
    <n v="9"/>
    <d v="2025-02-11T09:00:00"/>
    <s v="Feb"/>
    <n v="2"/>
    <s v="Q1"/>
    <x v="1"/>
    <x v="0"/>
    <x v="0"/>
    <x v="1"/>
  </r>
  <r>
    <x v="589"/>
    <x v="232"/>
    <s v="CUST0255"/>
    <x v="8"/>
    <x v="6"/>
    <x v="4"/>
    <x v="21"/>
    <n v="6"/>
    <n v="41896.86"/>
    <n v="0.05"/>
    <n v="39802.019999999997"/>
    <n v="32586.68"/>
    <n v="7215.34"/>
    <x v="0"/>
    <n v="24"/>
    <d v="2025-07-06T00:00:00"/>
    <s v="Jul"/>
    <n v="7"/>
    <s v="Q3"/>
    <x v="0"/>
    <x v="0"/>
    <x v="0"/>
    <x v="0"/>
  </r>
  <r>
    <x v="590"/>
    <x v="211"/>
    <s v="CUST0041"/>
    <x v="7"/>
    <x v="5"/>
    <x v="3"/>
    <x v="16"/>
    <n v="6"/>
    <n v="35134.68"/>
    <n v="0.15"/>
    <n v="29864.48"/>
    <n v="21546.94"/>
    <n v="8317.5400000000009"/>
    <x v="1"/>
    <n v="5"/>
    <d v="2025-08-11T05:00:00"/>
    <s v="Aug"/>
    <n v="8"/>
    <s v="Q3"/>
    <x v="1"/>
    <x v="0"/>
    <x v="0"/>
    <x v="1"/>
  </r>
  <r>
    <x v="591"/>
    <x v="7"/>
    <s v="CUST0029"/>
    <x v="3"/>
    <x v="7"/>
    <x v="1"/>
    <x v="8"/>
    <n v="5"/>
    <n v="8413.7999999999993"/>
    <n v="0.05"/>
    <n v="7993.11"/>
    <n v="6431.4"/>
    <n v="1561.71"/>
    <x v="2"/>
    <n v="56"/>
    <d v="2025-05-04T08:00:00"/>
    <s v="May"/>
    <n v="5"/>
    <s v="Q2"/>
    <x v="1"/>
    <x v="0"/>
    <x v="1"/>
    <x v="0"/>
  </r>
  <r>
    <x v="592"/>
    <x v="288"/>
    <s v="CUST0279"/>
    <x v="3"/>
    <x v="2"/>
    <x v="4"/>
    <x v="22"/>
    <n v="4"/>
    <n v="28018.720000000001"/>
    <n v="0"/>
    <n v="28018.720000000001"/>
    <n v="20243.22"/>
    <n v="7775.5"/>
    <x v="0"/>
    <n v="46"/>
    <d v="2025-05-14T22:00:00"/>
    <s v="May"/>
    <n v="5"/>
    <s v="Q2"/>
    <x v="0"/>
    <x v="0"/>
    <x v="0"/>
    <x v="0"/>
  </r>
  <r>
    <x v="593"/>
    <x v="90"/>
    <s v="CUST0080"/>
    <x v="3"/>
    <x v="5"/>
    <x v="2"/>
    <x v="2"/>
    <n v="6"/>
    <n v="22387.08"/>
    <n v="0.15"/>
    <n v="19029.02"/>
    <n v="11458.71"/>
    <n v="7570.31"/>
    <x v="0"/>
    <n v="21"/>
    <d v="2025-06-12T21:00:00"/>
    <s v="Jun"/>
    <n v="6"/>
    <s v="Q2"/>
    <x v="0"/>
    <x v="0"/>
    <x v="0"/>
    <x v="0"/>
  </r>
  <r>
    <x v="594"/>
    <x v="8"/>
    <s v="CUST0051"/>
    <x v="9"/>
    <x v="1"/>
    <x v="2"/>
    <x v="24"/>
    <n v="2"/>
    <n v="3456.06"/>
    <n v="0.05"/>
    <n v="3283.26"/>
    <n v="1940.94"/>
    <n v="1342.32"/>
    <x v="0"/>
    <n v="26"/>
    <d v="2025-08-04T02:00:00"/>
    <s v="Aug"/>
    <n v="8"/>
    <s v="Q3"/>
    <x v="0"/>
    <x v="0"/>
    <x v="0"/>
    <x v="0"/>
  </r>
  <r>
    <x v="595"/>
    <x v="289"/>
    <s v="CUST0112"/>
    <x v="2"/>
    <x v="1"/>
    <x v="1"/>
    <x v="10"/>
    <n v="4"/>
    <n v="10012.040000000001"/>
    <n v="0.2"/>
    <n v="8009.63"/>
    <n v="4903.1899999999996"/>
    <n v="3106.44"/>
    <x v="2"/>
    <n v="71"/>
    <d v="2025-08-11T23:00:00"/>
    <s v="Aug"/>
    <n v="8"/>
    <s v="Q3"/>
    <x v="1"/>
    <x v="0"/>
    <x v="1"/>
    <x v="0"/>
  </r>
  <r>
    <x v="596"/>
    <x v="290"/>
    <s v="CUST0090"/>
    <x v="9"/>
    <x v="4"/>
    <x v="1"/>
    <x v="8"/>
    <n v="4"/>
    <n v="9535.4"/>
    <n v="0.15"/>
    <n v="8105.09"/>
    <n v="5396.4"/>
    <n v="2708.69"/>
    <x v="0"/>
    <n v="44"/>
    <d v="2025-08-24T20:00:00"/>
    <s v="Aug"/>
    <n v="8"/>
    <s v="Q3"/>
    <x v="0"/>
    <x v="0"/>
    <x v="0"/>
    <x v="0"/>
  </r>
  <r>
    <x v="597"/>
    <x v="9"/>
    <s v="CUST0229"/>
    <x v="4"/>
    <x v="3"/>
    <x v="4"/>
    <x v="9"/>
    <n v="3"/>
    <n v="13456.14"/>
    <n v="0.15"/>
    <n v="11437.72"/>
    <n v="9802.98"/>
    <n v="1634.74"/>
    <x v="0"/>
    <n v="12"/>
    <d v="2025-11-27T12:00:00"/>
    <s v="Nov"/>
    <n v="11"/>
    <s v="Q4"/>
    <x v="0"/>
    <x v="0"/>
    <x v="0"/>
    <x v="0"/>
  </r>
  <r>
    <x v="598"/>
    <x v="291"/>
    <s v="CUST0150"/>
    <x v="7"/>
    <x v="4"/>
    <x v="0"/>
    <x v="6"/>
    <n v="6"/>
    <n v="12641.94"/>
    <n v="0.15"/>
    <n v="10745.65"/>
    <n v="8745.82"/>
    <n v="1999.83"/>
    <x v="1"/>
    <n v="14"/>
    <d v="2025-05-26T14:00:00"/>
    <s v="May"/>
    <n v="5"/>
    <s v="Q2"/>
    <x v="1"/>
    <x v="0"/>
    <x v="0"/>
    <x v="1"/>
  </r>
  <r>
    <x v="599"/>
    <x v="248"/>
    <s v="CUST0243"/>
    <x v="8"/>
    <x v="2"/>
    <x v="1"/>
    <x v="5"/>
    <n v="6"/>
    <n v="7090.68"/>
    <n v="0.2"/>
    <n v="5672.54"/>
    <n v="3930.07"/>
    <n v="1742.47"/>
    <x v="0"/>
    <n v="44"/>
    <d v="2025-08-28T20:00:00"/>
    <s v="Aug"/>
    <n v="8"/>
    <s v="Q3"/>
    <x v="0"/>
    <x v="0"/>
    <x v="0"/>
    <x v="0"/>
  </r>
  <r>
    <x v="600"/>
    <x v="254"/>
    <s v="CUST0138"/>
    <x v="2"/>
    <x v="4"/>
    <x v="0"/>
    <x v="17"/>
    <n v="5"/>
    <n v="5914.1"/>
    <n v="0.15"/>
    <n v="5026.99"/>
    <n v="3582.81"/>
    <n v="1444.18"/>
    <x v="0"/>
    <n v="4"/>
    <d v="2025-03-17T04:00:00"/>
    <s v="Mar"/>
    <n v="3"/>
    <s v="Q1"/>
    <x v="0"/>
    <x v="0"/>
    <x v="0"/>
    <x v="0"/>
  </r>
  <r>
    <x v="601"/>
    <x v="85"/>
    <s v="CUST0135"/>
    <x v="9"/>
    <x v="6"/>
    <x v="3"/>
    <x v="16"/>
    <n v="3"/>
    <n v="15061.08"/>
    <n v="0.1"/>
    <n v="13554.97"/>
    <n v="8643.34"/>
    <n v="4911.63"/>
    <x v="0"/>
    <n v="5"/>
    <d v="2025-01-09T05:00:00"/>
    <s v="Jan"/>
    <n v="1"/>
    <s v="Q1"/>
    <x v="0"/>
    <x v="0"/>
    <x v="0"/>
    <x v="0"/>
  </r>
  <r>
    <x v="602"/>
    <x v="292"/>
    <s v="CUST0089"/>
    <x v="9"/>
    <x v="6"/>
    <x v="2"/>
    <x v="11"/>
    <n v="7"/>
    <n v="43996.68"/>
    <n v="0.05"/>
    <n v="41796.85"/>
    <n v="32703.38"/>
    <n v="9093.4699999999993"/>
    <x v="0"/>
    <n v="7"/>
    <d v="2025-03-15T07:00:00"/>
    <s v="Mar"/>
    <n v="3"/>
    <s v="Q1"/>
    <x v="0"/>
    <x v="0"/>
    <x v="0"/>
    <x v="0"/>
  </r>
  <r>
    <x v="603"/>
    <x v="25"/>
    <s v="CUST0015"/>
    <x v="5"/>
    <x v="0"/>
    <x v="0"/>
    <x v="14"/>
    <n v="3"/>
    <n v="8504.4"/>
    <n v="0.2"/>
    <n v="6803.52"/>
    <n v="5544.27"/>
    <n v="1259.25"/>
    <x v="3"/>
    <n v="9"/>
    <d v="2025-09-10T09:00:00"/>
    <s v="Sep"/>
    <n v="9"/>
    <s v="Q3"/>
    <x v="1"/>
    <x v="1"/>
    <x v="0"/>
    <x v="0"/>
  </r>
  <r>
    <x v="604"/>
    <x v="195"/>
    <s v="CUST0174"/>
    <x v="9"/>
    <x v="2"/>
    <x v="2"/>
    <x v="15"/>
    <n v="6"/>
    <n v="2635.98"/>
    <n v="0.15"/>
    <n v="2240.58"/>
    <n v="1408.96"/>
    <n v="831.62"/>
    <x v="1"/>
    <n v="16"/>
    <d v="2025-08-18T16:00:00"/>
    <s v="Aug"/>
    <n v="8"/>
    <s v="Q3"/>
    <x v="1"/>
    <x v="0"/>
    <x v="0"/>
    <x v="1"/>
  </r>
  <r>
    <x v="605"/>
    <x v="293"/>
    <s v="CUST0090"/>
    <x v="6"/>
    <x v="3"/>
    <x v="0"/>
    <x v="0"/>
    <n v="4"/>
    <n v="4849.32"/>
    <n v="0.1"/>
    <n v="4364.3900000000003"/>
    <n v="2460.65"/>
    <n v="1903.74"/>
    <x v="1"/>
    <n v="0"/>
    <d v="2025-01-07T00:00:00"/>
    <s v="Jan"/>
    <n v="1"/>
    <s v="Q1"/>
    <x v="1"/>
    <x v="0"/>
    <x v="0"/>
    <x v="1"/>
  </r>
  <r>
    <x v="606"/>
    <x v="213"/>
    <s v="CUST0213"/>
    <x v="8"/>
    <x v="5"/>
    <x v="3"/>
    <x v="18"/>
    <n v="3"/>
    <n v="23363.1"/>
    <n v="0"/>
    <n v="23363.1"/>
    <n v="17659.78"/>
    <n v="5703.32"/>
    <x v="0"/>
    <n v="5"/>
    <d v="2025-06-23T05:00:00"/>
    <s v="Jun"/>
    <n v="6"/>
    <s v="Q2"/>
    <x v="0"/>
    <x v="0"/>
    <x v="0"/>
    <x v="0"/>
  </r>
  <r>
    <x v="607"/>
    <x v="294"/>
    <s v="CUST0061"/>
    <x v="6"/>
    <x v="2"/>
    <x v="1"/>
    <x v="8"/>
    <n v="5"/>
    <n v="21355.45"/>
    <n v="0.1"/>
    <n v="19219.91"/>
    <n v="14138.72"/>
    <n v="5081.1899999999996"/>
    <x v="1"/>
    <n v="12"/>
    <d v="2025-05-21T12:00:00"/>
    <s v="May"/>
    <n v="5"/>
    <s v="Q2"/>
    <x v="1"/>
    <x v="0"/>
    <x v="0"/>
    <x v="1"/>
  </r>
  <r>
    <x v="608"/>
    <x v="268"/>
    <s v="CUST0220"/>
    <x v="8"/>
    <x v="2"/>
    <x v="3"/>
    <x v="16"/>
    <n v="3"/>
    <n v="11811.99"/>
    <n v="0"/>
    <n v="11811.99"/>
    <n v="8064.08"/>
    <n v="3747.91"/>
    <x v="1"/>
    <n v="23"/>
    <d v="2025-06-17T23:00:00"/>
    <s v="Jun"/>
    <n v="6"/>
    <s v="Q2"/>
    <x v="1"/>
    <x v="0"/>
    <x v="0"/>
    <x v="1"/>
  </r>
  <r>
    <x v="609"/>
    <x v="30"/>
    <s v="CUST0061"/>
    <x v="7"/>
    <x v="3"/>
    <x v="1"/>
    <x v="8"/>
    <n v="5"/>
    <n v="2338.5500000000002"/>
    <n v="0.2"/>
    <n v="1870.84"/>
    <n v="1426.49"/>
    <n v="444.35"/>
    <x v="0"/>
    <n v="23"/>
    <d v="2025-06-19T23:00:00"/>
    <s v="Jun"/>
    <n v="6"/>
    <s v="Q2"/>
    <x v="0"/>
    <x v="0"/>
    <x v="0"/>
    <x v="0"/>
  </r>
  <r>
    <x v="610"/>
    <x v="112"/>
    <s v="CUST0166"/>
    <x v="8"/>
    <x v="2"/>
    <x v="1"/>
    <x v="10"/>
    <n v="7"/>
    <n v="43638.84"/>
    <n v="0.25"/>
    <n v="32729.13"/>
    <n v="23947.98"/>
    <n v="8781.15"/>
    <x v="2"/>
    <n v="67"/>
    <d v="2025-10-12T19:00:00"/>
    <s v="Oct"/>
    <n v="10"/>
    <s v="Q4"/>
    <x v="1"/>
    <x v="0"/>
    <x v="1"/>
    <x v="0"/>
  </r>
  <r>
    <x v="611"/>
    <x v="7"/>
    <s v="CUST0012"/>
    <x v="6"/>
    <x v="3"/>
    <x v="2"/>
    <x v="24"/>
    <n v="3"/>
    <n v="13678.11"/>
    <n v="0"/>
    <n v="13678.11"/>
    <n v="8654.0300000000007"/>
    <n v="5024.08"/>
    <x v="1"/>
    <n v="9"/>
    <d v="2025-05-02T09:00:00"/>
    <s v="May"/>
    <n v="5"/>
    <s v="Q2"/>
    <x v="1"/>
    <x v="0"/>
    <x v="0"/>
    <x v="1"/>
  </r>
  <r>
    <x v="612"/>
    <x v="187"/>
    <s v="CUST0216"/>
    <x v="8"/>
    <x v="3"/>
    <x v="3"/>
    <x v="12"/>
    <n v="5"/>
    <n v="9186.9"/>
    <n v="0.1"/>
    <n v="8268.2099999999991"/>
    <n v="5632.72"/>
    <n v="2635.49"/>
    <x v="1"/>
    <n v="5"/>
    <d v="2025-07-13T05:00:00"/>
    <s v="Jul"/>
    <n v="7"/>
    <s v="Q3"/>
    <x v="1"/>
    <x v="0"/>
    <x v="0"/>
    <x v="1"/>
  </r>
  <r>
    <x v="613"/>
    <x v="109"/>
    <s v="CUST0077"/>
    <x v="7"/>
    <x v="3"/>
    <x v="0"/>
    <x v="17"/>
    <n v="3"/>
    <n v="3207.36"/>
    <n v="0"/>
    <n v="3207.36"/>
    <n v="2217.1799999999998"/>
    <n v="990.18"/>
    <x v="0"/>
    <n v="31"/>
    <d v="2025-01-06T07:00:00"/>
    <s v="Jan"/>
    <n v="1"/>
    <s v="Q1"/>
    <x v="0"/>
    <x v="0"/>
    <x v="0"/>
    <x v="0"/>
  </r>
  <r>
    <x v="614"/>
    <x v="123"/>
    <s v="CUST0232"/>
    <x v="7"/>
    <x v="2"/>
    <x v="3"/>
    <x v="18"/>
    <n v="7"/>
    <n v="23459.03"/>
    <n v="0.15"/>
    <n v="19940.18"/>
    <n v="16759.36"/>
    <n v="3180.82"/>
    <x v="2"/>
    <n v="53"/>
    <d v="2025-01-31T05:00:00"/>
    <s v="Jan"/>
    <n v="1"/>
    <s v="Q1"/>
    <x v="1"/>
    <x v="0"/>
    <x v="1"/>
    <x v="0"/>
  </r>
  <r>
    <x v="615"/>
    <x v="146"/>
    <s v="CUST0112"/>
    <x v="4"/>
    <x v="2"/>
    <x v="2"/>
    <x v="3"/>
    <n v="3"/>
    <n v="21420.9"/>
    <n v="0.05"/>
    <n v="20349.86"/>
    <n v="17645.330000000002"/>
    <n v="2704.53"/>
    <x v="0"/>
    <n v="26"/>
    <d v="2025-06-15T02:00:00"/>
    <s v="Jun"/>
    <n v="6"/>
    <s v="Q2"/>
    <x v="0"/>
    <x v="0"/>
    <x v="0"/>
    <x v="0"/>
  </r>
  <r>
    <x v="616"/>
    <x v="284"/>
    <s v="CUST0066"/>
    <x v="8"/>
    <x v="4"/>
    <x v="1"/>
    <x v="4"/>
    <n v="2"/>
    <n v="14750.42"/>
    <n v="0.1"/>
    <n v="13275.38"/>
    <n v="11213.59"/>
    <n v="2061.79"/>
    <x v="0"/>
    <n v="35"/>
    <d v="2025-12-06T11:00:00"/>
    <s v="Dec"/>
    <n v="12"/>
    <s v="Q4"/>
    <x v="0"/>
    <x v="0"/>
    <x v="0"/>
    <x v="0"/>
  </r>
  <r>
    <x v="617"/>
    <x v="87"/>
    <s v="CUST0182"/>
    <x v="5"/>
    <x v="2"/>
    <x v="2"/>
    <x v="2"/>
    <n v="5"/>
    <n v="25918.85"/>
    <n v="0.05"/>
    <n v="24622.91"/>
    <n v="19386.32"/>
    <n v="5236.59"/>
    <x v="0"/>
    <n v="11"/>
    <d v="2025-05-16T11:00:00"/>
    <s v="May"/>
    <n v="5"/>
    <s v="Q2"/>
    <x v="0"/>
    <x v="0"/>
    <x v="0"/>
    <x v="0"/>
  </r>
  <r>
    <x v="618"/>
    <x v="196"/>
    <s v="CUST0204"/>
    <x v="3"/>
    <x v="4"/>
    <x v="4"/>
    <x v="9"/>
    <n v="7"/>
    <n v="43574.51"/>
    <n v="0"/>
    <n v="43574.51"/>
    <n v="32377.94"/>
    <n v="11196.57"/>
    <x v="1"/>
    <n v="7"/>
    <d v="2025-12-31T07:00:00"/>
    <s v="Dec"/>
    <n v="12"/>
    <s v="Q4"/>
    <x v="1"/>
    <x v="0"/>
    <x v="0"/>
    <x v="1"/>
  </r>
  <r>
    <x v="619"/>
    <x v="228"/>
    <s v="CUST0206"/>
    <x v="0"/>
    <x v="0"/>
    <x v="4"/>
    <x v="23"/>
    <n v="5"/>
    <n v="5557.75"/>
    <n v="0.05"/>
    <n v="5279.86"/>
    <n v="4104.8599999999997"/>
    <n v="1175"/>
    <x v="1"/>
    <n v="8"/>
    <d v="2025-11-17T08:00:00"/>
    <s v="Nov"/>
    <n v="11"/>
    <s v="Q4"/>
    <x v="1"/>
    <x v="0"/>
    <x v="0"/>
    <x v="1"/>
  </r>
  <r>
    <x v="620"/>
    <x v="216"/>
    <s v="CUST0286"/>
    <x v="7"/>
    <x v="1"/>
    <x v="0"/>
    <x v="6"/>
    <n v="5"/>
    <n v="25304.25"/>
    <n v="0"/>
    <n v="25304.25"/>
    <n v="21759.279999999999"/>
    <n v="3544.97"/>
    <x v="0"/>
    <n v="19"/>
    <d v="2025-12-08T19:00:00"/>
    <s v="Dec"/>
    <n v="12"/>
    <s v="Q4"/>
    <x v="0"/>
    <x v="0"/>
    <x v="0"/>
    <x v="0"/>
  </r>
  <r>
    <x v="621"/>
    <x v="241"/>
    <s v="CUST0105"/>
    <x v="1"/>
    <x v="1"/>
    <x v="2"/>
    <x v="15"/>
    <n v="1"/>
    <n v="5719.16"/>
    <n v="0.1"/>
    <n v="5147.24"/>
    <n v="3255.63"/>
    <n v="1891.61"/>
    <x v="0"/>
    <n v="43"/>
    <d v="2025-05-26T19:00:00"/>
    <s v="May"/>
    <n v="5"/>
    <s v="Q2"/>
    <x v="0"/>
    <x v="0"/>
    <x v="0"/>
    <x v="0"/>
  </r>
  <r>
    <x v="622"/>
    <x v="84"/>
    <s v="CUST0242"/>
    <x v="3"/>
    <x v="0"/>
    <x v="0"/>
    <x v="0"/>
    <n v="7"/>
    <n v="12781.65"/>
    <n v="0"/>
    <n v="12781.65"/>
    <n v="9287.02"/>
    <n v="3494.63"/>
    <x v="0"/>
    <n v="45"/>
    <d v="2025-11-24T21:00:00"/>
    <s v="Nov"/>
    <n v="11"/>
    <s v="Q4"/>
    <x v="0"/>
    <x v="0"/>
    <x v="0"/>
    <x v="0"/>
  </r>
  <r>
    <x v="623"/>
    <x v="78"/>
    <s v="CUST0235"/>
    <x v="2"/>
    <x v="0"/>
    <x v="0"/>
    <x v="14"/>
    <n v="3"/>
    <n v="22497.87"/>
    <n v="0.1"/>
    <n v="20248.080000000002"/>
    <n v="15744.31"/>
    <n v="4503.7700000000004"/>
    <x v="1"/>
    <n v="7"/>
    <d v="2025-08-05T07:00:00"/>
    <s v="Aug"/>
    <n v="8"/>
    <s v="Q3"/>
    <x v="1"/>
    <x v="0"/>
    <x v="0"/>
    <x v="1"/>
  </r>
  <r>
    <x v="624"/>
    <x v="82"/>
    <s v="CUST0176"/>
    <x v="8"/>
    <x v="7"/>
    <x v="4"/>
    <x v="21"/>
    <n v="5"/>
    <n v="8891.1"/>
    <n v="0.2"/>
    <n v="7112.88"/>
    <n v="5506.45"/>
    <n v="1606.43"/>
    <x v="0"/>
    <n v="43"/>
    <d v="2025-10-29T19:00:00"/>
    <s v="Oct"/>
    <n v="10"/>
    <s v="Q4"/>
    <x v="0"/>
    <x v="0"/>
    <x v="0"/>
    <x v="0"/>
  </r>
  <r>
    <x v="625"/>
    <x v="295"/>
    <s v="CUST0211"/>
    <x v="6"/>
    <x v="4"/>
    <x v="0"/>
    <x v="0"/>
    <n v="6"/>
    <n v="16605.240000000002"/>
    <n v="0.15"/>
    <n v="14114.45"/>
    <n v="8938"/>
    <n v="5176.45"/>
    <x v="1"/>
    <n v="12"/>
    <d v="2025-05-12T12:00:00"/>
    <s v="May"/>
    <n v="5"/>
    <s v="Q2"/>
    <x v="1"/>
    <x v="0"/>
    <x v="0"/>
    <x v="1"/>
  </r>
  <r>
    <x v="626"/>
    <x v="296"/>
    <s v="CUST0031"/>
    <x v="0"/>
    <x v="3"/>
    <x v="4"/>
    <x v="13"/>
    <n v="1"/>
    <n v="5331.65"/>
    <n v="0.2"/>
    <n v="4265.32"/>
    <n v="3171.78"/>
    <n v="1093.54"/>
    <x v="0"/>
    <n v="21"/>
    <d v="2025-10-19T21:00:00"/>
    <s v="Oct"/>
    <n v="10"/>
    <s v="Q4"/>
    <x v="0"/>
    <x v="0"/>
    <x v="0"/>
    <x v="0"/>
  </r>
  <r>
    <x v="627"/>
    <x v="297"/>
    <s v="CUST0235"/>
    <x v="1"/>
    <x v="5"/>
    <x v="1"/>
    <x v="8"/>
    <n v="2"/>
    <n v="10960.44"/>
    <n v="0.2"/>
    <n v="8768.35"/>
    <n v="7125.61"/>
    <n v="1642.74"/>
    <x v="3"/>
    <n v="1"/>
    <d v="2025-03-11T01:00:00"/>
    <s v="Mar"/>
    <n v="3"/>
    <s v="Q1"/>
    <x v="1"/>
    <x v="1"/>
    <x v="0"/>
    <x v="0"/>
  </r>
  <r>
    <x v="628"/>
    <x v="71"/>
    <s v="CUST0242"/>
    <x v="3"/>
    <x v="7"/>
    <x v="2"/>
    <x v="2"/>
    <n v="5"/>
    <n v="29949.3"/>
    <n v="0"/>
    <n v="29949.3"/>
    <n v="21167.45"/>
    <n v="8781.85"/>
    <x v="0"/>
    <n v="18"/>
    <d v="2025-09-09T18:00:00"/>
    <s v="Sep"/>
    <n v="9"/>
    <s v="Q3"/>
    <x v="0"/>
    <x v="0"/>
    <x v="0"/>
    <x v="0"/>
  </r>
  <r>
    <x v="629"/>
    <x v="243"/>
    <s v="CUST0153"/>
    <x v="8"/>
    <x v="6"/>
    <x v="0"/>
    <x v="19"/>
    <n v="5"/>
    <n v="5426.5"/>
    <n v="0"/>
    <n v="5426.5"/>
    <n v="4405.17"/>
    <n v="1021.33"/>
    <x v="2"/>
    <n v="90"/>
    <d v="2025-10-05T18:00:00"/>
    <s v="Oct"/>
    <n v="10"/>
    <s v="Q4"/>
    <x v="1"/>
    <x v="0"/>
    <x v="1"/>
    <x v="0"/>
  </r>
  <r>
    <x v="630"/>
    <x v="35"/>
    <s v="CUST0196"/>
    <x v="4"/>
    <x v="4"/>
    <x v="4"/>
    <x v="22"/>
    <n v="1"/>
    <n v="7243.03"/>
    <n v="0.1"/>
    <n v="6518.73"/>
    <n v="4359.47"/>
    <n v="2159.2600000000002"/>
    <x v="0"/>
    <n v="20"/>
    <d v="2025-12-30T20:00:00"/>
    <s v="Dec"/>
    <n v="12"/>
    <s v="Q4"/>
    <x v="0"/>
    <x v="0"/>
    <x v="0"/>
    <x v="0"/>
  </r>
  <r>
    <x v="631"/>
    <x v="298"/>
    <s v="CUST0269"/>
    <x v="2"/>
    <x v="2"/>
    <x v="3"/>
    <x v="12"/>
    <n v="3"/>
    <n v="13797.81"/>
    <n v="0.2"/>
    <n v="11038.25"/>
    <n v="9490.59"/>
    <n v="1547.66"/>
    <x v="1"/>
    <n v="17"/>
    <d v="2025-07-01T17:00:00"/>
    <s v="Jul"/>
    <n v="7"/>
    <s v="Q3"/>
    <x v="1"/>
    <x v="0"/>
    <x v="0"/>
    <x v="1"/>
  </r>
  <r>
    <x v="632"/>
    <x v="42"/>
    <s v="CUST0170"/>
    <x v="0"/>
    <x v="0"/>
    <x v="0"/>
    <x v="14"/>
    <n v="6"/>
    <n v="24513.24"/>
    <n v="0.25"/>
    <n v="18384.93"/>
    <n v="13351.07"/>
    <n v="5033.8599999999997"/>
    <x v="0"/>
    <n v="5"/>
    <d v="2025-06-16T05:00:00"/>
    <s v="Jun"/>
    <n v="6"/>
    <s v="Q2"/>
    <x v="0"/>
    <x v="0"/>
    <x v="0"/>
    <x v="0"/>
  </r>
  <r>
    <x v="633"/>
    <x v="299"/>
    <s v="CUST0232"/>
    <x v="5"/>
    <x v="1"/>
    <x v="1"/>
    <x v="4"/>
    <n v="2"/>
    <n v="16684.34"/>
    <n v="0"/>
    <n v="16684.34"/>
    <n v="12457.58"/>
    <n v="4226.76"/>
    <x v="2"/>
    <n v="50"/>
    <d v="2025-04-03T02:00:00"/>
    <s v="Apr"/>
    <n v="4"/>
    <s v="Q2"/>
    <x v="1"/>
    <x v="0"/>
    <x v="1"/>
    <x v="0"/>
  </r>
  <r>
    <x v="634"/>
    <x v="67"/>
    <s v="CUST0184"/>
    <x v="4"/>
    <x v="4"/>
    <x v="1"/>
    <x v="5"/>
    <n v="5"/>
    <n v="31660.799999999999"/>
    <n v="0.05"/>
    <n v="30077.759999999998"/>
    <n v="16854.05"/>
    <n v="13223.71"/>
    <x v="2"/>
    <n v="67"/>
    <d v="2025-07-23T19:00:00"/>
    <s v="Jul"/>
    <n v="7"/>
    <s v="Q3"/>
    <x v="1"/>
    <x v="0"/>
    <x v="1"/>
    <x v="0"/>
  </r>
  <r>
    <x v="635"/>
    <x v="49"/>
    <s v="CUST0275"/>
    <x v="1"/>
    <x v="0"/>
    <x v="3"/>
    <x v="12"/>
    <n v="3"/>
    <n v="3406.05"/>
    <n v="0.05"/>
    <n v="3235.75"/>
    <n v="1961.48"/>
    <n v="1274.27"/>
    <x v="0"/>
    <n v="44"/>
    <d v="2025-12-13T20:00:00"/>
    <s v="Dec"/>
    <n v="12"/>
    <s v="Q4"/>
    <x v="0"/>
    <x v="0"/>
    <x v="0"/>
    <x v="0"/>
  </r>
  <r>
    <x v="636"/>
    <x v="283"/>
    <s v="CUST0032"/>
    <x v="0"/>
    <x v="5"/>
    <x v="4"/>
    <x v="13"/>
    <n v="7"/>
    <n v="45269.7"/>
    <n v="0.15"/>
    <n v="38479.24"/>
    <n v="29200.67"/>
    <n v="9278.57"/>
    <x v="0"/>
    <n v="44"/>
    <d v="2025-01-20T20:00:00"/>
    <s v="Jan"/>
    <n v="1"/>
    <s v="Q1"/>
    <x v="0"/>
    <x v="0"/>
    <x v="0"/>
    <x v="0"/>
  </r>
  <r>
    <x v="637"/>
    <x v="173"/>
    <s v="CUST0177"/>
    <x v="4"/>
    <x v="5"/>
    <x v="0"/>
    <x v="0"/>
    <n v="6"/>
    <n v="5671.98"/>
    <n v="0.1"/>
    <n v="5104.78"/>
    <n v="3514.93"/>
    <n v="1589.85"/>
    <x v="0"/>
    <n v="37"/>
    <d v="2025-02-09T13:00:00"/>
    <s v="Feb"/>
    <n v="2"/>
    <s v="Q1"/>
    <x v="0"/>
    <x v="0"/>
    <x v="0"/>
    <x v="0"/>
  </r>
  <r>
    <x v="638"/>
    <x v="156"/>
    <s v="CUST0065"/>
    <x v="2"/>
    <x v="4"/>
    <x v="4"/>
    <x v="21"/>
    <n v="7"/>
    <n v="2655.66"/>
    <n v="0"/>
    <n v="2655.66"/>
    <n v="1905.95"/>
    <n v="749.71"/>
    <x v="2"/>
    <n v="89"/>
    <d v="2025-05-09T17:00:00"/>
    <s v="May"/>
    <n v="5"/>
    <s v="Q2"/>
    <x v="1"/>
    <x v="0"/>
    <x v="1"/>
    <x v="0"/>
  </r>
  <r>
    <x v="639"/>
    <x v="226"/>
    <s v="CUST0198"/>
    <x v="5"/>
    <x v="2"/>
    <x v="1"/>
    <x v="4"/>
    <n v="6"/>
    <n v="21121.68"/>
    <n v="0.1"/>
    <n v="19009.509999999998"/>
    <n v="10850.26"/>
    <n v="8159.25"/>
    <x v="0"/>
    <n v="6"/>
    <d v="2025-06-22T06:00:00"/>
    <s v="Jun"/>
    <n v="6"/>
    <s v="Q2"/>
    <x v="0"/>
    <x v="0"/>
    <x v="0"/>
    <x v="0"/>
  </r>
  <r>
    <x v="640"/>
    <x v="294"/>
    <s v="CUST0027"/>
    <x v="4"/>
    <x v="4"/>
    <x v="4"/>
    <x v="13"/>
    <n v="2"/>
    <n v="16892.759999999998"/>
    <n v="0.1"/>
    <n v="15203.48"/>
    <n v="12546.89"/>
    <n v="2656.59"/>
    <x v="1"/>
    <n v="19"/>
    <d v="2025-05-21T19:00:00"/>
    <s v="May"/>
    <n v="5"/>
    <s v="Q2"/>
    <x v="1"/>
    <x v="0"/>
    <x v="0"/>
    <x v="1"/>
  </r>
  <r>
    <x v="641"/>
    <x v="47"/>
    <s v="CUST0151"/>
    <x v="9"/>
    <x v="2"/>
    <x v="1"/>
    <x v="1"/>
    <n v="4"/>
    <n v="6441.12"/>
    <n v="0.15"/>
    <n v="5474.95"/>
    <n v="4428.62"/>
    <n v="1046.33"/>
    <x v="0"/>
    <n v="17"/>
    <d v="2025-08-30T17:00:00"/>
    <s v="Aug"/>
    <n v="8"/>
    <s v="Q3"/>
    <x v="0"/>
    <x v="0"/>
    <x v="0"/>
    <x v="0"/>
  </r>
  <r>
    <x v="642"/>
    <x v="153"/>
    <s v="CUST0268"/>
    <x v="5"/>
    <x v="4"/>
    <x v="4"/>
    <x v="21"/>
    <n v="6"/>
    <n v="34599.480000000003"/>
    <n v="0"/>
    <n v="34599.480000000003"/>
    <n v="21146.05"/>
    <n v="13453.43"/>
    <x v="3"/>
    <n v="6"/>
    <d v="2025-08-08T06:00:00"/>
    <s v="Aug"/>
    <n v="8"/>
    <s v="Q3"/>
    <x v="1"/>
    <x v="1"/>
    <x v="0"/>
    <x v="0"/>
  </r>
  <r>
    <x v="643"/>
    <x v="156"/>
    <s v="CUST0085"/>
    <x v="1"/>
    <x v="6"/>
    <x v="3"/>
    <x v="7"/>
    <n v="4"/>
    <n v="6391.44"/>
    <n v="0.2"/>
    <n v="5113.1499999999996"/>
    <n v="3882.56"/>
    <n v="1230.5899999999999"/>
    <x v="0"/>
    <n v="41"/>
    <d v="2025-05-07T17:00:00"/>
    <s v="May"/>
    <n v="5"/>
    <s v="Q2"/>
    <x v="0"/>
    <x v="0"/>
    <x v="0"/>
    <x v="0"/>
  </r>
  <r>
    <x v="644"/>
    <x v="212"/>
    <s v="CUST0066"/>
    <x v="2"/>
    <x v="1"/>
    <x v="2"/>
    <x v="11"/>
    <n v="7"/>
    <n v="43413.79"/>
    <n v="0.1"/>
    <n v="39072.410000000003"/>
    <n v="32041.1"/>
    <n v="7031.31"/>
    <x v="0"/>
    <n v="38"/>
    <d v="2025-02-28T14:00:00"/>
    <s v="Feb"/>
    <n v="2"/>
    <s v="Q1"/>
    <x v="0"/>
    <x v="0"/>
    <x v="0"/>
    <x v="0"/>
  </r>
  <r>
    <x v="645"/>
    <x v="169"/>
    <s v="CUST0133"/>
    <x v="8"/>
    <x v="4"/>
    <x v="3"/>
    <x v="18"/>
    <n v="6"/>
    <n v="26218.2"/>
    <n v="0.15"/>
    <n v="22285.47"/>
    <n v="16969.98"/>
    <n v="5315.49"/>
    <x v="0"/>
    <n v="4"/>
    <d v="2025-05-28T04:00:00"/>
    <s v="May"/>
    <n v="5"/>
    <s v="Q2"/>
    <x v="0"/>
    <x v="0"/>
    <x v="0"/>
    <x v="0"/>
  </r>
  <r>
    <x v="646"/>
    <x v="199"/>
    <s v="CUST0082"/>
    <x v="6"/>
    <x v="0"/>
    <x v="3"/>
    <x v="18"/>
    <n v="2"/>
    <n v="11655.52"/>
    <n v="0.15"/>
    <n v="9907.19"/>
    <n v="6463.76"/>
    <n v="3443.43"/>
    <x v="0"/>
    <n v="32"/>
    <d v="2025-11-14T08:00:00"/>
    <s v="Nov"/>
    <n v="11"/>
    <s v="Q4"/>
    <x v="0"/>
    <x v="0"/>
    <x v="0"/>
    <x v="0"/>
  </r>
  <r>
    <x v="647"/>
    <x v="281"/>
    <s v="CUST0098"/>
    <x v="6"/>
    <x v="6"/>
    <x v="2"/>
    <x v="2"/>
    <n v="1"/>
    <n v="1843.99"/>
    <n v="0"/>
    <n v="1843.99"/>
    <n v="1413.45"/>
    <n v="430.54"/>
    <x v="0"/>
    <n v="7"/>
    <d v="2025-12-27T07:00:00"/>
    <s v="Dec"/>
    <n v="12"/>
    <s v="Q4"/>
    <x v="0"/>
    <x v="0"/>
    <x v="0"/>
    <x v="0"/>
  </r>
  <r>
    <x v="648"/>
    <x v="247"/>
    <s v="CUST0073"/>
    <x v="6"/>
    <x v="5"/>
    <x v="2"/>
    <x v="2"/>
    <n v="2"/>
    <n v="12752"/>
    <n v="0"/>
    <n v="12752"/>
    <n v="7899.26"/>
    <n v="4852.74"/>
    <x v="0"/>
    <n v="36"/>
    <d v="2025-01-02T12:00:00"/>
    <s v="Jan"/>
    <n v="1"/>
    <s v="Q1"/>
    <x v="0"/>
    <x v="0"/>
    <x v="0"/>
    <x v="0"/>
  </r>
  <r>
    <x v="649"/>
    <x v="137"/>
    <s v="CUST0030"/>
    <x v="0"/>
    <x v="7"/>
    <x v="0"/>
    <x v="19"/>
    <n v="2"/>
    <n v="16926.84"/>
    <n v="0.15"/>
    <n v="14387.81"/>
    <n v="9424.36"/>
    <n v="4963.45"/>
    <x v="0"/>
    <n v="20"/>
    <d v="2025-12-14T20:00:00"/>
    <s v="Dec"/>
    <n v="12"/>
    <s v="Q4"/>
    <x v="0"/>
    <x v="0"/>
    <x v="0"/>
    <x v="0"/>
  </r>
  <r>
    <x v="650"/>
    <x v="32"/>
    <s v="CUST0125"/>
    <x v="1"/>
    <x v="4"/>
    <x v="0"/>
    <x v="17"/>
    <n v="1"/>
    <n v="5708.18"/>
    <n v="0"/>
    <n v="5708.18"/>
    <n v="3591.72"/>
    <n v="2116.46"/>
    <x v="0"/>
    <n v="31"/>
    <d v="2025-07-10T07:00:00"/>
    <s v="Jul"/>
    <n v="7"/>
    <s v="Q3"/>
    <x v="0"/>
    <x v="0"/>
    <x v="0"/>
    <x v="0"/>
  </r>
  <r>
    <x v="651"/>
    <x v="63"/>
    <s v="CUST0210"/>
    <x v="2"/>
    <x v="2"/>
    <x v="3"/>
    <x v="20"/>
    <n v="1"/>
    <n v="4270.5600000000004"/>
    <n v="0.15"/>
    <n v="3629.98"/>
    <n v="2663.63"/>
    <n v="966.35"/>
    <x v="1"/>
    <n v="19"/>
    <d v="2025-07-10T19:00:00"/>
    <s v="Jul"/>
    <n v="7"/>
    <s v="Q3"/>
    <x v="1"/>
    <x v="0"/>
    <x v="0"/>
    <x v="1"/>
  </r>
  <r>
    <x v="652"/>
    <x v="300"/>
    <s v="CUST0272"/>
    <x v="5"/>
    <x v="6"/>
    <x v="3"/>
    <x v="7"/>
    <n v="3"/>
    <n v="23575.5"/>
    <n v="0.15"/>
    <n v="20039.18"/>
    <n v="11737.24"/>
    <n v="8301.94"/>
    <x v="0"/>
    <n v="11"/>
    <d v="2025-11-08T11:00:00"/>
    <s v="Nov"/>
    <n v="11"/>
    <s v="Q4"/>
    <x v="0"/>
    <x v="0"/>
    <x v="0"/>
    <x v="0"/>
  </r>
  <r>
    <x v="653"/>
    <x v="245"/>
    <s v="CUST0213"/>
    <x v="0"/>
    <x v="3"/>
    <x v="1"/>
    <x v="4"/>
    <n v="6"/>
    <n v="1694.16"/>
    <n v="0.15"/>
    <n v="1440.04"/>
    <n v="1235.54"/>
    <n v="204.5"/>
    <x v="0"/>
    <n v="37"/>
    <d v="2025-04-28T13:00:00"/>
    <s v="Apr"/>
    <n v="4"/>
    <s v="Q2"/>
    <x v="0"/>
    <x v="0"/>
    <x v="0"/>
    <x v="0"/>
  </r>
  <r>
    <x v="654"/>
    <x v="133"/>
    <s v="CUST0133"/>
    <x v="1"/>
    <x v="7"/>
    <x v="1"/>
    <x v="10"/>
    <n v="7"/>
    <n v="43714.02"/>
    <n v="0.05"/>
    <n v="41528.32"/>
    <n v="27411.14"/>
    <n v="14117.18"/>
    <x v="3"/>
    <n v="23"/>
    <d v="2025-05-14T23:00:00"/>
    <s v="May"/>
    <n v="5"/>
    <s v="Q2"/>
    <x v="1"/>
    <x v="1"/>
    <x v="0"/>
    <x v="0"/>
  </r>
  <r>
    <x v="655"/>
    <x v="212"/>
    <s v="CUST0157"/>
    <x v="8"/>
    <x v="1"/>
    <x v="0"/>
    <x v="6"/>
    <n v="3"/>
    <n v="22713.09"/>
    <n v="0.05"/>
    <n v="21577.439999999999"/>
    <n v="13426.78"/>
    <n v="8150.66"/>
    <x v="2"/>
    <n v="88"/>
    <d v="2025-03-02T16:00:00"/>
    <s v="Feb"/>
    <n v="2"/>
    <s v="Q1"/>
    <x v="1"/>
    <x v="0"/>
    <x v="1"/>
    <x v="0"/>
  </r>
  <r>
    <x v="656"/>
    <x v="65"/>
    <s v="CUST0047"/>
    <x v="9"/>
    <x v="4"/>
    <x v="0"/>
    <x v="0"/>
    <n v="1"/>
    <n v="664.98"/>
    <n v="0.1"/>
    <n v="598.48"/>
    <n v="427.23"/>
    <n v="171.25"/>
    <x v="0"/>
    <n v="30"/>
    <d v="2025-02-14T06:00:00"/>
    <s v="Feb"/>
    <n v="2"/>
    <s v="Q1"/>
    <x v="0"/>
    <x v="0"/>
    <x v="0"/>
    <x v="0"/>
  </r>
  <r>
    <x v="657"/>
    <x v="226"/>
    <s v="CUST0022"/>
    <x v="2"/>
    <x v="4"/>
    <x v="1"/>
    <x v="1"/>
    <n v="4"/>
    <n v="15632.16"/>
    <n v="0"/>
    <n v="15632.16"/>
    <n v="10026.61"/>
    <n v="5605.55"/>
    <x v="1"/>
    <n v="7"/>
    <d v="2025-06-22T07:00:00"/>
    <s v="Jun"/>
    <n v="6"/>
    <s v="Q2"/>
    <x v="1"/>
    <x v="0"/>
    <x v="0"/>
    <x v="1"/>
  </r>
  <r>
    <x v="658"/>
    <x v="126"/>
    <s v="CUST0083"/>
    <x v="6"/>
    <x v="6"/>
    <x v="1"/>
    <x v="5"/>
    <n v="7"/>
    <n v="13015.87"/>
    <n v="0.15"/>
    <n v="11063.49"/>
    <n v="8037.83"/>
    <n v="3025.66"/>
    <x v="3"/>
    <n v="15"/>
    <d v="2025-06-09T15:00:00"/>
    <s v="Jun"/>
    <n v="6"/>
    <s v="Q2"/>
    <x v="1"/>
    <x v="1"/>
    <x v="0"/>
    <x v="0"/>
  </r>
  <r>
    <x v="659"/>
    <x v="226"/>
    <s v="CUST0234"/>
    <x v="4"/>
    <x v="5"/>
    <x v="4"/>
    <x v="23"/>
    <n v="4"/>
    <n v="19521.72"/>
    <n v="0.15"/>
    <n v="16593.46"/>
    <n v="11034.78"/>
    <n v="5558.68"/>
    <x v="3"/>
    <n v="12"/>
    <d v="2025-06-22T12:00:00"/>
    <s v="Jun"/>
    <n v="6"/>
    <s v="Q2"/>
    <x v="1"/>
    <x v="1"/>
    <x v="0"/>
    <x v="0"/>
  </r>
  <r>
    <x v="660"/>
    <x v="199"/>
    <s v="CUST0060"/>
    <x v="2"/>
    <x v="1"/>
    <x v="4"/>
    <x v="13"/>
    <n v="2"/>
    <n v="11147.36"/>
    <n v="0.05"/>
    <n v="10589.99"/>
    <n v="6286.03"/>
    <n v="4303.96"/>
    <x v="3"/>
    <n v="22"/>
    <d v="2025-11-13T22:00:00"/>
    <s v="Nov"/>
    <n v="11"/>
    <s v="Q4"/>
    <x v="1"/>
    <x v="1"/>
    <x v="0"/>
    <x v="0"/>
  </r>
  <r>
    <x v="661"/>
    <x v="301"/>
    <s v="CUST0188"/>
    <x v="7"/>
    <x v="3"/>
    <x v="1"/>
    <x v="1"/>
    <n v="5"/>
    <n v="13384.5"/>
    <n v="0.15"/>
    <n v="11376.82"/>
    <n v="7255.51"/>
    <n v="4121.3100000000004"/>
    <x v="0"/>
    <n v="25"/>
    <d v="2025-10-31T01:00:00"/>
    <s v="Oct"/>
    <n v="10"/>
    <s v="Q4"/>
    <x v="0"/>
    <x v="0"/>
    <x v="0"/>
    <x v="0"/>
  </r>
  <r>
    <x v="662"/>
    <x v="302"/>
    <s v="CUST0058"/>
    <x v="1"/>
    <x v="7"/>
    <x v="4"/>
    <x v="21"/>
    <n v="2"/>
    <n v="7981.7"/>
    <n v="0"/>
    <n v="7981.7"/>
    <n v="5544.77"/>
    <n v="2436.9299999999998"/>
    <x v="0"/>
    <n v="19"/>
    <d v="2025-05-29T19:00:00"/>
    <s v="May"/>
    <n v="5"/>
    <s v="Q2"/>
    <x v="0"/>
    <x v="0"/>
    <x v="0"/>
    <x v="0"/>
  </r>
  <r>
    <x v="663"/>
    <x v="303"/>
    <s v="CUST0259"/>
    <x v="3"/>
    <x v="0"/>
    <x v="2"/>
    <x v="15"/>
    <n v="2"/>
    <n v="4964.96"/>
    <n v="0.05"/>
    <n v="4716.71"/>
    <n v="2641.34"/>
    <n v="2075.37"/>
    <x v="2"/>
    <n v="64"/>
    <d v="2025-03-23T16:00:00"/>
    <s v="Mar"/>
    <n v="3"/>
    <s v="Q1"/>
    <x v="1"/>
    <x v="0"/>
    <x v="1"/>
    <x v="0"/>
  </r>
  <r>
    <x v="664"/>
    <x v="73"/>
    <s v="CUST0162"/>
    <x v="8"/>
    <x v="1"/>
    <x v="0"/>
    <x v="17"/>
    <n v="5"/>
    <n v="16172.1"/>
    <n v="0.25"/>
    <n v="12129.08"/>
    <n v="9755.57"/>
    <n v="2373.5100000000002"/>
    <x v="3"/>
    <n v="17"/>
    <d v="2025-08-01T17:00:00"/>
    <s v="Aug"/>
    <n v="8"/>
    <s v="Q3"/>
    <x v="1"/>
    <x v="1"/>
    <x v="0"/>
    <x v="0"/>
  </r>
  <r>
    <x v="665"/>
    <x v="159"/>
    <s v="CUST0002"/>
    <x v="9"/>
    <x v="4"/>
    <x v="0"/>
    <x v="6"/>
    <n v="6"/>
    <n v="8892.9599999999991"/>
    <n v="0.25"/>
    <n v="6669.72"/>
    <n v="5036.99"/>
    <n v="1632.73"/>
    <x v="2"/>
    <n v="74"/>
    <d v="2025-07-25T02:00:00"/>
    <s v="Jul"/>
    <n v="7"/>
    <s v="Q3"/>
    <x v="1"/>
    <x v="0"/>
    <x v="1"/>
    <x v="0"/>
  </r>
  <r>
    <x v="666"/>
    <x v="71"/>
    <s v="CUST0271"/>
    <x v="8"/>
    <x v="6"/>
    <x v="1"/>
    <x v="8"/>
    <n v="1"/>
    <n v="7544.42"/>
    <n v="0.1"/>
    <n v="6789.98"/>
    <n v="5081.95"/>
    <n v="1708.03"/>
    <x v="0"/>
    <n v="4"/>
    <d v="2025-09-09T04:00:00"/>
    <s v="Sep"/>
    <n v="9"/>
    <s v="Q3"/>
    <x v="0"/>
    <x v="0"/>
    <x v="0"/>
    <x v="0"/>
  </r>
  <r>
    <x v="667"/>
    <x v="244"/>
    <s v="CUST0143"/>
    <x v="2"/>
    <x v="3"/>
    <x v="3"/>
    <x v="7"/>
    <n v="4"/>
    <n v="934.36"/>
    <n v="0.2"/>
    <n v="747.49"/>
    <n v="545.80999999999995"/>
    <n v="201.68"/>
    <x v="3"/>
    <n v="14"/>
    <d v="2025-08-17T14:00:00"/>
    <s v="Aug"/>
    <n v="8"/>
    <s v="Q3"/>
    <x v="1"/>
    <x v="1"/>
    <x v="0"/>
    <x v="0"/>
  </r>
  <r>
    <x v="668"/>
    <x v="278"/>
    <s v="CUST0188"/>
    <x v="3"/>
    <x v="6"/>
    <x v="1"/>
    <x v="1"/>
    <n v="2"/>
    <n v="15036.24"/>
    <n v="0.1"/>
    <n v="13532.62"/>
    <n v="10079.14"/>
    <n v="3453.48"/>
    <x v="0"/>
    <n v="6"/>
    <d v="2025-06-13T06:00:00"/>
    <s v="Jun"/>
    <n v="6"/>
    <s v="Q2"/>
    <x v="0"/>
    <x v="0"/>
    <x v="0"/>
    <x v="0"/>
  </r>
  <r>
    <x v="669"/>
    <x v="106"/>
    <s v="CUST0224"/>
    <x v="7"/>
    <x v="7"/>
    <x v="4"/>
    <x v="21"/>
    <n v="5"/>
    <n v="24617.599999999999"/>
    <n v="0.05"/>
    <n v="23386.720000000001"/>
    <n v="20075.98"/>
    <n v="3310.74"/>
    <x v="3"/>
    <n v="16"/>
    <d v="2025-08-15T16:00:00"/>
    <s v="Aug"/>
    <n v="8"/>
    <s v="Q3"/>
    <x v="1"/>
    <x v="1"/>
    <x v="0"/>
    <x v="0"/>
  </r>
  <r>
    <x v="670"/>
    <x v="170"/>
    <s v="CUST0180"/>
    <x v="5"/>
    <x v="2"/>
    <x v="3"/>
    <x v="7"/>
    <n v="3"/>
    <n v="8758.02"/>
    <n v="0.05"/>
    <n v="8320.1200000000008"/>
    <n v="4599.59"/>
    <n v="3720.53"/>
    <x v="0"/>
    <n v="33"/>
    <d v="2025-05-28T09:00:00"/>
    <s v="May"/>
    <n v="5"/>
    <s v="Q2"/>
    <x v="0"/>
    <x v="0"/>
    <x v="0"/>
    <x v="0"/>
  </r>
  <r>
    <x v="671"/>
    <x v="227"/>
    <s v="CUST0023"/>
    <x v="4"/>
    <x v="2"/>
    <x v="4"/>
    <x v="23"/>
    <n v="2"/>
    <n v="12375.06"/>
    <n v="0.2"/>
    <n v="9900.0499999999993"/>
    <n v="5601.19"/>
    <n v="4298.8599999999997"/>
    <x v="0"/>
    <n v="12"/>
    <d v="2025-01-20T12:00:00"/>
    <s v="Jan"/>
    <n v="1"/>
    <s v="Q1"/>
    <x v="0"/>
    <x v="0"/>
    <x v="0"/>
    <x v="0"/>
  </r>
  <r>
    <x v="672"/>
    <x v="238"/>
    <s v="CUST0037"/>
    <x v="3"/>
    <x v="1"/>
    <x v="2"/>
    <x v="15"/>
    <n v="4"/>
    <n v="17558.919999999998"/>
    <n v="0"/>
    <n v="17558.919999999998"/>
    <n v="10767"/>
    <n v="6791.92"/>
    <x v="0"/>
    <n v="40"/>
    <d v="2025-02-17T16:00:00"/>
    <s v="Feb"/>
    <n v="2"/>
    <s v="Q1"/>
    <x v="0"/>
    <x v="0"/>
    <x v="0"/>
    <x v="0"/>
  </r>
  <r>
    <x v="673"/>
    <x v="141"/>
    <s v="CUST0107"/>
    <x v="1"/>
    <x v="6"/>
    <x v="4"/>
    <x v="9"/>
    <n v="1"/>
    <n v="4317.5600000000004"/>
    <n v="0.1"/>
    <n v="3885.8"/>
    <n v="2351.7199999999998"/>
    <n v="1534.08"/>
    <x v="0"/>
    <n v="4"/>
    <d v="2025-08-21T04:00:00"/>
    <s v="Aug"/>
    <n v="8"/>
    <s v="Q3"/>
    <x v="0"/>
    <x v="0"/>
    <x v="0"/>
    <x v="0"/>
  </r>
  <r>
    <x v="674"/>
    <x v="234"/>
    <s v="CUST0297"/>
    <x v="6"/>
    <x v="0"/>
    <x v="2"/>
    <x v="11"/>
    <n v="2"/>
    <n v="2139.38"/>
    <n v="0.1"/>
    <n v="1925.44"/>
    <n v="1174.1199999999999"/>
    <n v="751.32"/>
    <x v="0"/>
    <n v="45"/>
    <d v="2025-11-02T21:00:00"/>
    <s v="Nov"/>
    <n v="11"/>
    <s v="Q4"/>
    <x v="0"/>
    <x v="0"/>
    <x v="0"/>
    <x v="0"/>
  </r>
  <r>
    <x v="675"/>
    <x v="46"/>
    <s v="CUST0229"/>
    <x v="7"/>
    <x v="0"/>
    <x v="2"/>
    <x v="11"/>
    <n v="2"/>
    <n v="6804.92"/>
    <n v="0.15"/>
    <n v="5784.18"/>
    <n v="4463.8900000000003"/>
    <n v="1320.29"/>
    <x v="0"/>
    <n v="7"/>
    <d v="2025-01-14T07:00:00"/>
    <s v="Jan"/>
    <n v="1"/>
    <s v="Q1"/>
    <x v="0"/>
    <x v="0"/>
    <x v="0"/>
    <x v="0"/>
  </r>
  <r>
    <x v="676"/>
    <x v="121"/>
    <s v="CUST0097"/>
    <x v="4"/>
    <x v="2"/>
    <x v="4"/>
    <x v="9"/>
    <n v="6"/>
    <n v="12977.34"/>
    <n v="0.1"/>
    <n v="11679.61"/>
    <n v="8194.76"/>
    <n v="3484.85"/>
    <x v="0"/>
    <n v="18"/>
    <d v="2025-05-23T18:00:00"/>
    <s v="May"/>
    <n v="5"/>
    <s v="Q2"/>
    <x v="0"/>
    <x v="0"/>
    <x v="0"/>
    <x v="0"/>
  </r>
  <r>
    <x v="677"/>
    <x v="247"/>
    <s v="CUST0281"/>
    <x v="9"/>
    <x v="2"/>
    <x v="4"/>
    <x v="23"/>
    <n v="5"/>
    <n v="1405.3"/>
    <n v="0.05"/>
    <n v="1335.04"/>
    <n v="1171.21"/>
    <n v="163.83000000000001"/>
    <x v="0"/>
    <n v="30"/>
    <d v="2025-01-02T06:00:00"/>
    <s v="Jan"/>
    <n v="1"/>
    <s v="Q1"/>
    <x v="0"/>
    <x v="0"/>
    <x v="0"/>
    <x v="0"/>
  </r>
  <r>
    <x v="678"/>
    <x v="59"/>
    <s v="CUST0110"/>
    <x v="6"/>
    <x v="6"/>
    <x v="2"/>
    <x v="3"/>
    <n v="3"/>
    <n v="9470.49"/>
    <n v="0"/>
    <n v="9470.49"/>
    <n v="5917.85"/>
    <n v="3552.64"/>
    <x v="1"/>
    <n v="9"/>
    <d v="2025-02-23T09:00:00"/>
    <s v="Feb"/>
    <n v="2"/>
    <s v="Q1"/>
    <x v="1"/>
    <x v="0"/>
    <x v="0"/>
    <x v="1"/>
  </r>
  <r>
    <x v="679"/>
    <x v="142"/>
    <s v="CUST0037"/>
    <x v="2"/>
    <x v="5"/>
    <x v="3"/>
    <x v="7"/>
    <n v="3"/>
    <n v="2700.03"/>
    <n v="0.1"/>
    <n v="2430.0300000000002"/>
    <n v="1585.77"/>
    <n v="844.26"/>
    <x v="0"/>
    <n v="26"/>
    <d v="2025-09-17T02:00:00"/>
    <s v="Sep"/>
    <n v="9"/>
    <s v="Q3"/>
    <x v="0"/>
    <x v="0"/>
    <x v="0"/>
    <x v="0"/>
  </r>
  <r>
    <x v="680"/>
    <x v="165"/>
    <s v="CUST0040"/>
    <x v="3"/>
    <x v="4"/>
    <x v="2"/>
    <x v="15"/>
    <n v="7"/>
    <n v="16061.71"/>
    <n v="0.15"/>
    <n v="13652.45"/>
    <n v="11943.16"/>
    <n v="1709.29"/>
    <x v="0"/>
    <n v="18"/>
    <d v="2025-05-24T18:00:00"/>
    <s v="May"/>
    <n v="5"/>
    <s v="Q2"/>
    <x v="0"/>
    <x v="0"/>
    <x v="0"/>
    <x v="0"/>
  </r>
  <r>
    <x v="681"/>
    <x v="271"/>
    <s v="CUST0085"/>
    <x v="4"/>
    <x v="6"/>
    <x v="0"/>
    <x v="19"/>
    <n v="1"/>
    <n v="922.51"/>
    <n v="0.1"/>
    <n v="830.26"/>
    <n v="684.53"/>
    <n v="145.72999999999999"/>
    <x v="0"/>
    <n v="30"/>
    <d v="2025-01-13T06:00:00"/>
    <s v="Jan"/>
    <n v="1"/>
    <s v="Q1"/>
    <x v="0"/>
    <x v="0"/>
    <x v="0"/>
    <x v="0"/>
  </r>
  <r>
    <x v="682"/>
    <x v="269"/>
    <s v="CUST0188"/>
    <x v="0"/>
    <x v="3"/>
    <x v="2"/>
    <x v="11"/>
    <n v="7"/>
    <n v="6950.02"/>
    <n v="0.15"/>
    <n v="5907.52"/>
    <n v="4165"/>
    <n v="1742.52"/>
    <x v="0"/>
    <n v="34"/>
    <d v="2025-11-27T10:00:00"/>
    <s v="Nov"/>
    <n v="11"/>
    <s v="Q4"/>
    <x v="0"/>
    <x v="0"/>
    <x v="0"/>
    <x v="0"/>
  </r>
  <r>
    <x v="683"/>
    <x v="155"/>
    <s v="CUST0240"/>
    <x v="5"/>
    <x v="1"/>
    <x v="3"/>
    <x v="7"/>
    <n v="4"/>
    <n v="7246.96"/>
    <n v="0"/>
    <n v="7246.96"/>
    <n v="5312.14"/>
    <n v="1934.82"/>
    <x v="0"/>
    <n v="42"/>
    <d v="2025-08-13T18:00:00"/>
    <s v="Aug"/>
    <n v="8"/>
    <s v="Q3"/>
    <x v="0"/>
    <x v="0"/>
    <x v="0"/>
    <x v="0"/>
  </r>
  <r>
    <x v="684"/>
    <x v="251"/>
    <s v="CUST0019"/>
    <x v="5"/>
    <x v="7"/>
    <x v="0"/>
    <x v="17"/>
    <n v="1"/>
    <n v="8498.74"/>
    <n v="0.2"/>
    <n v="6798.99"/>
    <n v="5631.25"/>
    <n v="1167.74"/>
    <x v="0"/>
    <n v="11"/>
    <d v="2025-09-29T11:00:00"/>
    <s v="Sep"/>
    <n v="9"/>
    <s v="Q3"/>
    <x v="0"/>
    <x v="0"/>
    <x v="0"/>
    <x v="0"/>
  </r>
  <r>
    <x v="685"/>
    <x v="304"/>
    <s v="CUST0261"/>
    <x v="7"/>
    <x v="5"/>
    <x v="1"/>
    <x v="10"/>
    <n v="2"/>
    <n v="336.48"/>
    <n v="0.1"/>
    <n v="302.83"/>
    <n v="214.62"/>
    <n v="88.21"/>
    <x v="0"/>
    <n v="33"/>
    <d v="2025-12-25T09:00:00"/>
    <s v="Dec"/>
    <n v="12"/>
    <s v="Q4"/>
    <x v="0"/>
    <x v="0"/>
    <x v="0"/>
    <x v="0"/>
  </r>
  <r>
    <x v="686"/>
    <x v="305"/>
    <s v="CUST0158"/>
    <x v="9"/>
    <x v="0"/>
    <x v="1"/>
    <x v="1"/>
    <n v="2"/>
    <n v="10965.84"/>
    <n v="0"/>
    <n v="10965.84"/>
    <n v="6776.76"/>
    <n v="4189.08"/>
    <x v="2"/>
    <n v="56"/>
    <d v="2025-06-07T08:00:00"/>
    <s v="Jun"/>
    <n v="6"/>
    <s v="Q2"/>
    <x v="1"/>
    <x v="0"/>
    <x v="1"/>
    <x v="0"/>
  </r>
  <r>
    <x v="687"/>
    <x v="306"/>
    <s v="CUST0112"/>
    <x v="7"/>
    <x v="5"/>
    <x v="3"/>
    <x v="18"/>
    <n v="3"/>
    <n v="3988.14"/>
    <n v="0.1"/>
    <n v="3589.33"/>
    <n v="2955.41"/>
    <n v="633.91999999999996"/>
    <x v="0"/>
    <n v="21"/>
    <d v="2025-01-08T21:00:00"/>
    <s v="Jan"/>
    <n v="1"/>
    <s v="Q1"/>
    <x v="0"/>
    <x v="0"/>
    <x v="0"/>
    <x v="0"/>
  </r>
  <r>
    <x v="688"/>
    <x v="7"/>
    <s v="CUST0144"/>
    <x v="0"/>
    <x v="6"/>
    <x v="2"/>
    <x v="3"/>
    <n v="4"/>
    <n v="31348.959999999999"/>
    <n v="0.15"/>
    <n v="26646.62"/>
    <n v="19384.48"/>
    <n v="7262.14"/>
    <x v="2"/>
    <n v="74"/>
    <d v="2025-05-05T02:00:00"/>
    <s v="May"/>
    <n v="5"/>
    <s v="Q2"/>
    <x v="1"/>
    <x v="0"/>
    <x v="1"/>
    <x v="0"/>
  </r>
  <r>
    <x v="689"/>
    <x v="137"/>
    <s v="CUST0256"/>
    <x v="1"/>
    <x v="3"/>
    <x v="4"/>
    <x v="23"/>
    <n v="5"/>
    <n v="4659.1499999999996"/>
    <n v="0.2"/>
    <n v="3727.32"/>
    <n v="2238.27"/>
    <n v="1489.05"/>
    <x v="0"/>
    <n v="46"/>
    <d v="2025-12-15T22:00:00"/>
    <s v="Dec"/>
    <n v="12"/>
    <s v="Q4"/>
    <x v="0"/>
    <x v="0"/>
    <x v="0"/>
    <x v="0"/>
  </r>
  <r>
    <x v="690"/>
    <x v="278"/>
    <s v="CUST0018"/>
    <x v="9"/>
    <x v="5"/>
    <x v="3"/>
    <x v="20"/>
    <n v="4"/>
    <n v="32499.119999999999"/>
    <n v="0.05"/>
    <n v="30874.16"/>
    <n v="22131.94"/>
    <n v="8742.2199999999993"/>
    <x v="1"/>
    <n v="6"/>
    <d v="2025-06-13T06:00:00"/>
    <s v="Jun"/>
    <n v="6"/>
    <s v="Q2"/>
    <x v="1"/>
    <x v="0"/>
    <x v="0"/>
    <x v="1"/>
  </r>
  <r>
    <x v="691"/>
    <x v="273"/>
    <s v="CUST0184"/>
    <x v="8"/>
    <x v="2"/>
    <x v="0"/>
    <x v="6"/>
    <n v="2"/>
    <n v="10502.48"/>
    <n v="0.15"/>
    <n v="8927.11"/>
    <n v="6127.19"/>
    <n v="2799.92"/>
    <x v="0"/>
    <n v="6"/>
    <d v="2025-03-31T06:00:00"/>
    <s v="Mar"/>
    <n v="3"/>
    <s v="Q1"/>
    <x v="0"/>
    <x v="0"/>
    <x v="0"/>
    <x v="0"/>
  </r>
  <r>
    <x v="692"/>
    <x v="87"/>
    <s v="CUST0287"/>
    <x v="1"/>
    <x v="0"/>
    <x v="0"/>
    <x v="19"/>
    <n v="5"/>
    <n v="802.95"/>
    <n v="0"/>
    <n v="802.95"/>
    <n v="673.96"/>
    <n v="128.99"/>
    <x v="0"/>
    <n v="18"/>
    <d v="2025-05-16T18:00:00"/>
    <s v="May"/>
    <n v="5"/>
    <s v="Q2"/>
    <x v="0"/>
    <x v="0"/>
    <x v="0"/>
    <x v="0"/>
  </r>
  <r>
    <x v="693"/>
    <x v="232"/>
    <s v="CUST0131"/>
    <x v="9"/>
    <x v="5"/>
    <x v="1"/>
    <x v="8"/>
    <n v="4"/>
    <n v="30459.84"/>
    <n v="0"/>
    <n v="30459.84"/>
    <n v="18019.990000000002"/>
    <n v="12439.85"/>
    <x v="2"/>
    <n v="89"/>
    <d v="2025-07-08T17:00:00"/>
    <s v="Jul"/>
    <n v="7"/>
    <s v="Q3"/>
    <x v="1"/>
    <x v="0"/>
    <x v="1"/>
    <x v="0"/>
  </r>
  <r>
    <x v="694"/>
    <x v="45"/>
    <s v="CUST0281"/>
    <x v="9"/>
    <x v="0"/>
    <x v="0"/>
    <x v="6"/>
    <n v="4"/>
    <n v="18025.16"/>
    <n v="0.1"/>
    <n v="16222.64"/>
    <n v="13607.86"/>
    <n v="2614.7800000000002"/>
    <x v="0"/>
    <n v="41"/>
    <d v="2025-11-13T17:00:00"/>
    <s v="Nov"/>
    <n v="11"/>
    <s v="Q4"/>
    <x v="0"/>
    <x v="0"/>
    <x v="0"/>
    <x v="0"/>
  </r>
  <r>
    <x v="695"/>
    <x v="267"/>
    <s v="CUST0245"/>
    <x v="0"/>
    <x v="7"/>
    <x v="3"/>
    <x v="12"/>
    <n v="5"/>
    <n v="11716.45"/>
    <n v="0.1"/>
    <n v="10544.8"/>
    <n v="7582.02"/>
    <n v="2962.78"/>
    <x v="2"/>
    <n v="60"/>
    <d v="2025-06-29T12:00:00"/>
    <s v="Jun"/>
    <n v="6"/>
    <s v="Q2"/>
    <x v="1"/>
    <x v="0"/>
    <x v="1"/>
    <x v="0"/>
  </r>
  <r>
    <x v="696"/>
    <x v="94"/>
    <s v="CUST0008"/>
    <x v="2"/>
    <x v="0"/>
    <x v="0"/>
    <x v="6"/>
    <n v="2"/>
    <n v="13113.56"/>
    <n v="0.15"/>
    <n v="11146.53"/>
    <n v="7617.99"/>
    <n v="3528.54"/>
    <x v="2"/>
    <n v="95"/>
    <d v="2025-01-31T23:00:00"/>
    <s v="Jan"/>
    <n v="1"/>
    <s v="Q1"/>
    <x v="1"/>
    <x v="0"/>
    <x v="1"/>
    <x v="0"/>
  </r>
  <r>
    <x v="697"/>
    <x v="153"/>
    <s v="CUST0193"/>
    <x v="0"/>
    <x v="5"/>
    <x v="3"/>
    <x v="20"/>
    <n v="4"/>
    <n v="31550.639999999999"/>
    <n v="0.05"/>
    <n v="29973.11"/>
    <n v="18087.25"/>
    <n v="11885.86"/>
    <x v="0"/>
    <n v="4"/>
    <d v="2025-08-08T04:00:00"/>
    <s v="Aug"/>
    <n v="8"/>
    <s v="Q3"/>
    <x v="0"/>
    <x v="0"/>
    <x v="0"/>
    <x v="0"/>
  </r>
  <r>
    <x v="698"/>
    <x v="261"/>
    <s v="CUST0007"/>
    <x v="9"/>
    <x v="3"/>
    <x v="4"/>
    <x v="21"/>
    <n v="5"/>
    <n v="20944.099999999999"/>
    <n v="0"/>
    <n v="20944.099999999999"/>
    <n v="16363"/>
    <n v="4581.1000000000004"/>
    <x v="3"/>
    <n v="9"/>
    <d v="2025-12-23T09:00:00"/>
    <s v="Dec"/>
    <n v="12"/>
    <s v="Q4"/>
    <x v="1"/>
    <x v="1"/>
    <x v="0"/>
    <x v="0"/>
  </r>
  <r>
    <x v="699"/>
    <x v="79"/>
    <s v="CUST0136"/>
    <x v="4"/>
    <x v="0"/>
    <x v="1"/>
    <x v="1"/>
    <n v="6"/>
    <n v="16709.22"/>
    <n v="0.1"/>
    <n v="15038.3"/>
    <n v="12870.47"/>
    <n v="2167.83"/>
    <x v="3"/>
    <n v="16"/>
    <d v="2025-02-10T16:00:00"/>
    <s v="Feb"/>
    <n v="2"/>
    <s v="Q1"/>
    <x v="1"/>
    <x v="1"/>
    <x v="0"/>
    <x v="0"/>
  </r>
  <r>
    <x v="700"/>
    <x v="307"/>
    <s v="CUST0019"/>
    <x v="1"/>
    <x v="0"/>
    <x v="0"/>
    <x v="17"/>
    <n v="6"/>
    <n v="40426.14"/>
    <n v="0"/>
    <n v="40426.14"/>
    <n v="27242.15"/>
    <n v="13183.99"/>
    <x v="0"/>
    <n v="19"/>
    <d v="2025-08-16T19:00:00"/>
    <s v="Aug"/>
    <n v="8"/>
    <s v="Q3"/>
    <x v="0"/>
    <x v="0"/>
    <x v="0"/>
    <x v="0"/>
  </r>
  <r>
    <x v="701"/>
    <x v="20"/>
    <s v="CUST0139"/>
    <x v="0"/>
    <x v="6"/>
    <x v="3"/>
    <x v="16"/>
    <n v="2"/>
    <n v="11685.82"/>
    <n v="0"/>
    <n v="11685.82"/>
    <n v="7358.83"/>
    <n v="4326.99"/>
    <x v="0"/>
    <n v="41"/>
    <d v="2025-07-12T17:00:00"/>
    <s v="Jul"/>
    <n v="7"/>
    <s v="Q3"/>
    <x v="0"/>
    <x v="0"/>
    <x v="0"/>
    <x v="0"/>
  </r>
  <r>
    <x v="702"/>
    <x v="241"/>
    <s v="CUST0177"/>
    <x v="2"/>
    <x v="6"/>
    <x v="2"/>
    <x v="2"/>
    <n v="5"/>
    <n v="37855.4"/>
    <n v="0.05"/>
    <n v="35962.629999999997"/>
    <n v="26364.42"/>
    <n v="9598.2099999999991"/>
    <x v="0"/>
    <n v="13"/>
    <d v="2025-05-25T13:00:00"/>
    <s v="May"/>
    <n v="5"/>
    <s v="Q2"/>
    <x v="0"/>
    <x v="0"/>
    <x v="0"/>
    <x v="0"/>
  </r>
  <r>
    <x v="703"/>
    <x v="95"/>
    <s v="CUST0011"/>
    <x v="3"/>
    <x v="2"/>
    <x v="1"/>
    <x v="4"/>
    <n v="6"/>
    <n v="35594.94"/>
    <n v="0.05"/>
    <n v="33815.19"/>
    <n v="27483"/>
    <n v="6332.19"/>
    <x v="0"/>
    <n v="45"/>
    <d v="2025-07-21T21:00:00"/>
    <s v="Jul"/>
    <n v="7"/>
    <s v="Q3"/>
    <x v="0"/>
    <x v="0"/>
    <x v="0"/>
    <x v="0"/>
  </r>
  <r>
    <x v="704"/>
    <x v="308"/>
    <s v="CUST0041"/>
    <x v="7"/>
    <x v="1"/>
    <x v="4"/>
    <x v="21"/>
    <n v="5"/>
    <n v="10917.3"/>
    <n v="0.05"/>
    <n v="10371.44"/>
    <n v="5717.19"/>
    <n v="4654.25"/>
    <x v="0"/>
    <n v="40"/>
    <d v="2025-08-01T16:00:00"/>
    <s v="Jul"/>
    <n v="7"/>
    <s v="Q3"/>
    <x v="0"/>
    <x v="0"/>
    <x v="0"/>
    <x v="0"/>
  </r>
  <r>
    <x v="705"/>
    <x v="153"/>
    <s v="CUST0114"/>
    <x v="9"/>
    <x v="4"/>
    <x v="3"/>
    <x v="16"/>
    <n v="4"/>
    <n v="31717.4"/>
    <n v="0.1"/>
    <n v="28545.66"/>
    <n v="21647.73"/>
    <n v="6897.93"/>
    <x v="3"/>
    <n v="11"/>
    <d v="2025-08-08T11:00:00"/>
    <s v="Aug"/>
    <n v="8"/>
    <s v="Q3"/>
    <x v="1"/>
    <x v="1"/>
    <x v="0"/>
    <x v="0"/>
  </r>
  <r>
    <x v="706"/>
    <x v="164"/>
    <s v="CUST0180"/>
    <x v="8"/>
    <x v="3"/>
    <x v="4"/>
    <x v="21"/>
    <n v="2"/>
    <n v="2050.7600000000002"/>
    <n v="0"/>
    <n v="2050.7600000000002"/>
    <n v="1531.61"/>
    <n v="519.15"/>
    <x v="0"/>
    <n v="31"/>
    <d v="2025-08-29T07:00:00"/>
    <s v="Aug"/>
    <n v="8"/>
    <s v="Q3"/>
    <x v="0"/>
    <x v="0"/>
    <x v="0"/>
    <x v="0"/>
  </r>
  <r>
    <x v="707"/>
    <x v="202"/>
    <s v="CUST0194"/>
    <x v="3"/>
    <x v="4"/>
    <x v="4"/>
    <x v="22"/>
    <n v="6"/>
    <n v="14323.92"/>
    <n v="0"/>
    <n v="14323.92"/>
    <n v="9382.0300000000007"/>
    <n v="4941.8900000000003"/>
    <x v="0"/>
    <n v="15"/>
    <d v="2025-02-15T15:00:00"/>
    <s v="Feb"/>
    <n v="2"/>
    <s v="Q1"/>
    <x v="0"/>
    <x v="0"/>
    <x v="0"/>
    <x v="0"/>
  </r>
  <r>
    <x v="708"/>
    <x v="54"/>
    <s v="CUST0196"/>
    <x v="5"/>
    <x v="4"/>
    <x v="0"/>
    <x v="17"/>
    <n v="7"/>
    <n v="31455.34"/>
    <n v="0.1"/>
    <n v="28309.81"/>
    <n v="19787.7"/>
    <n v="8522.11"/>
    <x v="0"/>
    <n v="23"/>
    <d v="2025-02-04T23:00:00"/>
    <s v="Feb"/>
    <n v="2"/>
    <s v="Q1"/>
    <x v="0"/>
    <x v="0"/>
    <x v="0"/>
    <x v="0"/>
  </r>
  <r>
    <x v="709"/>
    <x v="25"/>
    <s v="CUST0225"/>
    <x v="6"/>
    <x v="0"/>
    <x v="0"/>
    <x v="14"/>
    <n v="4"/>
    <n v="19495.8"/>
    <n v="0"/>
    <n v="19495.8"/>
    <n v="12311.56"/>
    <n v="7184.24"/>
    <x v="2"/>
    <n v="90"/>
    <d v="2025-09-13T18:00:00"/>
    <s v="Sep"/>
    <n v="9"/>
    <s v="Q3"/>
    <x v="1"/>
    <x v="0"/>
    <x v="1"/>
    <x v="0"/>
  </r>
  <r>
    <x v="710"/>
    <x v="309"/>
    <s v="CUST0261"/>
    <x v="2"/>
    <x v="5"/>
    <x v="3"/>
    <x v="18"/>
    <n v="7"/>
    <n v="1944.88"/>
    <n v="0.1"/>
    <n v="1750.39"/>
    <n v="1418.98"/>
    <n v="331.41"/>
    <x v="2"/>
    <n v="53"/>
    <d v="2025-03-25T05:00:00"/>
    <s v="Mar"/>
    <n v="3"/>
    <s v="Q1"/>
    <x v="1"/>
    <x v="0"/>
    <x v="1"/>
    <x v="0"/>
  </r>
  <r>
    <x v="711"/>
    <x v="207"/>
    <s v="CUST0116"/>
    <x v="8"/>
    <x v="2"/>
    <x v="2"/>
    <x v="15"/>
    <n v="7"/>
    <n v="46674.46"/>
    <n v="0"/>
    <n v="46674.46"/>
    <n v="35444.42"/>
    <n v="11230.04"/>
    <x v="0"/>
    <n v="32"/>
    <d v="2025-09-14T08:00:00"/>
    <s v="Sep"/>
    <n v="9"/>
    <s v="Q3"/>
    <x v="0"/>
    <x v="0"/>
    <x v="0"/>
    <x v="0"/>
  </r>
  <r>
    <x v="712"/>
    <x v="310"/>
    <s v="CUST0150"/>
    <x v="6"/>
    <x v="7"/>
    <x v="3"/>
    <x v="20"/>
    <n v="1"/>
    <n v="3169.42"/>
    <n v="0.05"/>
    <n v="3010.95"/>
    <n v="2185.33"/>
    <n v="825.62"/>
    <x v="0"/>
    <n v="15"/>
    <d v="2025-07-16T15:00:00"/>
    <s v="Jul"/>
    <n v="7"/>
    <s v="Q3"/>
    <x v="0"/>
    <x v="0"/>
    <x v="0"/>
    <x v="0"/>
  </r>
  <r>
    <x v="713"/>
    <x v="301"/>
    <s v="CUST0118"/>
    <x v="2"/>
    <x v="5"/>
    <x v="2"/>
    <x v="2"/>
    <n v="1"/>
    <n v="3543.59"/>
    <n v="0"/>
    <n v="3543.59"/>
    <n v="2407.9899999999998"/>
    <n v="1135.5999999999999"/>
    <x v="1"/>
    <n v="24"/>
    <d v="2025-10-31T00:00:00"/>
    <s v="Oct"/>
    <n v="10"/>
    <s v="Q4"/>
    <x v="1"/>
    <x v="0"/>
    <x v="0"/>
    <x v="1"/>
  </r>
  <r>
    <x v="714"/>
    <x v="264"/>
    <s v="CUST0165"/>
    <x v="4"/>
    <x v="5"/>
    <x v="4"/>
    <x v="23"/>
    <n v="2"/>
    <n v="13816.48"/>
    <n v="0"/>
    <n v="13816.48"/>
    <n v="8927.61"/>
    <n v="4888.87"/>
    <x v="0"/>
    <n v="47"/>
    <d v="2025-01-11T23:00:00"/>
    <s v="Jan"/>
    <n v="1"/>
    <s v="Q1"/>
    <x v="0"/>
    <x v="0"/>
    <x v="0"/>
    <x v="0"/>
  </r>
  <r>
    <x v="715"/>
    <x v="300"/>
    <s v="CUST0252"/>
    <x v="7"/>
    <x v="7"/>
    <x v="1"/>
    <x v="8"/>
    <n v="6"/>
    <n v="19902.12"/>
    <n v="0.1"/>
    <n v="17911.91"/>
    <n v="14714.69"/>
    <n v="3197.22"/>
    <x v="2"/>
    <n v="60"/>
    <d v="2025-11-10T12:00:00"/>
    <s v="Nov"/>
    <n v="11"/>
    <s v="Q4"/>
    <x v="1"/>
    <x v="0"/>
    <x v="1"/>
    <x v="0"/>
  </r>
  <r>
    <x v="716"/>
    <x v="135"/>
    <s v="CUST0267"/>
    <x v="3"/>
    <x v="0"/>
    <x v="3"/>
    <x v="20"/>
    <n v="6"/>
    <n v="3265.98"/>
    <n v="0.2"/>
    <n v="2612.7800000000002"/>
    <n v="1826.24"/>
    <n v="786.54"/>
    <x v="1"/>
    <n v="16"/>
    <d v="2025-10-13T16:00:00"/>
    <s v="Oct"/>
    <n v="10"/>
    <s v="Q4"/>
    <x v="1"/>
    <x v="0"/>
    <x v="0"/>
    <x v="1"/>
  </r>
  <r>
    <x v="717"/>
    <x v="47"/>
    <s v="CUST0044"/>
    <x v="1"/>
    <x v="2"/>
    <x v="3"/>
    <x v="7"/>
    <n v="6"/>
    <n v="9739.6200000000008"/>
    <n v="0"/>
    <n v="9739.6200000000008"/>
    <n v="6968.48"/>
    <n v="2771.14"/>
    <x v="0"/>
    <n v="20"/>
    <d v="2025-08-30T20:00:00"/>
    <s v="Aug"/>
    <n v="8"/>
    <s v="Q3"/>
    <x v="0"/>
    <x v="0"/>
    <x v="0"/>
    <x v="0"/>
  </r>
  <r>
    <x v="718"/>
    <x v="311"/>
    <s v="CUST0181"/>
    <x v="2"/>
    <x v="3"/>
    <x v="2"/>
    <x v="11"/>
    <n v="5"/>
    <n v="40658.949999999997"/>
    <n v="0.05"/>
    <n v="38626"/>
    <n v="27883.09"/>
    <n v="10742.91"/>
    <x v="0"/>
    <n v="13"/>
    <d v="2025-09-08T13:00:00"/>
    <s v="Sep"/>
    <n v="9"/>
    <s v="Q3"/>
    <x v="0"/>
    <x v="0"/>
    <x v="0"/>
    <x v="0"/>
  </r>
  <r>
    <x v="719"/>
    <x v="196"/>
    <s v="CUST0077"/>
    <x v="1"/>
    <x v="4"/>
    <x v="4"/>
    <x v="13"/>
    <n v="4"/>
    <n v="2951.52"/>
    <n v="0.15"/>
    <n v="2508.79"/>
    <n v="1751.04"/>
    <n v="757.75"/>
    <x v="0"/>
    <n v="21"/>
    <d v="2025-12-31T21:00:00"/>
    <s v="Dec"/>
    <n v="12"/>
    <s v="Q4"/>
    <x v="0"/>
    <x v="0"/>
    <x v="0"/>
    <x v="0"/>
  </r>
  <r>
    <x v="720"/>
    <x v="109"/>
    <s v="CUST0116"/>
    <x v="7"/>
    <x v="1"/>
    <x v="4"/>
    <x v="23"/>
    <n v="6"/>
    <n v="18682.080000000002"/>
    <n v="0.1"/>
    <n v="16813.87"/>
    <n v="10668.55"/>
    <n v="6145.32"/>
    <x v="1"/>
    <n v="18"/>
    <d v="2025-01-05T18:00:00"/>
    <s v="Jan"/>
    <n v="1"/>
    <s v="Q1"/>
    <x v="1"/>
    <x v="0"/>
    <x v="0"/>
    <x v="1"/>
  </r>
  <r>
    <x v="721"/>
    <x v="312"/>
    <s v="CUST0067"/>
    <x v="9"/>
    <x v="2"/>
    <x v="2"/>
    <x v="3"/>
    <n v="4"/>
    <n v="17406.2"/>
    <n v="0.15"/>
    <n v="14795.27"/>
    <n v="8724.9500000000007"/>
    <n v="6070.32"/>
    <x v="3"/>
    <n v="0"/>
    <d v="2025-04-29T00:00:00"/>
    <s v="Apr"/>
    <n v="4"/>
    <s v="Q2"/>
    <x v="1"/>
    <x v="1"/>
    <x v="0"/>
    <x v="0"/>
  </r>
  <r>
    <x v="722"/>
    <x v="91"/>
    <s v="CUST0013"/>
    <x v="5"/>
    <x v="4"/>
    <x v="4"/>
    <x v="22"/>
    <n v="2"/>
    <n v="8537.7800000000007"/>
    <n v="0"/>
    <n v="8537.7800000000007"/>
    <n v="4973.3999999999996"/>
    <n v="3564.38"/>
    <x v="0"/>
    <n v="4"/>
    <d v="2025-10-16T04:00:00"/>
    <s v="Oct"/>
    <n v="10"/>
    <s v="Q4"/>
    <x v="0"/>
    <x v="0"/>
    <x v="0"/>
    <x v="0"/>
  </r>
  <r>
    <x v="723"/>
    <x v="83"/>
    <s v="CUST0092"/>
    <x v="3"/>
    <x v="7"/>
    <x v="0"/>
    <x v="14"/>
    <n v="7"/>
    <n v="1281.49"/>
    <n v="0.25"/>
    <n v="961.12"/>
    <n v="768.86"/>
    <n v="192.26"/>
    <x v="1"/>
    <n v="13"/>
    <d v="2025-03-06T13:00:00"/>
    <s v="Mar"/>
    <n v="3"/>
    <s v="Q1"/>
    <x v="1"/>
    <x v="0"/>
    <x v="0"/>
    <x v="1"/>
  </r>
  <r>
    <x v="724"/>
    <x v="291"/>
    <s v="CUST0246"/>
    <x v="7"/>
    <x v="4"/>
    <x v="1"/>
    <x v="1"/>
    <n v="6"/>
    <n v="26008.26"/>
    <n v="0.05"/>
    <n v="24707.85"/>
    <n v="15411.87"/>
    <n v="9295.98"/>
    <x v="1"/>
    <n v="3"/>
    <d v="2025-05-26T03:00:00"/>
    <s v="May"/>
    <n v="5"/>
    <s v="Q2"/>
    <x v="1"/>
    <x v="0"/>
    <x v="0"/>
    <x v="1"/>
  </r>
  <r>
    <x v="725"/>
    <x v="155"/>
    <s v="CUST0267"/>
    <x v="7"/>
    <x v="6"/>
    <x v="3"/>
    <x v="12"/>
    <n v="2"/>
    <n v="6709"/>
    <n v="0.05"/>
    <n v="6373.55"/>
    <n v="3622.55"/>
    <n v="2751"/>
    <x v="3"/>
    <n v="4"/>
    <d v="2025-08-12T04:00:00"/>
    <s v="Aug"/>
    <n v="8"/>
    <s v="Q3"/>
    <x v="1"/>
    <x v="1"/>
    <x v="0"/>
    <x v="0"/>
  </r>
  <r>
    <x v="726"/>
    <x v="248"/>
    <s v="CUST0139"/>
    <x v="4"/>
    <x v="6"/>
    <x v="1"/>
    <x v="8"/>
    <n v="6"/>
    <n v="49601.16"/>
    <n v="0.2"/>
    <n v="39680.93"/>
    <n v="32267.77"/>
    <n v="7413.16"/>
    <x v="0"/>
    <n v="39"/>
    <d v="2025-08-28T15:00:00"/>
    <s v="Aug"/>
    <n v="8"/>
    <s v="Q3"/>
    <x v="0"/>
    <x v="0"/>
    <x v="0"/>
    <x v="0"/>
  </r>
  <r>
    <x v="727"/>
    <x v="279"/>
    <s v="CUST0244"/>
    <x v="6"/>
    <x v="1"/>
    <x v="3"/>
    <x v="12"/>
    <n v="1"/>
    <n v="1478.98"/>
    <n v="0.1"/>
    <n v="1331.08"/>
    <n v="799.77"/>
    <n v="531.30999999999995"/>
    <x v="0"/>
    <n v="34"/>
    <d v="2025-06-27T10:00:00"/>
    <s v="Jun"/>
    <n v="6"/>
    <s v="Q2"/>
    <x v="0"/>
    <x v="0"/>
    <x v="0"/>
    <x v="0"/>
  </r>
  <r>
    <x v="728"/>
    <x v="174"/>
    <s v="CUST0273"/>
    <x v="5"/>
    <x v="3"/>
    <x v="0"/>
    <x v="0"/>
    <n v="3"/>
    <n v="9321.57"/>
    <n v="0.1"/>
    <n v="8389.41"/>
    <n v="6344.9"/>
    <n v="2044.51"/>
    <x v="0"/>
    <n v="34"/>
    <d v="2025-09-25T10:00:00"/>
    <s v="Sep"/>
    <n v="9"/>
    <s v="Q3"/>
    <x v="0"/>
    <x v="0"/>
    <x v="0"/>
    <x v="0"/>
  </r>
  <r>
    <x v="729"/>
    <x v="260"/>
    <s v="CUST0191"/>
    <x v="3"/>
    <x v="4"/>
    <x v="4"/>
    <x v="23"/>
    <n v="2"/>
    <n v="7305.34"/>
    <n v="0.15"/>
    <n v="6209.54"/>
    <n v="4109.18"/>
    <n v="2100.36"/>
    <x v="2"/>
    <n v="93"/>
    <d v="2025-12-10T21:00:00"/>
    <s v="Dec"/>
    <n v="12"/>
    <s v="Q4"/>
    <x v="1"/>
    <x v="0"/>
    <x v="1"/>
    <x v="0"/>
  </r>
  <r>
    <x v="730"/>
    <x v="313"/>
    <s v="CUST0097"/>
    <x v="9"/>
    <x v="6"/>
    <x v="2"/>
    <x v="15"/>
    <n v="6"/>
    <n v="20473.740000000002"/>
    <n v="0.1"/>
    <n v="18426.37"/>
    <n v="10903.59"/>
    <n v="7522.78"/>
    <x v="0"/>
    <n v="22"/>
    <d v="2025-10-09T22:00:00"/>
    <s v="Oct"/>
    <n v="10"/>
    <s v="Q4"/>
    <x v="0"/>
    <x v="0"/>
    <x v="0"/>
    <x v="0"/>
  </r>
  <r>
    <x v="731"/>
    <x v="88"/>
    <s v="CUST0205"/>
    <x v="9"/>
    <x v="3"/>
    <x v="0"/>
    <x v="19"/>
    <n v="3"/>
    <n v="17129.07"/>
    <n v="0"/>
    <n v="17129.07"/>
    <n v="11763.88"/>
    <n v="5365.19"/>
    <x v="0"/>
    <n v="15"/>
    <d v="2025-03-04T15:00:00"/>
    <s v="Mar"/>
    <n v="3"/>
    <s v="Q1"/>
    <x v="0"/>
    <x v="0"/>
    <x v="0"/>
    <x v="0"/>
  </r>
  <r>
    <x v="732"/>
    <x v="78"/>
    <s v="CUST0137"/>
    <x v="0"/>
    <x v="2"/>
    <x v="1"/>
    <x v="5"/>
    <n v="2"/>
    <n v="3899.06"/>
    <n v="0.1"/>
    <n v="3509.15"/>
    <n v="1947.18"/>
    <n v="1561.97"/>
    <x v="3"/>
    <n v="24"/>
    <d v="2025-08-06T00:00:00"/>
    <s v="Aug"/>
    <n v="8"/>
    <s v="Q3"/>
    <x v="1"/>
    <x v="1"/>
    <x v="0"/>
    <x v="0"/>
  </r>
  <r>
    <x v="733"/>
    <x v="216"/>
    <s v="CUST0077"/>
    <x v="7"/>
    <x v="2"/>
    <x v="2"/>
    <x v="3"/>
    <n v="5"/>
    <n v="9979.75"/>
    <n v="0"/>
    <n v="9979.75"/>
    <n v="8258.69"/>
    <n v="1721.06"/>
    <x v="0"/>
    <n v="34"/>
    <d v="2025-12-09T10:00:00"/>
    <s v="Dec"/>
    <n v="12"/>
    <s v="Q4"/>
    <x v="0"/>
    <x v="0"/>
    <x v="0"/>
    <x v="0"/>
  </r>
  <r>
    <x v="734"/>
    <x v="148"/>
    <s v="CUST0037"/>
    <x v="2"/>
    <x v="6"/>
    <x v="4"/>
    <x v="9"/>
    <n v="6"/>
    <n v="37433.46"/>
    <n v="0.15"/>
    <n v="31818.44"/>
    <n v="22891.91"/>
    <n v="8926.5300000000007"/>
    <x v="0"/>
    <n v="48"/>
    <d v="2025-11-13T00:00:00"/>
    <s v="Nov"/>
    <n v="11"/>
    <s v="Q4"/>
    <x v="0"/>
    <x v="0"/>
    <x v="0"/>
    <x v="0"/>
  </r>
  <r>
    <x v="735"/>
    <x v="112"/>
    <s v="CUST0286"/>
    <x v="4"/>
    <x v="3"/>
    <x v="0"/>
    <x v="17"/>
    <n v="5"/>
    <n v="21637.15"/>
    <n v="0.25"/>
    <n v="16227.86"/>
    <n v="9670.5499999999993"/>
    <n v="6557.31"/>
    <x v="0"/>
    <n v="25"/>
    <d v="2025-10-11T01:00:00"/>
    <s v="Oct"/>
    <n v="10"/>
    <s v="Q4"/>
    <x v="0"/>
    <x v="0"/>
    <x v="0"/>
    <x v="0"/>
  </r>
  <r>
    <x v="736"/>
    <x v="279"/>
    <s v="CUST0135"/>
    <x v="5"/>
    <x v="3"/>
    <x v="2"/>
    <x v="3"/>
    <n v="1"/>
    <n v="3616.55"/>
    <n v="0.05"/>
    <n v="3435.72"/>
    <n v="2158.33"/>
    <n v="1277.3900000000001"/>
    <x v="3"/>
    <n v="18"/>
    <d v="2025-06-26T18:00:00"/>
    <s v="Jun"/>
    <n v="6"/>
    <s v="Q2"/>
    <x v="1"/>
    <x v="1"/>
    <x v="0"/>
    <x v="0"/>
  </r>
  <r>
    <x v="737"/>
    <x v="163"/>
    <s v="CUST0142"/>
    <x v="9"/>
    <x v="6"/>
    <x v="0"/>
    <x v="14"/>
    <n v="6"/>
    <n v="9377.1"/>
    <n v="0.05"/>
    <n v="8908.25"/>
    <n v="6216.46"/>
    <n v="2691.79"/>
    <x v="0"/>
    <n v="26"/>
    <d v="2025-04-09T02:00:00"/>
    <s v="Apr"/>
    <n v="4"/>
    <s v="Q2"/>
    <x v="0"/>
    <x v="0"/>
    <x v="0"/>
    <x v="0"/>
  </r>
  <r>
    <x v="738"/>
    <x v="276"/>
    <s v="CUST0254"/>
    <x v="3"/>
    <x v="0"/>
    <x v="0"/>
    <x v="14"/>
    <n v="7"/>
    <n v="12010.95"/>
    <n v="0"/>
    <n v="12010.95"/>
    <n v="7354.63"/>
    <n v="4656.32"/>
    <x v="1"/>
    <n v="14"/>
    <d v="2025-04-15T14:00:00"/>
    <s v="Apr"/>
    <n v="4"/>
    <s v="Q2"/>
    <x v="1"/>
    <x v="0"/>
    <x v="0"/>
    <x v="1"/>
  </r>
  <r>
    <x v="739"/>
    <x v="103"/>
    <s v="CUST0048"/>
    <x v="0"/>
    <x v="7"/>
    <x v="4"/>
    <x v="21"/>
    <n v="1"/>
    <n v="238.11"/>
    <n v="0"/>
    <n v="238.11"/>
    <n v="152.07"/>
    <n v="86.04"/>
    <x v="0"/>
    <n v="29"/>
    <d v="2025-04-10T05:00:00"/>
    <s v="Apr"/>
    <n v="4"/>
    <s v="Q2"/>
    <x v="0"/>
    <x v="0"/>
    <x v="0"/>
    <x v="0"/>
  </r>
  <r>
    <x v="740"/>
    <x v="239"/>
    <s v="CUST0255"/>
    <x v="3"/>
    <x v="3"/>
    <x v="3"/>
    <x v="16"/>
    <n v="3"/>
    <n v="2740.23"/>
    <n v="0.2"/>
    <n v="2192.1799999999998"/>
    <n v="1592.28"/>
    <n v="599.9"/>
    <x v="3"/>
    <n v="11"/>
    <d v="2025-11-07T11:00:00"/>
    <s v="Nov"/>
    <n v="11"/>
    <s v="Q4"/>
    <x v="1"/>
    <x v="1"/>
    <x v="0"/>
    <x v="0"/>
  </r>
  <r>
    <x v="741"/>
    <x v="203"/>
    <s v="CUST0134"/>
    <x v="4"/>
    <x v="2"/>
    <x v="2"/>
    <x v="15"/>
    <n v="2"/>
    <n v="9599.2000000000007"/>
    <n v="0"/>
    <n v="9599.2000000000007"/>
    <n v="7917.05"/>
    <n v="1682.15"/>
    <x v="0"/>
    <n v="26"/>
    <d v="2025-01-07T02:00:00"/>
    <s v="Jan"/>
    <n v="1"/>
    <s v="Q1"/>
    <x v="0"/>
    <x v="0"/>
    <x v="0"/>
    <x v="0"/>
  </r>
  <r>
    <x v="742"/>
    <x v="310"/>
    <s v="CUST0290"/>
    <x v="2"/>
    <x v="0"/>
    <x v="4"/>
    <x v="9"/>
    <n v="4"/>
    <n v="30388.560000000001"/>
    <n v="0.05"/>
    <n v="28869.13"/>
    <n v="19706.27"/>
    <n v="9162.86"/>
    <x v="1"/>
    <n v="1"/>
    <d v="2025-07-16T01:00:00"/>
    <s v="Jul"/>
    <n v="7"/>
    <s v="Q3"/>
    <x v="1"/>
    <x v="0"/>
    <x v="0"/>
    <x v="1"/>
  </r>
  <r>
    <x v="743"/>
    <x v="69"/>
    <s v="CUST0208"/>
    <x v="0"/>
    <x v="4"/>
    <x v="0"/>
    <x v="0"/>
    <n v="1"/>
    <n v="2547.83"/>
    <n v="0.15"/>
    <n v="2165.66"/>
    <n v="1703.51"/>
    <n v="462.15"/>
    <x v="1"/>
    <n v="3"/>
    <d v="2025-12-17T03:00:00"/>
    <s v="Dec"/>
    <n v="12"/>
    <s v="Q4"/>
    <x v="1"/>
    <x v="0"/>
    <x v="0"/>
    <x v="1"/>
  </r>
  <r>
    <x v="744"/>
    <x v="288"/>
    <s v="CUST0101"/>
    <x v="0"/>
    <x v="0"/>
    <x v="4"/>
    <x v="9"/>
    <n v="4"/>
    <n v="11546.76"/>
    <n v="0.2"/>
    <n v="9237.41"/>
    <n v="7753.01"/>
    <n v="1484.4"/>
    <x v="0"/>
    <n v="43"/>
    <d v="2025-05-14T19:00:00"/>
    <s v="May"/>
    <n v="5"/>
    <s v="Q2"/>
    <x v="0"/>
    <x v="0"/>
    <x v="0"/>
    <x v="0"/>
  </r>
  <r>
    <x v="745"/>
    <x v="304"/>
    <s v="CUST0046"/>
    <x v="6"/>
    <x v="6"/>
    <x v="3"/>
    <x v="7"/>
    <n v="4"/>
    <n v="4461.24"/>
    <n v="0.1"/>
    <n v="4015.12"/>
    <n v="2494.91"/>
    <n v="1520.21"/>
    <x v="2"/>
    <n v="68"/>
    <d v="2025-12-26T20:00:00"/>
    <s v="Dec"/>
    <n v="12"/>
    <s v="Q4"/>
    <x v="1"/>
    <x v="0"/>
    <x v="1"/>
    <x v="0"/>
  </r>
  <r>
    <x v="746"/>
    <x v="142"/>
    <s v="CUST0070"/>
    <x v="5"/>
    <x v="0"/>
    <x v="2"/>
    <x v="11"/>
    <n v="2"/>
    <n v="6790.14"/>
    <n v="0.1"/>
    <n v="6111.13"/>
    <n v="4988.96"/>
    <n v="1122.17"/>
    <x v="0"/>
    <n v="11"/>
    <d v="2025-09-16T11:00:00"/>
    <s v="Sep"/>
    <n v="9"/>
    <s v="Q3"/>
    <x v="0"/>
    <x v="0"/>
    <x v="0"/>
    <x v="0"/>
  </r>
  <r>
    <x v="747"/>
    <x v="262"/>
    <s v="CUST0136"/>
    <x v="0"/>
    <x v="7"/>
    <x v="3"/>
    <x v="18"/>
    <n v="3"/>
    <n v="1382.4"/>
    <n v="0.1"/>
    <n v="1244.1600000000001"/>
    <n v="995.26"/>
    <n v="248.9"/>
    <x v="0"/>
    <n v="21"/>
    <d v="2025-01-23T21:00:00"/>
    <s v="Jan"/>
    <n v="1"/>
    <s v="Q1"/>
    <x v="0"/>
    <x v="0"/>
    <x v="0"/>
    <x v="0"/>
  </r>
  <r>
    <x v="748"/>
    <x v="50"/>
    <s v="CUST0280"/>
    <x v="6"/>
    <x v="6"/>
    <x v="1"/>
    <x v="8"/>
    <n v="2"/>
    <n v="15623.94"/>
    <n v="0.25"/>
    <n v="11717.96"/>
    <n v="7825.13"/>
    <n v="3892.83"/>
    <x v="0"/>
    <n v="44"/>
    <d v="2025-02-23T20:00:00"/>
    <s v="Feb"/>
    <n v="2"/>
    <s v="Q1"/>
    <x v="0"/>
    <x v="0"/>
    <x v="0"/>
    <x v="0"/>
  </r>
  <r>
    <x v="749"/>
    <x v="146"/>
    <s v="CUST0067"/>
    <x v="6"/>
    <x v="1"/>
    <x v="2"/>
    <x v="11"/>
    <n v="6"/>
    <n v="34622.879999999997"/>
    <n v="0.1"/>
    <n v="31160.59"/>
    <n v="27313.55"/>
    <n v="3847.04"/>
    <x v="2"/>
    <n v="84"/>
    <d v="2025-06-17T12:00:00"/>
    <s v="Jun"/>
    <n v="6"/>
    <s v="Q2"/>
    <x v="1"/>
    <x v="0"/>
    <x v="1"/>
    <x v="0"/>
  </r>
  <r>
    <x v="750"/>
    <x v="67"/>
    <s v="CUST0004"/>
    <x v="4"/>
    <x v="4"/>
    <x v="3"/>
    <x v="16"/>
    <n v="1"/>
    <n v="8422.75"/>
    <n v="0.1"/>
    <n v="7580.48"/>
    <n v="4826.1000000000004"/>
    <n v="2754.38"/>
    <x v="3"/>
    <n v="14"/>
    <d v="2025-07-21T14:00:00"/>
    <s v="Jul"/>
    <n v="7"/>
    <s v="Q3"/>
    <x v="1"/>
    <x v="1"/>
    <x v="0"/>
    <x v="0"/>
  </r>
  <r>
    <x v="751"/>
    <x v="314"/>
    <s v="CUST0224"/>
    <x v="1"/>
    <x v="2"/>
    <x v="0"/>
    <x v="0"/>
    <n v="4"/>
    <n v="30086.28"/>
    <n v="0"/>
    <n v="30086.28"/>
    <n v="19077.259999999998"/>
    <n v="11009.02"/>
    <x v="0"/>
    <n v="39"/>
    <d v="2025-03-25T15:00:00"/>
    <s v="Mar"/>
    <n v="3"/>
    <s v="Q1"/>
    <x v="0"/>
    <x v="0"/>
    <x v="0"/>
    <x v="0"/>
  </r>
  <r>
    <x v="752"/>
    <x v="241"/>
    <s v="CUST0001"/>
    <x v="3"/>
    <x v="1"/>
    <x v="2"/>
    <x v="2"/>
    <n v="2"/>
    <n v="8198.94"/>
    <n v="0"/>
    <n v="8198.94"/>
    <n v="6598.88"/>
    <n v="1600.06"/>
    <x v="1"/>
    <n v="24"/>
    <d v="2025-05-26T00:00:00"/>
    <s v="May"/>
    <n v="5"/>
    <s v="Q2"/>
    <x v="1"/>
    <x v="0"/>
    <x v="0"/>
    <x v="1"/>
  </r>
  <r>
    <x v="753"/>
    <x v="315"/>
    <s v="CUST0290"/>
    <x v="2"/>
    <x v="0"/>
    <x v="2"/>
    <x v="11"/>
    <n v="2"/>
    <n v="8978.74"/>
    <n v="0.1"/>
    <n v="8080.87"/>
    <n v="5603.57"/>
    <n v="2477.3000000000002"/>
    <x v="0"/>
    <n v="40"/>
    <d v="2025-03-27T16:00:00"/>
    <s v="Mar"/>
    <n v="3"/>
    <s v="Q1"/>
    <x v="0"/>
    <x v="0"/>
    <x v="0"/>
    <x v="0"/>
  </r>
  <r>
    <x v="754"/>
    <x v="316"/>
    <s v="CUST0109"/>
    <x v="8"/>
    <x v="3"/>
    <x v="4"/>
    <x v="22"/>
    <n v="2"/>
    <n v="3482.62"/>
    <n v="0.2"/>
    <n v="2786.1"/>
    <n v="1836.49"/>
    <n v="949.61"/>
    <x v="1"/>
    <n v="21"/>
    <d v="2025-03-19T21:00:00"/>
    <s v="Mar"/>
    <n v="3"/>
    <s v="Q1"/>
    <x v="1"/>
    <x v="0"/>
    <x v="0"/>
    <x v="1"/>
  </r>
  <r>
    <x v="755"/>
    <x v="247"/>
    <s v="CUST0265"/>
    <x v="3"/>
    <x v="0"/>
    <x v="0"/>
    <x v="17"/>
    <n v="1"/>
    <n v="4008.03"/>
    <n v="0.2"/>
    <n v="3206.42"/>
    <n v="1952.58"/>
    <n v="1253.8399999999999"/>
    <x v="0"/>
    <n v="42"/>
    <d v="2025-01-02T18:00:00"/>
    <s v="Jan"/>
    <n v="1"/>
    <s v="Q1"/>
    <x v="0"/>
    <x v="0"/>
    <x v="0"/>
    <x v="0"/>
  </r>
  <r>
    <x v="756"/>
    <x v="34"/>
    <s v="CUST0063"/>
    <x v="0"/>
    <x v="5"/>
    <x v="1"/>
    <x v="5"/>
    <n v="3"/>
    <n v="23070.84"/>
    <n v="0.25"/>
    <n v="17303.13"/>
    <n v="13886.79"/>
    <n v="3416.34"/>
    <x v="1"/>
    <n v="24"/>
    <d v="2025-02-21T00:00:00"/>
    <s v="Feb"/>
    <n v="2"/>
    <s v="Q1"/>
    <x v="1"/>
    <x v="0"/>
    <x v="0"/>
    <x v="1"/>
  </r>
  <r>
    <x v="757"/>
    <x v="226"/>
    <s v="CUST0266"/>
    <x v="2"/>
    <x v="2"/>
    <x v="3"/>
    <x v="18"/>
    <n v="7"/>
    <n v="4022.41"/>
    <n v="0.1"/>
    <n v="3620.17"/>
    <n v="2930.48"/>
    <n v="689.69"/>
    <x v="0"/>
    <n v="10"/>
    <d v="2025-06-22T10:00:00"/>
    <s v="Jun"/>
    <n v="6"/>
    <s v="Q2"/>
    <x v="0"/>
    <x v="0"/>
    <x v="0"/>
    <x v="0"/>
  </r>
  <r>
    <x v="758"/>
    <x v="317"/>
    <s v="CUST0138"/>
    <x v="9"/>
    <x v="2"/>
    <x v="4"/>
    <x v="13"/>
    <n v="2"/>
    <n v="14721.4"/>
    <n v="0.15"/>
    <n v="12513.19"/>
    <n v="9221.7999999999993"/>
    <n v="3291.39"/>
    <x v="2"/>
    <n v="50"/>
    <d v="2025-07-26T02:00:00"/>
    <s v="Jul"/>
    <n v="7"/>
    <s v="Q3"/>
    <x v="1"/>
    <x v="0"/>
    <x v="1"/>
    <x v="0"/>
  </r>
  <r>
    <x v="759"/>
    <x v="61"/>
    <s v="CUST0044"/>
    <x v="1"/>
    <x v="5"/>
    <x v="3"/>
    <x v="18"/>
    <n v="1"/>
    <n v="2996.91"/>
    <n v="0.15"/>
    <n v="2547.37"/>
    <n v="2205.8000000000002"/>
    <n v="341.57"/>
    <x v="0"/>
    <n v="23"/>
    <d v="2025-09-17T23:00:00"/>
    <s v="Sep"/>
    <n v="9"/>
    <s v="Q3"/>
    <x v="0"/>
    <x v="0"/>
    <x v="0"/>
    <x v="0"/>
  </r>
  <r>
    <x v="760"/>
    <x v="215"/>
    <s v="CUST0262"/>
    <x v="9"/>
    <x v="3"/>
    <x v="1"/>
    <x v="1"/>
    <n v="4"/>
    <n v="30643.72"/>
    <n v="0.1"/>
    <n v="27579.35"/>
    <n v="18064.310000000001"/>
    <n v="9515.0400000000009"/>
    <x v="0"/>
    <n v="13"/>
    <d v="2025-10-15T13:00:00"/>
    <s v="Oct"/>
    <n v="10"/>
    <s v="Q4"/>
    <x v="0"/>
    <x v="0"/>
    <x v="0"/>
    <x v="0"/>
  </r>
  <r>
    <x v="761"/>
    <x v="318"/>
    <s v="CUST0216"/>
    <x v="9"/>
    <x v="1"/>
    <x v="1"/>
    <x v="1"/>
    <n v="6"/>
    <n v="48038.1"/>
    <n v="0.05"/>
    <n v="45636.2"/>
    <n v="28407.360000000001"/>
    <n v="17228.84"/>
    <x v="1"/>
    <n v="20"/>
    <d v="2025-02-03T20:00:00"/>
    <s v="Feb"/>
    <n v="2"/>
    <s v="Q1"/>
    <x v="1"/>
    <x v="0"/>
    <x v="0"/>
    <x v="1"/>
  </r>
  <r>
    <x v="762"/>
    <x v="137"/>
    <s v="CUST0121"/>
    <x v="5"/>
    <x v="1"/>
    <x v="2"/>
    <x v="2"/>
    <n v="7"/>
    <n v="40262.04"/>
    <n v="0.1"/>
    <n v="36235.839999999997"/>
    <n v="28030.74"/>
    <n v="8205.1"/>
    <x v="0"/>
    <n v="7"/>
    <d v="2025-12-14T07:00:00"/>
    <s v="Dec"/>
    <n v="12"/>
    <s v="Q4"/>
    <x v="0"/>
    <x v="0"/>
    <x v="0"/>
    <x v="0"/>
  </r>
  <r>
    <x v="763"/>
    <x v="206"/>
    <s v="CUST0152"/>
    <x v="3"/>
    <x v="3"/>
    <x v="1"/>
    <x v="8"/>
    <n v="5"/>
    <n v="28489.7"/>
    <n v="0.2"/>
    <n v="22791.759999999998"/>
    <n v="18239.669999999998"/>
    <n v="4552.09"/>
    <x v="2"/>
    <n v="65"/>
    <d v="2025-04-07T17:00:00"/>
    <s v="Apr"/>
    <n v="4"/>
    <s v="Q2"/>
    <x v="1"/>
    <x v="0"/>
    <x v="1"/>
    <x v="0"/>
  </r>
  <r>
    <x v="764"/>
    <x v="4"/>
    <s v="CUST0213"/>
    <x v="8"/>
    <x v="7"/>
    <x v="3"/>
    <x v="12"/>
    <n v="7"/>
    <n v="27513.5"/>
    <n v="0.05"/>
    <n v="26137.82"/>
    <n v="16315.72"/>
    <n v="9822.1"/>
    <x v="0"/>
    <n v="27"/>
    <d v="2025-03-14T03:00:00"/>
    <s v="Mar"/>
    <n v="3"/>
    <s v="Q1"/>
    <x v="0"/>
    <x v="0"/>
    <x v="0"/>
    <x v="0"/>
  </r>
  <r>
    <x v="765"/>
    <x v="173"/>
    <s v="CUST0234"/>
    <x v="4"/>
    <x v="5"/>
    <x v="0"/>
    <x v="14"/>
    <n v="7"/>
    <n v="49887.32"/>
    <n v="0.2"/>
    <n v="39909.86"/>
    <n v="22959.41"/>
    <n v="16950.45"/>
    <x v="1"/>
    <n v="12"/>
    <d v="2025-02-08T12:00:00"/>
    <s v="Feb"/>
    <n v="2"/>
    <s v="Q1"/>
    <x v="1"/>
    <x v="0"/>
    <x v="0"/>
    <x v="1"/>
  </r>
  <r>
    <x v="766"/>
    <x v="255"/>
    <s v="CUST0111"/>
    <x v="8"/>
    <x v="4"/>
    <x v="0"/>
    <x v="19"/>
    <n v="1"/>
    <n v="8179.47"/>
    <n v="0.05"/>
    <n v="7770.5"/>
    <n v="6352.15"/>
    <n v="1418.35"/>
    <x v="0"/>
    <n v="44"/>
    <d v="2025-06-04T20:00:00"/>
    <s v="Jun"/>
    <n v="6"/>
    <s v="Q2"/>
    <x v="0"/>
    <x v="0"/>
    <x v="0"/>
    <x v="0"/>
  </r>
  <r>
    <x v="767"/>
    <x v="263"/>
    <s v="CUST0222"/>
    <x v="9"/>
    <x v="6"/>
    <x v="2"/>
    <x v="2"/>
    <n v="5"/>
    <n v="33109.65"/>
    <n v="0.15"/>
    <n v="28143.200000000001"/>
    <n v="24547.78"/>
    <n v="3595.42"/>
    <x v="0"/>
    <n v="4"/>
    <d v="2025-09-07T04:00:00"/>
    <s v="Sep"/>
    <n v="9"/>
    <s v="Q3"/>
    <x v="0"/>
    <x v="0"/>
    <x v="0"/>
    <x v="0"/>
  </r>
  <r>
    <x v="768"/>
    <x v="66"/>
    <s v="CUST0226"/>
    <x v="0"/>
    <x v="5"/>
    <x v="3"/>
    <x v="7"/>
    <n v="2"/>
    <n v="10686.34"/>
    <n v="0.1"/>
    <n v="9617.7099999999991"/>
    <n v="7335.83"/>
    <n v="2281.88"/>
    <x v="2"/>
    <n v="76"/>
    <d v="2025-06-14T04:00:00"/>
    <s v="Jun"/>
    <n v="6"/>
    <s v="Q2"/>
    <x v="1"/>
    <x v="0"/>
    <x v="1"/>
    <x v="0"/>
  </r>
  <r>
    <x v="769"/>
    <x v="250"/>
    <s v="CUST0210"/>
    <x v="1"/>
    <x v="1"/>
    <x v="3"/>
    <x v="12"/>
    <n v="2"/>
    <n v="10433.44"/>
    <n v="0.15"/>
    <n v="8868.42"/>
    <n v="5690.83"/>
    <n v="3177.59"/>
    <x v="0"/>
    <n v="48"/>
    <d v="2025-04-30T00:00:00"/>
    <s v="Apr"/>
    <n v="4"/>
    <s v="Q2"/>
    <x v="0"/>
    <x v="0"/>
    <x v="0"/>
    <x v="0"/>
  </r>
  <r>
    <x v="770"/>
    <x v="142"/>
    <s v="CUST0071"/>
    <x v="7"/>
    <x v="4"/>
    <x v="1"/>
    <x v="1"/>
    <n v="7"/>
    <n v="50701.49"/>
    <n v="0.05"/>
    <n v="48166.42"/>
    <n v="42333.56"/>
    <n v="5832.86"/>
    <x v="3"/>
    <n v="12"/>
    <d v="2025-09-16T12:00:00"/>
    <s v="Sep"/>
    <n v="9"/>
    <s v="Q3"/>
    <x v="1"/>
    <x v="1"/>
    <x v="0"/>
    <x v="0"/>
  </r>
  <r>
    <x v="771"/>
    <x v="224"/>
    <s v="CUST0089"/>
    <x v="8"/>
    <x v="6"/>
    <x v="3"/>
    <x v="12"/>
    <n v="1"/>
    <n v="4669.05"/>
    <n v="0.2"/>
    <n v="3735.24"/>
    <n v="3155.45"/>
    <n v="579.79"/>
    <x v="2"/>
    <n v="60"/>
    <d v="2025-11-04T12:00:00"/>
    <s v="Nov"/>
    <n v="11"/>
    <s v="Q4"/>
    <x v="1"/>
    <x v="0"/>
    <x v="1"/>
    <x v="0"/>
  </r>
  <r>
    <x v="772"/>
    <x v="97"/>
    <s v="CUST0262"/>
    <x v="9"/>
    <x v="0"/>
    <x v="4"/>
    <x v="13"/>
    <n v="5"/>
    <n v="34311.15"/>
    <n v="0.1"/>
    <n v="30880.04"/>
    <n v="22215.58"/>
    <n v="8664.4599999999991"/>
    <x v="0"/>
    <n v="10"/>
    <d v="2025-09-25T10:00:00"/>
    <s v="Sep"/>
    <n v="9"/>
    <s v="Q3"/>
    <x v="0"/>
    <x v="0"/>
    <x v="0"/>
    <x v="0"/>
  </r>
  <r>
    <x v="773"/>
    <x v="59"/>
    <s v="CUST0188"/>
    <x v="1"/>
    <x v="6"/>
    <x v="1"/>
    <x v="4"/>
    <n v="2"/>
    <n v="8798.3799999999992"/>
    <n v="0.05"/>
    <n v="8358.4599999999991"/>
    <n v="6873.63"/>
    <n v="1484.83"/>
    <x v="0"/>
    <n v="12"/>
    <d v="2025-02-23T12:00:00"/>
    <s v="Feb"/>
    <n v="2"/>
    <s v="Q1"/>
    <x v="0"/>
    <x v="0"/>
    <x v="0"/>
    <x v="0"/>
  </r>
  <r>
    <x v="774"/>
    <x v="26"/>
    <s v="CUST0112"/>
    <x v="2"/>
    <x v="1"/>
    <x v="4"/>
    <x v="22"/>
    <n v="4"/>
    <n v="2685.64"/>
    <n v="0.1"/>
    <n v="2417.08"/>
    <n v="1980.12"/>
    <n v="436.96"/>
    <x v="1"/>
    <n v="4"/>
    <d v="2025-08-24T04:00:00"/>
    <s v="Aug"/>
    <n v="8"/>
    <s v="Q3"/>
    <x v="1"/>
    <x v="0"/>
    <x v="0"/>
    <x v="1"/>
  </r>
  <r>
    <x v="775"/>
    <x v="120"/>
    <s v="CUST0239"/>
    <x v="3"/>
    <x v="7"/>
    <x v="2"/>
    <x v="3"/>
    <n v="3"/>
    <n v="10067.879999999999"/>
    <n v="0.05"/>
    <n v="9564.49"/>
    <n v="8210.9599999999991"/>
    <n v="1353.53"/>
    <x v="0"/>
    <n v="38"/>
    <d v="2025-08-11T14:00:00"/>
    <s v="Aug"/>
    <n v="8"/>
    <s v="Q3"/>
    <x v="0"/>
    <x v="0"/>
    <x v="0"/>
    <x v="0"/>
  </r>
  <r>
    <x v="776"/>
    <x v="311"/>
    <s v="CUST0256"/>
    <x v="6"/>
    <x v="7"/>
    <x v="0"/>
    <x v="0"/>
    <n v="3"/>
    <n v="11583.24"/>
    <n v="0.05"/>
    <n v="11004.08"/>
    <n v="9105.93"/>
    <n v="1898.15"/>
    <x v="0"/>
    <n v="15"/>
    <d v="2025-09-08T15:00:00"/>
    <s v="Sep"/>
    <n v="9"/>
    <s v="Q3"/>
    <x v="0"/>
    <x v="0"/>
    <x v="0"/>
    <x v="0"/>
  </r>
  <r>
    <x v="777"/>
    <x v="225"/>
    <s v="CUST0150"/>
    <x v="5"/>
    <x v="4"/>
    <x v="2"/>
    <x v="3"/>
    <n v="2"/>
    <n v="2665"/>
    <n v="0.05"/>
    <n v="2531.75"/>
    <n v="1930.24"/>
    <n v="601.51"/>
    <x v="1"/>
    <n v="7"/>
    <d v="2025-11-09T07:00:00"/>
    <s v="Nov"/>
    <n v="11"/>
    <s v="Q4"/>
    <x v="1"/>
    <x v="0"/>
    <x v="0"/>
    <x v="1"/>
  </r>
  <r>
    <x v="778"/>
    <x v="178"/>
    <s v="CUST0127"/>
    <x v="1"/>
    <x v="0"/>
    <x v="0"/>
    <x v="17"/>
    <n v="5"/>
    <n v="5029.2"/>
    <n v="0.2"/>
    <n v="4023.36"/>
    <n v="3021.83"/>
    <n v="1001.53"/>
    <x v="3"/>
    <n v="23"/>
    <d v="2025-04-22T23:00:00"/>
    <s v="Apr"/>
    <n v="4"/>
    <s v="Q2"/>
    <x v="1"/>
    <x v="1"/>
    <x v="0"/>
    <x v="0"/>
  </r>
  <r>
    <x v="779"/>
    <x v="110"/>
    <s v="CUST0274"/>
    <x v="0"/>
    <x v="4"/>
    <x v="2"/>
    <x v="11"/>
    <n v="6"/>
    <n v="27726.78"/>
    <n v="0.1"/>
    <n v="24954.1"/>
    <n v="17573.37"/>
    <n v="7380.73"/>
    <x v="1"/>
    <n v="6"/>
    <d v="2025-09-12T06:00:00"/>
    <s v="Sep"/>
    <n v="9"/>
    <s v="Q3"/>
    <x v="1"/>
    <x v="0"/>
    <x v="0"/>
    <x v="1"/>
  </r>
  <r>
    <x v="780"/>
    <x v="301"/>
    <s v="CUST0139"/>
    <x v="0"/>
    <x v="3"/>
    <x v="3"/>
    <x v="20"/>
    <n v="2"/>
    <n v="1721.9"/>
    <n v="0.1"/>
    <n v="1549.71"/>
    <n v="1172.73"/>
    <n v="376.98"/>
    <x v="3"/>
    <n v="20"/>
    <d v="2025-10-30T20:00:00"/>
    <s v="Oct"/>
    <n v="10"/>
    <s v="Q4"/>
    <x v="1"/>
    <x v="1"/>
    <x v="0"/>
    <x v="0"/>
  </r>
  <r>
    <x v="781"/>
    <x v="113"/>
    <s v="CUST0103"/>
    <x v="1"/>
    <x v="7"/>
    <x v="4"/>
    <x v="22"/>
    <n v="6"/>
    <n v="16077.54"/>
    <n v="0.05"/>
    <n v="15273.66"/>
    <n v="12408.65"/>
    <n v="2865.01"/>
    <x v="1"/>
    <n v="17"/>
    <d v="2025-07-26T17:00:00"/>
    <s v="Jul"/>
    <n v="7"/>
    <s v="Q3"/>
    <x v="1"/>
    <x v="0"/>
    <x v="0"/>
    <x v="1"/>
  </r>
  <r>
    <x v="782"/>
    <x v="244"/>
    <s v="CUST0242"/>
    <x v="0"/>
    <x v="4"/>
    <x v="0"/>
    <x v="6"/>
    <n v="6"/>
    <n v="38204.28"/>
    <n v="0.05"/>
    <n v="36294.07"/>
    <n v="31567.94"/>
    <n v="4726.13"/>
    <x v="0"/>
    <n v="36"/>
    <d v="2025-08-18T12:00:00"/>
    <s v="Aug"/>
    <n v="8"/>
    <s v="Q3"/>
    <x v="0"/>
    <x v="0"/>
    <x v="0"/>
    <x v="0"/>
  </r>
  <r>
    <x v="783"/>
    <x v="260"/>
    <s v="CUST0117"/>
    <x v="3"/>
    <x v="3"/>
    <x v="1"/>
    <x v="8"/>
    <n v="5"/>
    <n v="41015.050000000003"/>
    <n v="0.25"/>
    <n v="30761.29"/>
    <n v="21662.25"/>
    <n v="9099.0400000000009"/>
    <x v="3"/>
    <n v="14"/>
    <d v="2025-12-07T14:00:00"/>
    <s v="Dec"/>
    <n v="12"/>
    <s v="Q4"/>
    <x v="1"/>
    <x v="1"/>
    <x v="0"/>
    <x v="0"/>
  </r>
  <r>
    <x v="784"/>
    <x v="131"/>
    <s v="CUST0214"/>
    <x v="0"/>
    <x v="0"/>
    <x v="4"/>
    <x v="21"/>
    <n v="6"/>
    <n v="36865.32"/>
    <n v="0.1"/>
    <n v="33178.79"/>
    <n v="24529.26"/>
    <n v="8649.5300000000007"/>
    <x v="0"/>
    <n v="5"/>
    <d v="2025-03-07T05:00:00"/>
    <s v="Mar"/>
    <n v="3"/>
    <s v="Q1"/>
    <x v="0"/>
    <x v="0"/>
    <x v="0"/>
    <x v="0"/>
  </r>
  <r>
    <x v="785"/>
    <x v="184"/>
    <s v="CUST0017"/>
    <x v="8"/>
    <x v="2"/>
    <x v="1"/>
    <x v="8"/>
    <n v="4"/>
    <n v="33753.68"/>
    <n v="0.2"/>
    <n v="27002.94"/>
    <n v="18815.27"/>
    <n v="8187.67"/>
    <x v="2"/>
    <n v="94"/>
    <d v="2025-03-19T22:00:00"/>
    <s v="Mar"/>
    <n v="3"/>
    <s v="Q1"/>
    <x v="1"/>
    <x v="0"/>
    <x v="1"/>
    <x v="0"/>
  </r>
  <r>
    <x v="786"/>
    <x v="0"/>
    <s v="CUST0179"/>
    <x v="6"/>
    <x v="6"/>
    <x v="4"/>
    <x v="22"/>
    <n v="5"/>
    <n v="29905.599999999999"/>
    <n v="0.05"/>
    <n v="28410.32"/>
    <n v="21893.03"/>
    <n v="6517.29"/>
    <x v="3"/>
    <n v="11"/>
    <d v="2025-04-13T11:00:00"/>
    <s v="Apr"/>
    <n v="4"/>
    <s v="Q2"/>
    <x v="1"/>
    <x v="1"/>
    <x v="0"/>
    <x v="0"/>
  </r>
  <r>
    <x v="787"/>
    <x v="20"/>
    <s v="CUST0224"/>
    <x v="0"/>
    <x v="4"/>
    <x v="4"/>
    <x v="23"/>
    <n v="2"/>
    <n v="5206.3599999999997"/>
    <n v="0"/>
    <n v="5206.3599999999997"/>
    <n v="3945.76"/>
    <n v="1260.5999999999999"/>
    <x v="3"/>
    <n v="6"/>
    <d v="2025-07-11T06:00:00"/>
    <s v="Jul"/>
    <n v="7"/>
    <s v="Q3"/>
    <x v="1"/>
    <x v="1"/>
    <x v="0"/>
    <x v="0"/>
  </r>
  <r>
    <x v="788"/>
    <x v="71"/>
    <s v="CUST0270"/>
    <x v="6"/>
    <x v="3"/>
    <x v="2"/>
    <x v="24"/>
    <n v="7"/>
    <n v="40331.480000000003"/>
    <n v="0.2"/>
    <n v="32265.18"/>
    <n v="17935.73"/>
    <n v="14329.45"/>
    <x v="1"/>
    <n v="6"/>
    <d v="2025-09-09T06:00:00"/>
    <s v="Sep"/>
    <n v="9"/>
    <s v="Q3"/>
    <x v="1"/>
    <x v="0"/>
    <x v="0"/>
    <x v="1"/>
  </r>
  <r>
    <x v="789"/>
    <x v="198"/>
    <s v="CUST0134"/>
    <x v="9"/>
    <x v="7"/>
    <x v="0"/>
    <x v="14"/>
    <n v="4"/>
    <n v="24052.04"/>
    <n v="0.1"/>
    <n v="21646.84"/>
    <n v="15771.53"/>
    <n v="5875.31"/>
    <x v="3"/>
    <n v="10"/>
    <d v="2025-08-14T10:00:00"/>
    <s v="Aug"/>
    <n v="8"/>
    <s v="Q3"/>
    <x v="1"/>
    <x v="1"/>
    <x v="0"/>
    <x v="0"/>
  </r>
  <r>
    <x v="790"/>
    <x v="19"/>
    <s v="CUST0114"/>
    <x v="4"/>
    <x v="5"/>
    <x v="0"/>
    <x v="6"/>
    <n v="1"/>
    <n v="3253.92"/>
    <n v="0"/>
    <n v="3253.92"/>
    <n v="1884.67"/>
    <n v="1369.25"/>
    <x v="0"/>
    <n v="32"/>
    <d v="2025-10-22T08:00:00"/>
    <s v="Oct"/>
    <n v="10"/>
    <s v="Q4"/>
    <x v="0"/>
    <x v="0"/>
    <x v="0"/>
    <x v="0"/>
  </r>
  <r>
    <x v="791"/>
    <x v="224"/>
    <s v="CUST0132"/>
    <x v="3"/>
    <x v="6"/>
    <x v="4"/>
    <x v="23"/>
    <n v="3"/>
    <n v="893.73"/>
    <n v="0.05"/>
    <n v="849.04"/>
    <n v="474.36"/>
    <n v="374.68"/>
    <x v="2"/>
    <n v="79"/>
    <d v="2025-11-05T07:00:00"/>
    <s v="Nov"/>
    <n v="11"/>
    <s v="Q4"/>
    <x v="1"/>
    <x v="0"/>
    <x v="1"/>
    <x v="0"/>
  </r>
  <r>
    <x v="792"/>
    <x v="163"/>
    <s v="CUST0139"/>
    <x v="4"/>
    <x v="4"/>
    <x v="3"/>
    <x v="16"/>
    <n v="2"/>
    <n v="12043.44"/>
    <n v="0.15"/>
    <n v="10236.92"/>
    <n v="8303.1200000000008"/>
    <n v="1933.8"/>
    <x v="1"/>
    <n v="17"/>
    <d v="2025-04-08T17:00:00"/>
    <s v="Apr"/>
    <n v="4"/>
    <s v="Q2"/>
    <x v="1"/>
    <x v="0"/>
    <x v="0"/>
    <x v="1"/>
  </r>
  <r>
    <x v="793"/>
    <x v="76"/>
    <s v="CUST0232"/>
    <x v="9"/>
    <x v="7"/>
    <x v="3"/>
    <x v="20"/>
    <n v="2"/>
    <n v="662.4"/>
    <n v="0.1"/>
    <n v="596.16"/>
    <n v="378.77"/>
    <n v="217.39"/>
    <x v="0"/>
    <n v="44"/>
    <d v="2025-12-05T20:00:00"/>
    <s v="Dec"/>
    <n v="12"/>
    <s v="Q4"/>
    <x v="0"/>
    <x v="0"/>
    <x v="0"/>
    <x v="0"/>
  </r>
  <r>
    <x v="794"/>
    <x v="135"/>
    <s v="CUST0092"/>
    <x v="3"/>
    <x v="2"/>
    <x v="1"/>
    <x v="8"/>
    <n v="2"/>
    <n v="10840.84"/>
    <n v="0.1"/>
    <n v="9756.76"/>
    <n v="6463.04"/>
    <n v="3293.72"/>
    <x v="2"/>
    <n v="55"/>
    <d v="2025-10-15T07:00:00"/>
    <s v="Oct"/>
    <n v="10"/>
    <s v="Q4"/>
    <x v="1"/>
    <x v="0"/>
    <x v="1"/>
    <x v="0"/>
  </r>
  <r>
    <x v="795"/>
    <x v="319"/>
    <s v="CUST0267"/>
    <x v="1"/>
    <x v="6"/>
    <x v="1"/>
    <x v="4"/>
    <n v="4"/>
    <n v="6064.8"/>
    <n v="0.05"/>
    <n v="5761.56"/>
    <n v="3290.7"/>
    <n v="2470.86"/>
    <x v="2"/>
    <n v="54"/>
    <d v="2025-12-03T06:00:00"/>
    <s v="Dec"/>
    <n v="12"/>
    <s v="Q4"/>
    <x v="1"/>
    <x v="0"/>
    <x v="1"/>
    <x v="0"/>
  </r>
  <r>
    <x v="796"/>
    <x v="320"/>
    <s v="CUST0099"/>
    <x v="1"/>
    <x v="1"/>
    <x v="2"/>
    <x v="2"/>
    <n v="1"/>
    <n v="4872.79"/>
    <n v="0.05"/>
    <n v="4629.1499999999996"/>
    <n v="2820.24"/>
    <n v="1808.91"/>
    <x v="0"/>
    <n v="21"/>
    <d v="2025-12-13T21:00:00"/>
    <s v="Dec"/>
    <n v="12"/>
    <s v="Q4"/>
    <x v="0"/>
    <x v="0"/>
    <x v="0"/>
    <x v="0"/>
  </r>
  <r>
    <x v="797"/>
    <x v="172"/>
    <s v="CUST0207"/>
    <x v="6"/>
    <x v="7"/>
    <x v="4"/>
    <x v="22"/>
    <n v="7"/>
    <n v="30503.69"/>
    <n v="0.25"/>
    <n v="22877.77"/>
    <n v="18362.830000000002"/>
    <n v="4514.9399999999996"/>
    <x v="2"/>
    <n v="49"/>
    <d v="2025-11-06T01:00:00"/>
    <s v="Nov"/>
    <n v="11"/>
    <s v="Q4"/>
    <x v="1"/>
    <x v="0"/>
    <x v="1"/>
    <x v="0"/>
  </r>
  <r>
    <x v="798"/>
    <x v="277"/>
    <s v="CUST0008"/>
    <x v="9"/>
    <x v="1"/>
    <x v="1"/>
    <x v="8"/>
    <n v="5"/>
    <n v="1314.2"/>
    <n v="0.05"/>
    <n v="1248.49"/>
    <n v="890.01"/>
    <n v="358.48"/>
    <x v="0"/>
    <n v="4"/>
    <d v="2025-09-06T04:00:00"/>
    <s v="Sep"/>
    <n v="9"/>
    <s v="Q3"/>
    <x v="0"/>
    <x v="0"/>
    <x v="0"/>
    <x v="0"/>
  </r>
  <r>
    <x v="799"/>
    <x v="321"/>
    <s v="CUST0093"/>
    <x v="6"/>
    <x v="0"/>
    <x v="1"/>
    <x v="8"/>
    <n v="1"/>
    <n v="3179.93"/>
    <n v="0.1"/>
    <n v="2861.94"/>
    <n v="2405.81"/>
    <n v="456.13"/>
    <x v="0"/>
    <n v="18"/>
    <d v="2025-06-15T18:00:00"/>
    <s v="Jun"/>
    <n v="6"/>
    <s v="Q2"/>
    <x v="0"/>
    <x v="0"/>
    <x v="0"/>
    <x v="0"/>
  </r>
  <r>
    <x v="800"/>
    <x v="319"/>
    <s v="CUST0158"/>
    <x v="5"/>
    <x v="4"/>
    <x v="4"/>
    <x v="22"/>
    <n v="4"/>
    <n v="20676.439999999999"/>
    <n v="0.15"/>
    <n v="17574.97"/>
    <n v="11970.13"/>
    <n v="5604.84"/>
    <x v="1"/>
    <n v="7"/>
    <d v="2025-12-01T07:00:00"/>
    <s v="Dec"/>
    <n v="12"/>
    <s v="Q4"/>
    <x v="1"/>
    <x v="0"/>
    <x v="0"/>
    <x v="1"/>
  </r>
  <r>
    <x v="801"/>
    <x v="322"/>
    <s v="CUST0099"/>
    <x v="0"/>
    <x v="2"/>
    <x v="2"/>
    <x v="3"/>
    <n v="2"/>
    <n v="14471.72"/>
    <n v="0.05"/>
    <n v="13748.13"/>
    <n v="8780.5400000000009"/>
    <n v="4967.59"/>
    <x v="0"/>
    <n v="23"/>
    <d v="2025-01-30T23:00:00"/>
    <s v="Jan"/>
    <n v="1"/>
    <s v="Q1"/>
    <x v="0"/>
    <x v="0"/>
    <x v="0"/>
    <x v="0"/>
  </r>
  <r>
    <x v="802"/>
    <x v="157"/>
    <s v="CUST0225"/>
    <x v="7"/>
    <x v="3"/>
    <x v="1"/>
    <x v="1"/>
    <n v="3"/>
    <n v="22710.48"/>
    <n v="0.05"/>
    <n v="21574.959999999999"/>
    <n v="14341.05"/>
    <n v="7233.91"/>
    <x v="1"/>
    <n v="18"/>
    <d v="2025-09-04T18:00:00"/>
    <s v="Sep"/>
    <n v="9"/>
    <s v="Q3"/>
    <x v="1"/>
    <x v="0"/>
    <x v="0"/>
    <x v="1"/>
  </r>
  <r>
    <x v="803"/>
    <x v="60"/>
    <s v="CUST0208"/>
    <x v="5"/>
    <x v="4"/>
    <x v="2"/>
    <x v="24"/>
    <n v="2"/>
    <n v="8380.2999999999993"/>
    <n v="0.1"/>
    <n v="7542.27"/>
    <n v="5922.3"/>
    <n v="1619.97"/>
    <x v="2"/>
    <n v="71"/>
    <d v="2025-04-18T23:00:00"/>
    <s v="Apr"/>
    <n v="4"/>
    <s v="Q2"/>
    <x v="1"/>
    <x v="0"/>
    <x v="1"/>
    <x v="0"/>
  </r>
  <r>
    <x v="804"/>
    <x v="34"/>
    <s v="CUST0073"/>
    <x v="0"/>
    <x v="7"/>
    <x v="0"/>
    <x v="17"/>
    <n v="5"/>
    <n v="31161.65"/>
    <n v="0.1"/>
    <n v="28045.48"/>
    <n v="20561.599999999999"/>
    <n v="7483.88"/>
    <x v="1"/>
    <n v="4"/>
    <d v="2025-02-20T04:00:00"/>
    <s v="Feb"/>
    <n v="2"/>
    <s v="Q1"/>
    <x v="1"/>
    <x v="0"/>
    <x v="0"/>
    <x v="1"/>
  </r>
  <r>
    <x v="805"/>
    <x v="56"/>
    <s v="CUST0059"/>
    <x v="3"/>
    <x v="1"/>
    <x v="2"/>
    <x v="3"/>
    <n v="6"/>
    <n v="16754.400000000001"/>
    <n v="0.1"/>
    <n v="15078.96"/>
    <n v="12792.73"/>
    <n v="2286.23"/>
    <x v="0"/>
    <n v="8"/>
    <d v="2025-03-22T08:00:00"/>
    <s v="Mar"/>
    <n v="3"/>
    <s v="Q1"/>
    <x v="0"/>
    <x v="0"/>
    <x v="0"/>
    <x v="0"/>
  </r>
  <r>
    <x v="806"/>
    <x v="288"/>
    <s v="CUST0287"/>
    <x v="6"/>
    <x v="5"/>
    <x v="3"/>
    <x v="16"/>
    <n v="3"/>
    <n v="9021.7800000000007"/>
    <n v="0.05"/>
    <n v="8570.69"/>
    <n v="6417.01"/>
    <n v="2153.6799999999998"/>
    <x v="0"/>
    <n v="37"/>
    <d v="2025-05-14T13:00:00"/>
    <s v="May"/>
    <n v="5"/>
    <s v="Q2"/>
    <x v="0"/>
    <x v="0"/>
    <x v="0"/>
    <x v="0"/>
  </r>
  <r>
    <x v="807"/>
    <x v="257"/>
    <s v="CUST0064"/>
    <x v="3"/>
    <x v="1"/>
    <x v="3"/>
    <x v="18"/>
    <n v="2"/>
    <n v="3547.54"/>
    <n v="0.1"/>
    <n v="3192.79"/>
    <n v="2275.4899999999998"/>
    <n v="917.3"/>
    <x v="1"/>
    <n v="13"/>
    <d v="2025-10-12T13:00:00"/>
    <s v="Oct"/>
    <n v="10"/>
    <s v="Q4"/>
    <x v="1"/>
    <x v="0"/>
    <x v="0"/>
    <x v="1"/>
  </r>
  <r>
    <x v="808"/>
    <x v="323"/>
    <s v="CUST0256"/>
    <x v="3"/>
    <x v="6"/>
    <x v="2"/>
    <x v="24"/>
    <n v="7"/>
    <n v="33895.89"/>
    <n v="0.1"/>
    <n v="30506.3"/>
    <n v="24688.7"/>
    <n v="5817.6"/>
    <x v="0"/>
    <n v="6"/>
    <d v="2025-05-18T06:00:00"/>
    <s v="May"/>
    <n v="5"/>
    <s v="Q2"/>
    <x v="0"/>
    <x v="0"/>
    <x v="0"/>
    <x v="0"/>
  </r>
  <r>
    <x v="809"/>
    <x v="160"/>
    <s v="CUST0048"/>
    <x v="0"/>
    <x v="4"/>
    <x v="3"/>
    <x v="18"/>
    <n v="3"/>
    <n v="8329.83"/>
    <n v="0.1"/>
    <n v="7496.85"/>
    <n v="6467.43"/>
    <n v="1029.42"/>
    <x v="1"/>
    <n v="14"/>
    <d v="2025-07-03T14:00:00"/>
    <s v="Jul"/>
    <n v="7"/>
    <s v="Q3"/>
    <x v="1"/>
    <x v="0"/>
    <x v="0"/>
    <x v="1"/>
  </r>
  <r>
    <x v="810"/>
    <x v="269"/>
    <s v="CUST0279"/>
    <x v="9"/>
    <x v="4"/>
    <x v="0"/>
    <x v="17"/>
    <n v="6"/>
    <n v="5127"/>
    <n v="0"/>
    <n v="5127"/>
    <n v="3421.91"/>
    <n v="1705.09"/>
    <x v="0"/>
    <n v="27"/>
    <d v="2025-11-27T03:00:00"/>
    <s v="Nov"/>
    <n v="11"/>
    <s v="Q4"/>
    <x v="0"/>
    <x v="0"/>
    <x v="0"/>
    <x v="0"/>
  </r>
  <r>
    <x v="811"/>
    <x v="219"/>
    <s v="CUST0198"/>
    <x v="0"/>
    <x v="7"/>
    <x v="4"/>
    <x v="21"/>
    <n v="1"/>
    <n v="5869.8"/>
    <n v="0.1"/>
    <n v="5282.82"/>
    <n v="3341.17"/>
    <n v="1941.65"/>
    <x v="0"/>
    <n v="27"/>
    <d v="2025-10-01T03:00:00"/>
    <s v="Sep"/>
    <n v="9"/>
    <s v="Q3"/>
    <x v="0"/>
    <x v="0"/>
    <x v="0"/>
    <x v="0"/>
  </r>
  <r>
    <x v="812"/>
    <x v="51"/>
    <s v="CUST0158"/>
    <x v="2"/>
    <x v="5"/>
    <x v="3"/>
    <x v="18"/>
    <n v="4"/>
    <n v="24238.959999999999"/>
    <n v="0.25"/>
    <n v="18179.22"/>
    <n v="13695.35"/>
    <n v="4483.87"/>
    <x v="0"/>
    <n v="6"/>
    <d v="2025-12-06T06:00:00"/>
    <s v="Dec"/>
    <n v="12"/>
    <s v="Q4"/>
    <x v="0"/>
    <x v="0"/>
    <x v="0"/>
    <x v="0"/>
  </r>
  <r>
    <x v="813"/>
    <x v="252"/>
    <s v="CUST0007"/>
    <x v="1"/>
    <x v="1"/>
    <x v="3"/>
    <x v="16"/>
    <n v="2"/>
    <n v="6311.88"/>
    <n v="0.1"/>
    <n v="5680.69"/>
    <n v="4059.58"/>
    <n v="1621.11"/>
    <x v="1"/>
    <n v="1"/>
    <d v="2025-03-10T01:00:00"/>
    <s v="Mar"/>
    <n v="3"/>
    <s v="Q1"/>
    <x v="1"/>
    <x v="0"/>
    <x v="0"/>
    <x v="1"/>
  </r>
  <r>
    <x v="814"/>
    <x v="318"/>
    <s v="CUST0248"/>
    <x v="1"/>
    <x v="7"/>
    <x v="2"/>
    <x v="2"/>
    <n v="5"/>
    <n v="3953.2"/>
    <n v="0.15"/>
    <n v="3360.22"/>
    <n v="2945"/>
    <n v="415.22"/>
    <x v="0"/>
    <n v="10"/>
    <d v="2025-02-03T10:00:00"/>
    <s v="Feb"/>
    <n v="2"/>
    <s v="Q1"/>
    <x v="0"/>
    <x v="0"/>
    <x v="0"/>
    <x v="0"/>
  </r>
  <r>
    <x v="815"/>
    <x v="236"/>
    <s v="CUST0232"/>
    <x v="5"/>
    <x v="7"/>
    <x v="0"/>
    <x v="17"/>
    <n v="1"/>
    <n v="3709.59"/>
    <n v="0.1"/>
    <n v="3338.63"/>
    <n v="2345.65"/>
    <n v="992.98"/>
    <x v="0"/>
    <n v="28"/>
    <d v="2025-09-20T04:00:00"/>
    <s v="Sep"/>
    <n v="9"/>
    <s v="Q3"/>
    <x v="0"/>
    <x v="0"/>
    <x v="0"/>
    <x v="0"/>
  </r>
  <r>
    <x v="816"/>
    <x v="50"/>
    <s v="CUST0106"/>
    <x v="1"/>
    <x v="0"/>
    <x v="4"/>
    <x v="21"/>
    <n v="2"/>
    <n v="7687"/>
    <n v="0.2"/>
    <n v="6149.6"/>
    <n v="3533.13"/>
    <n v="2616.4699999999998"/>
    <x v="0"/>
    <n v="6"/>
    <d v="2025-02-22T06:00:00"/>
    <s v="Feb"/>
    <n v="2"/>
    <s v="Q1"/>
    <x v="0"/>
    <x v="0"/>
    <x v="0"/>
    <x v="0"/>
  </r>
  <r>
    <x v="817"/>
    <x v="317"/>
    <s v="CUST0098"/>
    <x v="0"/>
    <x v="1"/>
    <x v="2"/>
    <x v="2"/>
    <n v="1"/>
    <n v="5733.4"/>
    <n v="0.2"/>
    <n v="4586.72"/>
    <n v="4002.06"/>
    <n v="584.66"/>
    <x v="0"/>
    <n v="18"/>
    <d v="2025-07-24T18:00:00"/>
    <s v="Jul"/>
    <n v="7"/>
    <s v="Q3"/>
    <x v="0"/>
    <x v="0"/>
    <x v="0"/>
    <x v="0"/>
  </r>
  <r>
    <x v="818"/>
    <x v="156"/>
    <s v="CUST0268"/>
    <x v="8"/>
    <x v="7"/>
    <x v="2"/>
    <x v="3"/>
    <n v="5"/>
    <n v="13918.65"/>
    <n v="0"/>
    <n v="13918.65"/>
    <n v="11529.98"/>
    <n v="2388.67"/>
    <x v="0"/>
    <n v="32"/>
    <d v="2025-05-07T08:00:00"/>
    <s v="May"/>
    <n v="5"/>
    <s v="Q2"/>
    <x v="0"/>
    <x v="0"/>
    <x v="0"/>
    <x v="0"/>
  </r>
  <r>
    <x v="819"/>
    <x v="290"/>
    <s v="CUST0060"/>
    <x v="6"/>
    <x v="1"/>
    <x v="0"/>
    <x v="0"/>
    <n v="2"/>
    <n v="11699.4"/>
    <n v="0.05"/>
    <n v="11114.43"/>
    <n v="6766.72"/>
    <n v="4347.71"/>
    <x v="0"/>
    <n v="32"/>
    <d v="2025-08-24T08:00:00"/>
    <s v="Aug"/>
    <n v="8"/>
    <s v="Q3"/>
    <x v="0"/>
    <x v="0"/>
    <x v="0"/>
    <x v="0"/>
  </r>
  <r>
    <x v="820"/>
    <x v="270"/>
    <s v="CUST0140"/>
    <x v="0"/>
    <x v="7"/>
    <x v="4"/>
    <x v="13"/>
    <n v="6"/>
    <n v="44561.58"/>
    <n v="0.05"/>
    <n v="42333.5"/>
    <n v="35920.81"/>
    <n v="6412.69"/>
    <x v="0"/>
    <n v="13"/>
    <d v="2025-02-12T13:00:00"/>
    <s v="Feb"/>
    <n v="2"/>
    <s v="Q1"/>
    <x v="0"/>
    <x v="0"/>
    <x v="0"/>
    <x v="0"/>
  </r>
  <r>
    <x v="821"/>
    <x v="164"/>
    <s v="CUST0190"/>
    <x v="0"/>
    <x v="5"/>
    <x v="0"/>
    <x v="6"/>
    <n v="6"/>
    <n v="12798.06"/>
    <n v="0.05"/>
    <n v="12158.16"/>
    <n v="8053.81"/>
    <n v="4104.3500000000004"/>
    <x v="0"/>
    <n v="35"/>
    <d v="2025-08-29T11:00:00"/>
    <s v="Aug"/>
    <n v="8"/>
    <s v="Q3"/>
    <x v="0"/>
    <x v="0"/>
    <x v="0"/>
    <x v="0"/>
  </r>
  <r>
    <x v="822"/>
    <x v="324"/>
    <s v="CUST0125"/>
    <x v="7"/>
    <x v="3"/>
    <x v="4"/>
    <x v="21"/>
    <n v="5"/>
    <n v="41619.9"/>
    <n v="0"/>
    <n v="41619.9"/>
    <n v="28070.41"/>
    <n v="13549.49"/>
    <x v="2"/>
    <n v="50"/>
    <d v="2025-04-23T02:00:00"/>
    <s v="Apr"/>
    <n v="4"/>
    <s v="Q2"/>
    <x v="1"/>
    <x v="0"/>
    <x v="1"/>
    <x v="0"/>
  </r>
  <r>
    <x v="823"/>
    <x v="277"/>
    <s v="CUST0163"/>
    <x v="6"/>
    <x v="5"/>
    <x v="0"/>
    <x v="6"/>
    <n v="3"/>
    <n v="10128.51"/>
    <n v="0.15"/>
    <n v="8609.23"/>
    <n v="7310.18"/>
    <n v="1299.05"/>
    <x v="3"/>
    <n v="6"/>
    <d v="2025-09-06T06:00:00"/>
    <s v="Sep"/>
    <n v="9"/>
    <s v="Q3"/>
    <x v="1"/>
    <x v="1"/>
    <x v="0"/>
    <x v="0"/>
  </r>
  <r>
    <x v="824"/>
    <x v="175"/>
    <s v="CUST0060"/>
    <x v="2"/>
    <x v="5"/>
    <x v="2"/>
    <x v="11"/>
    <n v="5"/>
    <n v="11908.05"/>
    <n v="0"/>
    <n v="11908.05"/>
    <n v="8632.6"/>
    <n v="3275.45"/>
    <x v="2"/>
    <n v="68"/>
    <d v="2025-06-02T20:00:00"/>
    <s v="May"/>
    <n v="5"/>
    <s v="Q2"/>
    <x v="1"/>
    <x v="0"/>
    <x v="1"/>
    <x v="0"/>
  </r>
  <r>
    <x v="825"/>
    <x v="280"/>
    <s v="CUST0031"/>
    <x v="1"/>
    <x v="7"/>
    <x v="2"/>
    <x v="11"/>
    <n v="3"/>
    <n v="11008.86"/>
    <n v="0.1"/>
    <n v="9907.9699999999993"/>
    <n v="5899.82"/>
    <n v="4008.15"/>
    <x v="0"/>
    <n v="40"/>
    <d v="2025-07-03T16:00:00"/>
    <s v="Jul"/>
    <n v="7"/>
    <s v="Q3"/>
    <x v="0"/>
    <x v="0"/>
    <x v="0"/>
    <x v="0"/>
  </r>
  <r>
    <x v="826"/>
    <x v="266"/>
    <s v="CUST0076"/>
    <x v="6"/>
    <x v="5"/>
    <x v="1"/>
    <x v="5"/>
    <n v="2"/>
    <n v="1876.44"/>
    <n v="0.1"/>
    <n v="1688.8"/>
    <n v="1134.52"/>
    <n v="554.28"/>
    <x v="3"/>
    <n v="0"/>
    <d v="2025-12-02T00:00:00"/>
    <s v="Dec"/>
    <n v="12"/>
    <s v="Q4"/>
    <x v="1"/>
    <x v="1"/>
    <x v="0"/>
    <x v="0"/>
  </r>
  <r>
    <x v="827"/>
    <x v="206"/>
    <s v="CUST0243"/>
    <x v="1"/>
    <x v="5"/>
    <x v="3"/>
    <x v="7"/>
    <n v="3"/>
    <n v="3598.92"/>
    <n v="0.05"/>
    <n v="3418.97"/>
    <n v="2695.15"/>
    <n v="723.82"/>
    <x v="1"/>
    <n v="20"/>
    <d v="2025-04-05T20:00:00"/>
    <s v="Apr"/>
    <n v="4"/>
    <s v="Q2"/>
    <x v="1"/>
    <x v="0"/>
    <x v="0"/>
    <x v="1"/>
  </r>
  <r>
    <x v="828"/>
    <x v="306"/>
    <s v="CUST0258"/>
    <x v="5"/>
    <x v="5"/>
    <x v="0"/>
    <x v="14"/>
    <n v="2"/>
    <n v="7221.04"/>
    <n v="0.2"/>
    <n v="5776.83"/>
    <n v="3509.31"/>
    <n v="2267.52"/>
    <x v="0"/>
    <n v="7"/>
    <d v="2025-01-08T07:00:00"/>
    <s v="Jan"/>
    <n v="1"/>
    <s v="Q1"/>
    <x v="0"/>
    <x v="0"/>
    <x v="0"/>
    <x v="0"/>
  </r>
  <r>
    <x v="829"/>
    <x v="12"/>
    <s v="CUST0190"/>
    <x v="6"/>
    <x v="7"/>
    <x v="1"/>
    <x v="5"/>
    <n v="2"/>
    <n v="13032.82"/>
    <n v="0.15"/>
    <n v="11077.9"/>
    <n v="8250.56"/>
    <n v="2827.34"/>
    <x v="0"/>
    <n v="23"/>
    <d v="2025-12-26T23:00:00"/>
    <s v="Dec"/>
    <n v="12"/>
    <s v="Q4"/>
    <x v="0"/>
    <x v="0"/>
    <x v="0"/>
    <x v="0"/>
  </r>
  <r>
    <x v="830"/>
    <x v="160"/>
    <s v="CUST0296"/>
    <x v="1"/>
    <x v="2"/>
    <x v="3"/>
    <x v="18"/>
    <n v="7"/>
    <n v="53673.27"/>
    <n v="0.1"/>
    <n v="48305.94"/>
    <n v="37651.599999999999"/>
    <n v="10654.34"/>
    <x v="0"/>
    <n v="31"/>
    <d v="2025-07-04T07:00:00"/>
    <s v="Jul"/>
    <n v="7"/>
    <s v="Q3"/>
    <x v="0"/>
    <x v="0"/>
    <x v="0"/>
    <x v="0"/>
  </r>
  <r>
    <x v="831"/>
    <x v="210"/>
    <s v="CUST0177"/>
    <x v="2"/>
    <x v="3"/>
    <x v="0"/>
    <x v="14"/>
    <n v="4"/>
    <n v="22804.92"/>
    <n v="0.05"/>
    <n v="21664.67"/>
    <n v="14373.9"/>
    <n v="7290.77"/>
    <x v="0"/>
    <n v="17"/>
    <d v="2025-10-08T17:00:00"/>
    <s v="Oct"/>
    <n v="10"/>
    <s v="Q4"/>
    <x v="0"/>
    <x v="0"/>
    <x v="0"/>
    <x v="0"/>
  </r>
  <r>
    <x v="832"/>
    <x v="190"/>
    <s v="CUST0288"/>
    <x v="4"/>
    <x v="4"/>
    <x v="4"/>
    <x v="13"/>
    <n v="2"/>
    <n v="2057.16"/>
    <n v="0.05"/>
    <n v="1954.3"/>
    <n v="1522.36"/>
    <n v="431.94"/>
    <x v="0"/>
    <n v="47"/>
    <d v="2025-07-15T23:00:00"/>
    <s v="Jul"/>
    <n v="7"/>
    <s v="Q3"/>
    <x v="0"/>
    <x v="0"/>
    <x v="0"/>
    <x v="0"/>
  </r>
  <r>
    <x v="833"/>
    <x v="116"/>
    <s v="CUST0294"/>
    <x v="3"/>
    <x v="1"/>
    <x v="3"/>
    <x v="20"/>
    <n v="3"/>
    <n v="17284.11"/>
    <n v="0.15"/>
    <n v="14691.49"/>
    <n v="12367.13"/>
    <n v="2324.36"/>
    <x v="0"/>
    <n v="37"/>
    <d v="2025-12-19T13:00:00"/>
    <s v="Dec"/>
    <n v="12"/>
    <s v="Q4"/>
    <x v="0"/>
    <x v="0"/>
    <x v="0"/>
    <x v="0"/>
  </r>
  <r>
    <x v="834"/>
    <x v="190"/>
    <s v="CUST0207"/>
    <x v="3"/>
    <x v="2"/>
    <x v="2"/>
    <x v="11"/>
    <n v="4"/>
    <n v="21823.279999999999"/>
    <n v="0"/>
    <n v="21823.279999999999"/>
    <n v="15402.84"/>
    <n v="6420.44"/>
    <x v="3"/>
    <n v="13"/>
    <d v="2025-07-14T13:00:00"/>
    <s v="Jul"/>
    <n v="7"/>
    <s v="Q3"/>
    <x v="1"/>
    <x v="1"/>
    <x v="0"/>
    <x v="0"/>
  </r>
  <r>
    <x v="835"/>
    <x v="218"/>
    <s v="CUST0215"/>
    <x v="2"/>
    <x v="6"/>
    <x v="1"/>
    <x v="5"/>
    <n v="4"/>
    <n v="27512.52"/>
    <n v="0.1"/>
    <n v="24761.27"/>
    <n v="16747.53"/>
    <n v="8013.74"/>
    <x v="0"/>
    <n v="34"/>
    <d v="2025-06-05T10:00:00"/>
    <s v="Jun"/>
    <n v="6"/>
    <s v="Q2"/>
    <x v="0"/>
    <x v="0"/>
    <x v="0"/>
    <x v="0"/>
  </r>
  <r>
    <x v="836"/>
    <x v="274"/>
    <s v="CUST0141"/>
    <x v="7"/>
    <x v="3"/>
    <x v="3"/>
    <x v="20"/>
    <n v="2"/>
    <n v="14081.66"/>
    <n v="0.15"/>
    <n v="11969.41"/>
    <n v="7575.23"/>
    <n v="4394.18"/>
    <x v="0"/>
    <n v="36"/>
    <d v="2025-04-04T12:00:00"/>
    <s v="Apr"/>
    <n v="4"/>
    <s v="Q2"/>
    <x v="0"/>
    <x v="0"/>
    <x v="0"/>
    <x v="0"/>
  </r>
  <r>
    <x v="837"/>
    <x v="126"/>
    <s v="CUST0085"/>
    <x v="4"/>
    <x v="2"/>
    <x v="3"/>
    <x v="7"/>
    <n v="5"/>
    <n v="36997.5"/>
    <n v="0.05"/>
    <n v="35147.620000000003"/>
    <n v="26339.200000000001"/>
    <n v="8808.42"/>
    <x v="0"/>
    <n v="42"/>
    <d v="2025-06-10T18:00:00"/>
    <s v="Jun"/>
    <n v="6"/>
    <s v="Q2"/>
    <x v="0"/>
    <x v="0"/>
    <x v="0"/>
    <x v="0"/>
  </r>
  <r>
    <x v="838"/>
    <x v="325"/>
    <s v="CUST0182"/>
    <x v="5"/>
    <x v="5"/>
    <x v="2"/>
    <x v="11"/>
    <n v="5"/>
    <n v="18040"/>
    <n v="0.2"/>
    <n v="14432"/>
    <n v="12127.95"/>
    <n v="2304.0500000000002"/>
    <x v="0"/>
    <n v="31"/>
    <d v="2025-03-03T07:00:00"/>
    <s v="Mar"/>
    <n v="3"/>
    <s v="Q1"/>
    <x v="0"/>
    <x v="0"/>
    <x v="0"/>
    <x v="0"/>
  </r>
  <r>
    <x v="839"/>
    <x v="7"/>
    <s v="CUST0128"/>
    <x v="2"/>
    <x v="4"/>
    <x v="0"/>
    <x v="0"/>
    <n v="6"/>
    <n v="35863.019999999997"/>
    <n v="0"/>
    <n v="35863.019999999997"/>
    <n v="23566.959999999999"/>
    <n v="12296.06"/>
    <x v="0"/>
    <n v="28"/>
    <d v="2025-05-03T04:00:00"/>
    <s v="May"/>
    <n v="5"/>
    <s v="Q2"/>
    <x v="0"/>
    <x v="0"/>
    <x v="0"/>
    <x v="0"/>
  </r>
  <r>
    <x v="840"/>
    <x v="34"/>
    <s v="CUST0269"/>
    <x v="3"/>
    <x v="7"/>
    <x v="4"/>
    <x v="22"/>
    <n v="4"/>
    <n v="9559.56"/>
    <n v="0.2"/>
    <n v="7647.65"/>
    <n v="5206.2"/>
    <n v="2441.4499999999998"/>
    <x v="0"/>
    <n v="35"/>
    <d v="2025-02-21T11:00:00"/>
    <s v="Feb"/>
    <n v="2"/>
    <s v="Q1"/>
    <x v="0"/>
    <x v="0"/>
    <x v="0"/>
    <x v="0"/>
  </r>
  <r>
    <x v="841"/>
    <x v="21"/>
    <s v="CUST0039"/>
    <x v="3"/>
    <x v="0"/>
    <x v="2"/>
    <x v="15"/>
    <n v="2"/>
    <n v="16988.919999999998"/>
    <n v="0"/>
    <n v="16988.919999999998"/>
    <n v="11623.59"/>
    <n v="5365.33"/>
    <x v="0"/>
    <n v="12"/>
    <d v="2025-10-04T12:00:00"/>
    <s v="Oct"/>
    <n v="10"/>
    <s v="Q4"/>
    <x v="0"/>
    <x v="0"/>
    <x v="0"/>
    <x v="0"/>
  </r>
  <r>
    <x v="842"/>
    <x v="109"/>
    <s v="CUST0023"/>
    <x v="3"/>
    <x v="4"/>
    <x v="4"/>
    <x v="21"/>
    <n v="7"/>
    <n v="11298.28"/>
    <n v="0.1"/>
    <n v="10168.450000000001"/>
    <n v="7474.5"/>
    <n v="2693.95"/>
    <x v="3"/>
    <n v="15"/>
    <d v="2025-01-05T15:00:00"/>
    <s v="Jan"/>
    <n v="1"/>
    <s v="Q1"/>
    <x v="1"/>
    <x v="1"/>
    <x v="0"/>
    <x v="0"/>
  </r>
  <r>
    <x v="843"/>
    <x v="52"/>
    <s v="CUST0242"/>
    <x v="9"/>
    <x v="3"/>
    <x v="0"/>
    <x v="17"/>
    <n v="5"/>
    <n v="1172.3"/>
    <n v="0.05"/>
    <n v="1113.68"/>
    <n v="696.47"/>
    <n v="417.21"/>
    <x v="0"/>
    <n v="34"/>
    <d v="2025-04-03T10:00:00"/>
    <s v="Apr"/>
    <n v="4"/>
    <s v="Q2"/>
    <x v="0"/>
    <x v="0"/>
    <x v="0"/>
    <x v="0"/>
  </r>
  <r>
    <x v="844"/>
    <x v="30"/>
    <s v="CUST0107"/>
    <x v="2"/>
    <x v="0"/>
    <x v="3"/>
    <x v="18"/>
    <n v="7"/>
    <n v="9747.85"/>
    <n v="0.15"/>
    <n v="8285.67"/>
    <n v="6805.27"/>
    <n v="1480.4"/>
    <x v="1"/>
    <n v="11"/>
    <d v="2025-06-19T11:00:00"/>
    <s v="Jun"/>
    <n v="6"/>
    <s v="Q2"/>
    <x v="1"/>
    <x v="0"/>
    <x v="0"/>
    <x v="1"/>
  </r>
  <r>
    <x v="845"/>
    <x v="199"/>
    <s v="CUST0142"/>
    <x v="0"/>
    <x v="7"/>
    <x v="4"/>
    <x v="9"/>
    <n v="2"/>
    <n v="13257.06"/>
    <n v="0.1"/>
    <n v="11931.35"/>
    <n v="7726.13"/>
    <n v="4205.22"/>
    <x v="0"/>
    <n v="26"/>
    <d v="2025-11-14T02:00:00"/>
    <s v="Nov"/>
    <n v="11"/>
    <s v="Q4"/>
    <x v="0"/>
    <x v="0"/>
    <x v="0"/>
    <x v="0"/>
  </r>
  <r>
    <x v="846"/>
    <x v="24"/>
    <s v="CUST0145"/>
    <x v="5"/>
    <x v="4"/>
    <x v="1"/>
    <x v="5"/>
    <n v="2"/>
    <n v="7761.28"/>
    <n v="0"/>
    <n v="7761.28"/>
    <n v="6075.29"/>
    <n v="1685.99"/>
    <x v="2"/>
    <n v="60"/>
    <d v="2025-01-24T12:00:00"/>
    <s v="Jan"/>
    <n v="1"/>
    <s v="Q1"/>
    <x v="1"/>
    <x v="0"/>
    <x v="1"/>
    <x v="0"/>
  </r>
  <r>
    <x v="847"/>
    <x v="168"/>
    <s v="CUST0280"/>
    <x v="3"/>
    <x v="6"/>
    <x v="1"/>
    <x v="4"/>
    <n v="4"/>
    <n v="15546.52"/>
    <n v="0.1"/>
    <n v="13991.87"/>
    <n v="10065.209999999999"/>
    <n v="3926.66"/>
    <x v="0"/>
    <n v="13"/>
    <d v="2025-11-22T13:00:00"/>
    <s v="Nov"/>
    <n v="11"/>
    <s v="Q4"/>
    <x v="0"/>
    <x v="0"/>
    <x v="0"/>
    <x v="0"/>
  </r>
  <r>
    <x v="848"/>
    <x v="247"/>
    <s v="CUST0245"/>
    <x v="1"/>
    <x v="1"/>
    <x v="2"/>
    <x v="2"/>
    <n v="7"/>
    <n v="56871.08"/>
    <n v="0.05"/>
    <n v="54027.53"/>
    <n v="40161.160000000003"/>
    <n v="13866.37"/>
    <x v="0"/>
    <n v="19"/>
    <d v="2025-01-01T19:00:00"/>
    <s v="Jan"/>
    <n v="1"/>
    <s v="Q1"/>
    <x v="0"/>
    <x v="0"/>
    <x v="0"/>
    <x v="0"/>
  </r>
  <r>
    <x v="849"/>
    <x v="288"/>
    <s v="CUST0191"/>
    <x v="2"/>
    <x v="1"/>
    <x v="0"/>
    <x v="6"/>
    <n v="6"/>
    <n v="46973.7"/>
    <n v="0.1"/>
    <n v="42276.33"/>
    <n v="25757.74"/>
    <n v="16518.59"/>
    <x v="3"/>
    <n v="8"/>
    <d v="2025-05-13T08:00:00"/>
    <s v="May"/>
    <n v="5"/>
    <s v="Q2"/>
    <x v="1"/>
    <x v="1"/>
    <x v="0"/>
    <x v="0"/>
  </r>
  <r>
    <x v="850"/>
    <x v="141"/>
    <s v="CUST0290"/>
    <x v="9"/>
    <x v="3"/>
    <x v="2"/>
    <x v="11"/>
    <n v="4"/>
    <n v="10993.92"/>
    <n v="0.2"/>
    <n v="8795.14"/>
    <n v="6970.66"/>
    <n v="1824.48"/>
    <x v="1"/>
    <n v="6"/>
    <d v="2025-08-21T06:00:00"/>
    <s v="Aug"/>
    <n v="8"/>
    <s v="Q3"/>
    <x v="1"/>
    <x v="0"/>
    <x v="0"/>
    <x v="1"/>
  </r>
  <r>
    <x v="851"/>
    <x v="271"/>
    <s v="CUST0179"/>
    <x v="2"/>
    <x v="2"/>
    <x v="2"/>
    <x v="15"/>
    <n v="1"/>
    <n v="1895.64"/>
    <n v="0.05"/>
    <n v="1800.86"/>
    <n v="1102.57"/>
    <n v="698.29"/>
    <x v="2"/>
    <n v="78"/>
    <d v="2025-01-15T06:00:00"/>
    <s v="Jan"/>
    <n v="1"/>
    <s v="Q1"/>
    <x v="1"/>
    <x v="0"/>
    <x v="1"/>
    <x v="0"/>
  </r>
  <r>
    <x v="852"/>
    <x v="49"/>
    <s v="CUST0112"/>
    <x v="5"/>
    <x v="7"/>
    <x v="2"/>
    <x v="2"/>
    <n v="7"/>
    <n v="50643.81"/>
    <n v="0.05"/>
    <n v="48111.62"/>
    <n v="28262.99"/>
    <n v="19848.63"/>
    <x v="0"/>
    <n v="31"/>
    <d v="2025-12-13T07:00:00"/>
    <s v="Dec"/>
    <n v="12"/>
    <s v="Q4"/>
    <x v="0"/>
    <x v="0"/>
    <x v="0"/>
    <x v="0"/>
  </r>
  <r>
    <x v="853"/>
    <x v="202"/>
    <s v="CUST0214"/>
    <x v="9"/>
    <x v="7"/>
    <x v="1"/>
    <x v="1"/>
    <n v="5"/>
    <n v="38576.300000000003"/>
    <n v="0"/>
    <n v="38576.300000000003"/>
    <n v="28176.29"/>
    <n v="10400.01"/>
    <x v="1"/>
    <n v="17"/>
    <d v="2025-02-15T17:00:00"/>
    <s v="Feb"/>
    <n v="2"/>
    <s v="Q1"/>
    <x v="1"/>
    <x v="0"/>
    <x v="0"/>
    <x v="1"/>
  </r>
  <r>
    <x v="854"/>
    <x v="318"/>
    <s v="CUST0138"/>
    <x v="5"/>
    <x v="1"/>
    <x v="1"/>
    <x v="10"/>
    <n v="5"/>
    <n v="23361.65"/>
    <n v="0.1"/>
    <n v="21025.48"/>
    <n v="16485.41"/>
    <n v="4540.07"/>
    <x v="0"/>
    <n v="18"/>
    <d v="2025-02-03T18:00:00"/>
    <s v="Feb"/>
    <n v="2"/>
    <s v="Q1"/>
    <x v="0"/>
    <x v="0"/>
    <x v="0"/>
    <x v="0"/>
  </r>
  <r>
    <x v="855"/>
    <x v="316"/>
    <s v="CUST0200"/>
    <x v="2"/>
    <x v="4"/>
    <x v="2"/>
    <x v="15"/>
    <n v="5"/>
    <n v="27028.45"/>
    <n v="0.05"/>
    <n v="25677.03"/>
    <n v="14546.34"/>
    <n v="11130.69"/>
    <x v="0"/>
    <n v="16"/>
    <d v="2025-03-19T16:00:00"/>
    <s v="Mar"/>
    <n v="3"/>
    <s v="Q1"/>
    <x v="0"/>
    <x v="0"/>
    <x v="0"/>
    <x v="0"/>
  </r>
  <r>
    <x v="856"/>
    <x v="64"/>
    <s v="CUST0007"/>
    <x v="0"/>
    <x v="7"/>
    <x v="1"/>
    <x v="5"/>
    <n v="3"/>
    <n v="6885.69"/>
    <n v="0.05"/>
    <n v="6541.41"/>
    <n v="3747.58"/>
    <n v="2793.83"/>
    <x v="0"/>
    <n v="45"/>
    <d v="2025-08-07T21:00:00"/>
    <s v="Aug"/>
    <n v="8"/>
    <s v="Q3"/>
    <x v="0"/>
    <x v="0"/>
    <x v="0"/>
    <x v="0"/>
  </r>
  <r>
    <x v="857"/>
    <x v="82"/>
    <s v="CUST0013"/>
    <x v="5"/>
    <x v="6"/>
    <x v="0"/>
    <x v="17"/>
    <n v="2"/>
    <n v="13673.4"/>
    <n v="0"/>
    <n v="13673.4"/>
    <n v="11142.24"/>
    <n v="2531.16"/>
    <x v="1"/>
    <n v="8"/>
    <d v="2025-10-28T08:00:00"/>
    <s v="Oct"/>
    <n v="10"/>
    <s v="Q4"/>
    <x v="1"/>
    <x v="0"/>
    <x v="0"/>
    <x v="1"/>
  </r>
  <r>
    <x v="858"/>
    <x v="326"/>
    <s v="CUST0080"/>
    <x v="9"/>
    <x v="6"/>
    <x v="2"/>
    <x v="24"/>
    <n v="4"/>
    <n v="21712.880000000001"/>
    <n v="0.05"/>
    <n v="20627.240000000002"/>
    <n v="16852.060000000001"/>
    <n v="3775.18"/>
    <x v="0"/>
    <n v="20"/>
    <d v="2025-03-14T20:00:00"/>
    <s v="Mar"/>
    <n v="3"/>
    <s v="Q1"/>
    <x v="0"/>
    <x v="0"/>
    <x v="0"/>
    <x v="0"/>
  </r>
  <r>
    <x v="859"/>
    <x v="313"/>
    <s v="CUST0286"/>
    <x v="9"/>
    <x v="7"/>
    <x v="1"/>
    <x v="10"/>
    <n v="5"/>
    <n v="21771.7"/>
    <n v="0.25"/>
    <n v="16328.78"/>
    <n v="10302.65"/>
    <n v="6026.13"/>
    <x v="0"/>
    <n v="10"/>
    <d v="2025-10-09T10:00:00"/>
    <s v="Oct"/>
    <n v="10"/>
    <s v="Q4"/>
    <x v="0"/>
    <x v="0"/>
    <x v="0"/>
    <x v="0"/>
  </r>
  <r>
    <x v="860"/>
    <x v="277"/>
    <s v="CUST0159"/>
    <x v="5"/>
    <x v="7"/>
    <x v="4"/>
    <x v="21"/>
    <n v="1"/>
    <n v="651.91"/>
    <n v="0.05"/>
    <n v="619.30999999999995"/>
    <n v="466.36"/>
    <n v="152.94999999999999"/>
    <x v="2"/>
    <n v="87"/>
    <d v="2025-09-09T15:00:00"/>
    <s v="Sep"/>
    <n v="9"/>
    <s v="Q3"/>
    <x v="1"/>
    <x v="0"/>
    <x v="1"/>
    <x v="0"/>
  </r>
  <r>
    <x v="861"/>
    <x v="238"/>
    <s v="CUST0272"/>
    <x v="8"/>
    <x v="1"/>
    <x v="2"/>
    <x v="3"/>
    <n v="5"/>
    <n v="38990.300000000003"/>
    <n v="0.1"/>
    <n v="35091.269999999997"/>
    <n v="24432.28"/>
    <n v="10658.99"/>
    <x v="2"/>
    <n v="59"/>
    <d v="2025-02-18T11:00:00"/>
    <s v="Feb"/>
    <n v="2"/>
    <s v="Q1"/>
    <x v="1"/>
    <x v="0"/>
    <x v="1"/>
    <x v="0"/>
  </r>
  <r>
    <x v="862"/>
    <x v="139"/>
    <s v="CUST0201"/>
    <x v="2"/>
    <x v="3"/>
    <x v="2"/>
    <x v="15"/>
    <n v="6"/>
    <n v="31734.12"/>
    <n v="0.15"/>
    <n v="26974"/>
    <n v="20467.59"/>
    <n v="6506.41"/>
    <x v="0"/>
    <n v="16"/>
    <d v="2025-05-01T16:00:00"/>
    <s v="May"/>
    <n v="5"/>
    <s v="Q2"/>
    <x v="0"/>
    <x v="0"/>
    <x v="0"/>
    <x v="0"/>
  </r>
  <r>
    <x v="863"/>
    <x v="105"/>
    <s v="CUST0150"/>
    <x v="8"/>
    <x v="1"/>
    <x v="0"/>
    <x v="6"/>
    <n v="2"/>
    <n v="3517.94"/>
    <n v="0.15"/>
    <n v="2990.25"/>
    <n v="2496.11"/>
    <n v="494.14"/>
    <x v="0"/>
    <n v="20"/>
    <d v="2025-08-02T20:00:00"/>
    <s v="Aug"/>
    <n v="8"/>
    <s v="Q3"/>
    <x v="0"/>
    <x v="0"/>
    <x v="0"/>
    <x v="0"/>
  </r>
  <r>
    <x v="864"/>
    <x v="248"/>
    <s v="CUST0296"/>
    <x v="7"/>
    <x v="3"/>
    <x v="3"/>
    <x v="12"/>
    <n v="7"/>
    <n v="36493.24"/>
    <n v="0.05"/>
    <n v="34668.58"/>
    <n v="19981.330000000002"/>
    <n v="14687.25"/>
    <x v="3"/>
    <n v="7"/>
    <d v="2025-08-27T07:00:00"/>
    <s v="Aug"/>
    <n v="8"/>
    <s v="Q3"/>
    <x v="1"/>
    <x v="1"/>
    <x v="0"/>
    <x v="0"/>
  </r>
  <r>
    <x v="865"/>
    <x v="327"/>
    <s v="CUST0293"/>
    <x v="2"/>
    <x v="5"/>
    <x v="3"/>
    <x v="20"/>
    <n v="2"/>
    <n v="11613.64"/>
    <n v="0.1"/>
    <n v="10452.280000000001"/>
    <n v="8432.2199999999993"/>
    <n v="2020.06"/>
    <x v="0"/>
    <n v="39"/>
    <d v="2025-02-26T15:00:00"/>
    <s v="Feb"/>
    <n v="2"/>
    <s v="Q1"/>
    <x v="0"/>
    <x v="0"/>
    <x v="0"/>
    <x v="0"/>
  </r>
  <r>
    <x v="866"/>
    <x v="237"/>
    <s v="CUST0272"/>
    <x v="5"/>
    <x v="6"/>
    <x v="0"/>
    <x v="19"/>
    <n v="7"/>
    <n v="31781.26"/>
    <n v="0.2"/>
    <n v="25425.01"/>
    <n v="18120.39"/>
    <n v="7304.62"/>
    <x v="1"/>
    <n v="14"/>
    <d v="2025-12-16T14:00:00"/>
    <s v="Dec"/>
    <n v="12"/>
    <s v="Q4"/>
    <x v="1"/>
    <x v="0"/>
    <x v="0"/>
    <x v="1"/>
  </r>
  <r>
    <x v="867"/>
    <x v="3"/>
    <s v="CUST0043"/>
    <x v="4"/>
    <x v="3"/>
    <x v="0"/>
    <x v="19"/>
    <n v="7"/>
    <n v="43023.05"/>
    <n v="0"/>
    <n v="43023.05"/>
    <n v="31671.93"/>
    <n v="11351.12"/>
    <x v="2"/>
    <n v="81"/>
    <d v="2025-04-20T09:00:00"/>
    <s v="Apr"/>
    <n v="4"/>
    <s v="Q2"/>
    <x v="1"/>
    <x v="0"/>
    <x v="1"/>
    <x v="0"/>
  </r>
  <r>
    <x v="868"/>
    <x v="242"/>
    <s v="CUST0015"/>
    <x v="5"/>
    <x v="1"/>
    <x v="0"/>
    <x v="0"/>
    <n v="4"/>
    <n v="20020.560000000001"/>
    <n v="0.05"/>
    <n v="19019.53"/>
    <n v="14565.11"/>
    <n v="4454.42"/>
    <x v="3"/>
    <n v="1"/>
    <d v="2025-11-15T01:00:00"/>
    <s v="Nov"/>
    <n v="11"/>
    <s v="Q4"/>
    <x v="1"/>
    <x v="1"/>
    <x v="0"/>
    <x v="0"/>
  </r>
  <r>
    <x v="869"/>
    <x v="99"/>
    <s v="CUST0248"/>
    <x v="8"/>
    <x v="7"/>
    <x v="3"/>
    <x v="7"/>
    <n v="3"/>
    <n v="24191.64"/>
    <n v="0.05"/>
    <n v="22982.06"/>
    <n v="19637.38"/>
    <n v="3344.68"/>
    <x v="2"/>
    <n v="62"/>
    <d v="2025-02-19T14:00:00"/>
    <s v="Feb"/>
    <n v="2"/>
    <s v="Q1"/>
    <x v="1"/>
    <x v="0"/>
    <x v="1"/>
    <x v="0"/>
  </r>
  <r>
    <x v="870"/>
    <x v="325"/>
    <s v="CUST0172"/>
    <x v="0"/>
    <x v="3"/>
    <x v="0"/>
    <x v="19"/>
    <n v="7"/>
    <n v="4188.59"/>
    <n v="0.05"/>
    <n v="3979.16"/>
    <n v="2263.02"/>
    <n v="1716.14"/>
    <x v="2"/>
    <n v="67"/>
    <d v="2025-03-04T19:00:00"/>
    <s v="Mar"/>
    <n v="3"/>
    <s v="Q1"/>
    <x v="1"/>
    <x v="0"/>
    <x v="1"/>
    <x v="0"/>
  </r>
  <r>
    <x v="871"/>
    <x v="272"/>
    <s v="CUST0218"/>
    <x v="5"/>
    <x v="1"/>
    <x v="1"/>
    <x v="10"/>
    <n v="7"/>
    <n v="7260.05"/>
    <n v="0.05"/>
    <n v="6897.05"/>
    <n v="3860.47"/>
    <n v="3036.58"/>
    <x v="2"/>
    <n v="53"/>
    <d v="2025-12-05T05:00:00"/>
    <s v="Dec"/>
    <n v="12"/>
    <s v="Q4"/>
    <x v="1"/>
    <x v="0"/>
    <x v="1"/>
    <x v="0"/>
  </r>
  <r>
    <x v="872"/>
    <x v="222"/>
    <s v="CUST0137"/>
    <x v="5"/>
    <x v="6"/>
    <x v="2"/>
    <x v="11"/>
    <n v="4"/>
    <n v="6400.64"/>
    <n v="0.15"/>
    <n v="5440.54"/>
    <n v="3312.34"/>
    <n v="2128.1999999999998"/>
    <x v="0"/>
    <n v="37"/>
    <d v="2025-01-27T13:00:00"/>
    <s v="Jan"/>
    <n v="1"/>
    <s v="Q1"/>
    <x v="0"/>
    <x v="0"/>
    <x v="0"/>
    <x v="0"/>
  </r>
  <r>
    <x v="873"/>
    <x v="296"/>
    <s v="CUST0227"/>
    <x v="0"/>
    <x v="0"/>
    <x v="2"/>
    <x v="2"/>
    <n v="5"/>
    <n v="29564.65"/>
    <n v="0"/>
    <n v="29564.65"/>
    <n v="25884.67"/>
    <n v="3679.98"/>
    <x v="0"/>
    <n v="30"/>
    <d v="2025-10-20T06:00:00"/>
    <s v="Oct"/>
    <n v="10"/>
    <s v="Q4"/>
    <x v="0"/>
    <x v="0"/>
    <x v="0"/>
    <x v="0"/>
  </r>
  <r>
    <x v="874"/>
    <x v="108"/>
    <s v="CUST0044"/>
    <x v="5"/>
    <x v="5"/>
    <x v="4"/>
    <x v="23"/>
    <n v="6"/>
    <n v="33244.379999999997"/>
    <n v="0.1"/>
    <n v="29919.94"/>
    <n v="23516.33"/>
    <n v="6403.61"/>
    <x v="0"/>
    <n v="13"/>
    <d v="2025-09-14T13:00:00"/>
    <s v="Sep"/>
    <n v="9"/>
    <s v="Q3"/>
    <x v="0"/>
    <x v="0"/>
    <x v="0"/>
    <x v="0"/>
  </r>
  <r>
    <x v="875"/>
    <x v="306"/>
    <s v="CUST0020"/>
    <x v="3"/>
    <x v="3"/>
    <x v="4"/>
    <x v="9"/>
    <n v="1"/>
    <n v="7598.69"/>
    <n v="0.1"/>
    <n v="6838.82"/>
    <n v="5148.4799999999996"/>
    <n v="1690.34"/>
    <x v="2"/>
    <n v="66"/>
    <d v="2025-01-10T18:00:00"/>
    <s v="Jan"/>
    <n v="1"/>
    <s v="Q1"/>
    <x v="1"/>
    <x v="0"/>
    <x v="1"/>
    <x v="0"/>
  </r>
  <r>
    <x v="876"/>
    <x v="150"/>
    <s v="CUST0119"/>
    <x v="4"/>
    <x v="6"/>
    <x v="2"/>
    <x v="11"/>
    <n v="4"/>
    <n v="25078.12"/>
    <n v="0.1"/>
    <n v="22570.31"/>
    <n v="12764.03"/>
    <n v="9806.2800000000007"/>
    <x v="3"/>
    <n v="1"/>
    <d v="2025-04-23T01:00:00"/>
    <s v="Apr"/>
    <n v="4"/>
    <s v="Q2"/>
    <x v="1"/>
    <x v="1"/>
    <x v="0"/>
    <x v="0"/>
  </r>
  <r>
    <x v="877"/>
    <x v="223"/>
    <s v="CUST0234"/>
    <x v="1"/>
    <x v="6"/>
    <x v="1"/>
    <x v="4"/>
    <n v="3"/>
    <n v="13184.31"/>
    <n v="0.15"/>
    <n v="11206.66"/>
    <n v="9414.7900000000009"/>
    <n v="1791.87"/>
    <x v="0"/>
    <n v="23"/>
    <d v="2025-12-21T23:00:00"/>
    <s v="Dec"/>
    <n v="12"/>
    <s v="Q4"/>
    <x v="0"/>
    <x v="0"/>
    <x v="0"/>
    <x v="0"/>
  </r>
  <r>
    <x v="878"/>
    <x v="25"/>
    <s v="CUST0262"/>
    <x v="4"/>
    <x v="4"/>
    <x v="3"/>
    <x v="7"/>
    <n v="4"/>
    <n v="33727.199999999997"/>
    <n v="0.05"/>
    <n v="32040.84"/>
    <n v="26216.13"/>
    <n v="5824.71"/>
    <x v="2"/>
    <n v="78"/>
    <d v="2025-09-13T06:00:00"/>
    <s v="Sep"/>
    <n v="9"/>
    <s v="Q3"/>
    <x v="1"/>
    <x v="0"/>
    <x v="1"/>
    <x v="0"/>
  </r>
  <r>
    <x v="879"/>
    <x v="149"/>
    <s v="CUST0083"/>
    <x v="5"/>
    <x v="0"/>
    <x v="3"/>
    <x v="16"/>
    <n v="2"/>
    <n v="4744"/>
    <n v="0.2"/>
    <n v="3795.2"/>
    <n v="2919.97"/>
    <n v="875.23"/>
    <x v="2"/>
    <n v="69"/>
    <d v="2025-07-01T21:00:00"/>
    <s v="Jun"/>
    <n v="6"/>
    <s v="Q2"/>
    <x v="1"/>
    <x v="0"/>
    <x v="1"/>
    <x v="0"/>
  </r>
  <r>
    <x v="880"/>
    <x v="113"/>
    <s v="CUST0031"/>
    <x v="3"/>
    <x v="3"/>
    <x v="1"/>
    <x v="5"/>
    <n v="5"/>
    <n v="35535.75"/>
    <n v="0.1"/>
    <n v="31982.18"/>
    <n v="21169.43"/>
    <n v="10812.75"/>
    <x v="0"/>
    <n v="26"/>
    <d v="2025-07-27T02:00:00"/>
    <s v="Jul"/>
    <n v="7"/>
    <s v="Q3"/>
    <x v="0"/>
    <x v="0"/>
    <x v="0"/>
    <x v="0"/>
  </r>
  <r>
    <x v="881"/>
    <x v="301"/>
    <s v="CUST0274"/>
    <x v="2"/>
    <x v="1"/>
    <x v="3"/>
    <x v="16"/>
    <n v="5"/>
    <n v="18568.5"/>
    <n v="0.1"/>
    <n v="16711.650000000001"/>
    <n v="9580.23"/>
    <n v="7131.42"/>
    <x v="0"/>
    <n v="24"/>
    <d v="2025-10-31T00:00:00"/>
    <s v="Oct"/>
    <n v="10"/>
    <s v="Q4"/>
    <x v="0"/>
    <x v="0"/>
    <x v="0"/>
    <x v="0"/>
  </r>
  <r>
    <x v="882"/>
    <x v="217"/>
    <s v="CUST0234"/>
    <x v="5"/>
    <x v="3"/>
    <x v="0"/>
    <x v="14"/>
    <n v="7"/>
    <n v="38968.58"/>
    <n v="0.15"/>
    <n v="33123.29"/>
    <n v="24558.03"/>
    <n v="8565.26"/>
    <x v="3"/>
    <n v="17"/>
    <d v="2025-05-07T17:00:00"/>
    <s v="May"/>
    <n v="5"/>
    <s v="Q2"/>
    <x v="1"/>
    <x v="1"/>
    <x v="0"/>
    <x v="0"/>
  </r>
  <r>
    <x v="883"/>
    <x v="327"/>
    <s v="CUST0028"/>
    <x v="8"/>
    <x v="3"/>
    <x v="2"/>
    <x v="15"/>
    <n v="5"/>
    <n v="31113.45"/>
    <n v="0.05"/>
    <n v="29557.78"/>
    <n v="23276.73"/>
    <n v="6281.05"/>
    <x v="0"/>
    <n v="13"/>
    <d v="2025-02-25T13:00:00"/>
    <s v="Feb"/>
    <n v="2"/>
    <s v="Q1"/>
    <x v="0"/>
    <x v="0"/>
    <x v="0"/>
    <x v="0"/>
  </r>
  <r>
    <x v="884"/>
    <x v="105"/>
    <s v="CUST0252"/>
    <x v="3"/>
    <x v="0"/>
    <x v="2"/>
    <x v="15"/>
    <n v="5"/>
    <n v="27209.25"/>
    <n v="0"/>
    <n v="27209.25"/>
    <n v="15811.28"/>
    <n v="11397.97"/>
    <x v="0"/>
    <n v="44"/>
    <d v="2025-08-03T20:00:00"/>
    <s v="Aug"/>
    <n v="8"/>
    <s v="Q3"/>
    <x v="0"/>
    <x v="0"/>
    <x v="0"/>
    <x v="0"/>
  </r>
  <r>
    <x v="885"/>
    <x v="46"/>
    <s v="CUST0253"/>
    <x v="0"/>
    <x v="2"/>
    <x v="1"/>
    <x v="1"/>
    <n v="5"/>
    <n v="6616.2"/>
    <n v="0.15"/>
    <n v="5623.77"/>
    <n v="4269.25"/>
    <n v="1354.52"/>
    <x v="1"/>
    <n v="12"/>
    <d v="2025-01-14T12:00:00"/>
    <s v="Jan"/>
    <n v="1"/>
    <s v="Q1"/>
    <x v="1"/>
    <x v="0"/>
    <x v="0"/>
    <x v="1"/>
  </r>
  <r>
    <x v="886"/>
    <x v="94"/>
    <s v="CUST0239"/>
    <x v="3"/>
    <x v="6"/>
    <x v="3"/>
    <x v="12"/>
    <n v="5"/>
    <n v="19243.2"/>
    <n v="0.1"/>
    <n v="17318.88"/>
    <n v="11162.03"/>
    <n v="6156.85"/>
    <x v="0"/>
    <n v="33"/>
    <d v="2025-01-29T09:00:00"/>
    <s v="Jan"/>
    <n v="1"/>
    <s v="Q1"/>
    <x v="0"/>
    <x v="0"/>
    <x v="0"/>
    <x v="0"/>
  </r>
  <r>
    <x v="887"/>
    <x v="316"/>
    <s v="CUST0175"/>
    <x v="0"/>
    <x v="6"/>
    <x v="4"/>
    <x v="22"/>
    <n v="1"/>
    <n v="4838.01"/>
    <n v="0.2"/>
    <n v="3870.41"/>
    <n v="3104.85"/>
    <n v="765.56"/>
    <x v="3"/>
    <n v="20"/>
    <d v="2025-03-19T20:00:00"/>
    <s v="Mar"/>
    <n v="3"/>
    <s v="Q1"/>
    <x v="1"/>
    <x v="1"/>
    <x v="0"/>
    <x v="0"/>
  </r>
  <r>
    <x v="888"/>
    <x v="101"/>
    <s v="CUST0194"/>
    <x v="7"/>
    <x v="6"/>
    <x v="4"/>
    <x v="22"/>
    <n v="3"/>
    <n v="21718.560000000001"/>
    <n v="0.25"/>
    <n v="16288.92"/>
    <n v="11859.53"/>
    <n v="4429.3900000000003"/>
    <x v="0"/>
    <n v="21"/>
    <d v="2025-08-04T21:00:00"/>
    <s v="Aug"/>
    <n v="8"/>
    <s v="Q3"/>
    <x v="0"/>
    <x v="0"/>
    <x v="0"/>
    <x v="0"/>
  </r>
  <r>
    <x v="889"/>
    <x v="196"/>
    <s v="CUST0180"/>
    <x v="1"/>
    <x v="6"/>
    <x v="3"/>
    <x v="20"/>
    <n v="7"/>
    <n v="26981.08"/>
    <n v="0.05"/>
    <n v="25632.03"/>
    <n v="15189.08"/>
    <n v="10442.950000000001"/>
    <x v="0"/>
    <n v="17"/>
    <d v="2025-12-31T17:00:00"/>
    <s v="Dec"/>
    <n v="12"/>
    <s v="Q4"/>
    <x v="0"/>
    <x v="0"/>
    <x v="0"/>
    <x v="0"/>
  </r>
  <r>
    <x v="890"/>
    <x v="255"/>
    <s v="CUST0295"/>
    <x v="6"/>
    <x v="0"/>
    <x v="4"/>
    <x v="21"/>
    <n v="5"/>
    <n v="39107.699999999997"/>
    <n v="0.05"/>
    <n v="37152.31"/>
    <n v="26889.040000000001"/>
    <n v="10263.27"/>
    <x v="2"/>
    <n v="78"/>
    <d v="2025-06-06T06:00:00"/>
    <s v="Jun"/>
    <n v="6"/>
    <s v="Q2"/>
    <x v="1"/>
    <x v="0"/>
    <x v="1"/>
    <x v="0"/>
  </r>
  <r>
    <x v="891"/>
    <x v="46"/>
    <s v="CUST0215"/>
    <x v="3"/>
    <x v="1"/>
    <x v="1"/>
    <x v="4"/>
    <n v="7"/>
    <n v="26789.84"/>
    <n v="0.05"/>
    <n v="25450.35"/>
    <n v="17321.330000000002"/>
    <n v="8129.02"/>
    <x v="1"/>
    <n v="7"/>
    <d v="2025-01-14T07:00:00"/>
    <s v="Jan"/>
    <n v="1"/>
    <s v="Q1"/>
    <x v="1"/>
    <x v="0"/>
    <x v="0"/>
    <x v="1"/>
  </r>
  <r>
    <x v="892"/>
    <x v="127"/>
    <s v="CUST0203"/>
    <x v="9"/>
    <x v="7"/>
    <x v="1"/>
    <x v="4"/>
    <n v="3"/>
    <n v="14196.93"/>
    <n v="0.05"/>
    <n v="13487.08"/>
    <n v="8220.61"/>
    <n v="5266.47"/>
    <x v="0"/>
    <n v="4"/>
    <d v="2025-07-06T04:00:00"/>
    <s v="Jul"/>
    <n v="7"/>
    <s v="Q3"/>
    <x v="0"/>
    <x v="0"/>
    <x v="0"/>
    <x v="0"/>
  </r>
  <r>
    <x v="893"/>
    <x v="300"/>
    <s v="CUST0250"/>
    <x v="8"/>
    <x v="4"/>
    <x v="3"/>
    <x v="7"/>
    <n v="6"/>
    <n v="40793.94"/>
    <n v="0.15"/>
    <n v="34674.85"/>
    <n v="28700.38"/>
    <n v="5974.47"/>
    <x v="1"/>
    <n v="8"/>
    <d v="2025-11-08T08:00:00"/>
    <s v="Nov"/>
    <n v="11"/>
    <s v="Q4"/>
    <x v="1"/>
    <x v="0"/>
    <x v="0"/>
    <x v="1"/>
  </r>
  <r>
    <x v="894"/>
    <x v="293"/>
    <s v="CUST0257"/>
    <x v="5"/>
    <x v="2"/>
    <x v="4"/>
    <x v="13"/>
    <n v="5"/>
    <n v="25093.1"/>
    <n v="0.15"/>
    <n v="21329.14"/>
    <n v="11808.65"/>
    <n v="9520.49"/>
    <x v="0"/>
    <n v="18"/>
    <d v="2025-01-07T18:00:00"/>
    <s v="Jan"/>
    <n v="1"/>
    <s v="Q1"/>
    <x v="0"/>
    <x v="0"/>
    <x v="0"/>
    <x v="0"/>
  </r>
  <r>
    <x v="895"/>
    <x v="328"/>
    <s v="CUST0075"/>
    <x v="8"/>
    <x v="2"/>
    <x v="1"/>
    <x v="4"/>
    <n v="7"/>
    <n v="57174.74"/>
    <n v="0.1"/>
    <n v="51457.27"/>
    <n v="33601.72"/>
    <n v="17855.55"/>
    <x v="0"/>
    <n v="39"/>
    <d v="2025-01-04T15:00:00"/>
    <s v="Jan"/>
    <n v="1"/>
    <s v="Q1"/>
    <x v="0"/>
    <x v="0"/>
    <x v="0"/>
    <x v="0"/>
  </r>
  <r>
    <x v="896"/>
    <x v="324"/>
    <s v="CUST0202"/>
    <x v="4"/>
    <x v="5"/>
    <x v="1"/>
    <x v="1"/>
    <n v="4"/>
    <n v="22655.200000000001"/>
    <n v="0"/>
    <n v="22655.200000000001"/>
    <n v="12554.52"/>
    <n v="10100.68"/>
    <x v="3"/>
    <n v="18"/>
    <d v="2025-04-21T18:00:00"/>
    <s v="Apr"/>
    <n v="4"/>
    <s v="Q2"/>
    <x v="1"/>
    <x v="1"/>
    <x v="0"/>
    <x v="0"/>
  </r>
  <r>
    <x v="897"/>
    <x v="192"/>
    <s v="CUST0142"/>
    <x v="6"/>
    <x v="6"/>
    <x v="0"/>
    <x v="19"/>
    <n v="7"/>
    <n v="31602.34"/>
    <n v="0.05"/>
    <n v="30022.22"/>
    <n v="17463.39"/>
    <n v="12558.83"/>
    <x v="1"/>
    <n v="9"/>
    <d v="2025-08-26T09:00:00"/>
    <s v="Aug"/>
    <n v="8"/>
    <s v="Q3"/>
    <x v="1"/>
    <x v="0"/>
    <x v="0"/>
    <x v="1"/>
  </r>
  <r>
    <x v="898"/>
    <x v="329"/>
    <s v="CUST0206"/>
    <x v="4"/>
    <x v="5"/>
    <x v="0"/>
    <x v="0"/>
    <n v="5"/>
    <n v="1734.95"/>
    <n v="0.05"/>
    <n v="1648.2"/>
    <n v="1068.0999999999999"/>
    <n v="580.1"/>
    <x v="0"/>
    <n v="36"/>
    <d v="2025-12-30T12:00:00"/>
    <s v="Dec"/>
    <n v="12"/>
    <s v="Q4"/>
    <x v="0"/>
    <x v="0"/>
    <x v="0"/>
    <x v="0"/>
  </r>
  <r>
    <x v="899"/>
    <x v="248"/>
    <s v="CUST0199"/>
    <x v="7"/>
    <x v="6"/>
    <x v="1"/>
    <x v="8"/>
    <n v="2"/>
    <n v="7209.34"/>
    <n v="0.15"/>
    <n v="6127.94"/>
    <n v="3480.12"/>
    <n v="2647.82"/>
    <x v="0"/>
    <n v="44"/>
    <d v="2025-08-28T20:00:00"/>
    <s v="Aug"/>
    <n v="8"/>
    <s v="Q3"/>
    <x v="0"/>
    <x v="0"/>
    <x v="0"/>
    <x v="0"/>
  </r>
  <r>
    <x v="900"/>
    <x v="43"/>
    <s v="CUST0171"/>
    <x v="6"/>
    <x v="4"/>
    <x v="3"/>
    <x v="7"/>
    <n v="1"/>
    <n v="2648.72"/>
    <n v="0"/>
    <n v="2648.72"/>
    <n v="1978.3"/>
    <n v="670.42"/>
    <x v="0"/>
    <n v="42"/>
    <d v="2025-10-02T18:00:00"/>
    <s v="Oct"/>
    <n v="10"/>
    <s v="Q4"/>
    <x v="0"/>
    <x v="0"/>
    <x v="0"/>
    <x v="0"/>
  </r>
  <r>
    <x v="901"/>
    <x v="19"/>
    <s v="CUST0228"/>
    <x v="6"/>
    <x v="6"/>
    <x v="2"/>
    <x v="24"/>
    <n v="4"/>
    <n v="25586.720000000001"/>
    <n v="0.15"/>
    <n v="21748.71"/>
    <n v="12585.21"/>
    <n v="9163.5"/>
    <x v="1"/>
    <n v="12"/>
    <d v="2025-10-21T12:00:00"/>
    <s v="Oct"/>
    <n v="10"/>
    <s v="Q4"/>
    <x v="1"/>
    <x v="0"/>
    <x v="0"/>
    <x v="1"/>
  </r>
  <r>
    <x v="902"/>
    <x v="106"/>
    <s v="CUST0179"/>
    <x v="4"/>
    <x v="7"/>
    <x v="2"/>
    <x v="24"/>
    <n v="4"/>
    <n v="7556.48"/>
    <n v="0.1"/>
    <n v="6800.83"/>
    <n v="5315.29"/>
    <n v="1485.54"/>
    <x v="0"/>
    <n v="46"/>
    <d v="2025-08-16T22:00:00"/>
    <s v="Aug"/>
    <n v="8"/>
    <s v="Q3"/>
    <x v="0"/>
    <x v="0"/>
    <x v="0"/>
    <x v="0"/>
  </r>
  <r>
    <x v="903"/>
    <x v="81"/>
    <s v="CUST0275"/>
    <x v="0"/>
    <x v="2"/>
    <x v="1"/>
    <x v="8"/>
    <n v="2"/>
    <n v="3727.18"/>
    <n v="0.15"/>
    <n v="3168.1"/>
    <n v="1797.49"/>
    <n v="1370.61"/>
    <x v="0"/>
    <n v="5"/>
    <d v="2025-01-15T05:00:00"/>
    <s v="Jan"/>
    <n v="1"/>
    <s v="Q1"/>
    <x v="0"/>
    <x v="0"/>
    <x v="0"/>
    <x v="0"/>
  </r>
  <r>
    <x v="904"/>
    <x v="20"/>
    <s v="CUST0062"/>
    <x v="4"/>
    <x v="3"/>
    <x v="1"/>
    <x v="5"/>
    <n v="5"/>
    <n v="8662.4"/>
    <n v="0.05"/>
    <n v="8229.2800000000007"/>
    <n v="4687.17"/>
    <n v="3542.11"/>
    <x v="3"/>
    <n v="3"/>
    <d v="2025-07-11T03:00:00"/>
    <s v="Jul"/>
    <n v="7"/>
    <s v="Q3"/>
    <x v="1"/>
    <x v="1"/>
    <x v="0"/>
    <x v="0"/>
  </r>
  <r>
    <x v="905"/>
    <x v="312"/>
    <s v="CUST0204"/>
    <x v="8"/>
    <x v="4"/>
    <x v="1"/>
    <x v="1"/>
    <n v="1"/>
    <n v="1198.8900000000001"/>
    <n v="0.1"/>
    <n v="1079"/>
    <n v="702.17"/>
    <n v="376.83"/>
    <x v="1"/>
    <n v="18"/>
    <d v="2025-04-29T18:00:00"/>
    <s v="Apr"/>
    <n v="4"/>
    <s v="Q2"/>
    <x v="1"/>
    <x v="0"/>
    <x v="0"/>
    <x v="1"/>
  </r>
  <r>
    <x v="906"/>
    <x v="94"/>
    <s v="CUST0133"/>
    <x v="0"/>
    <x v="2"/>
    <x v="3"/>
    <x v="7"/>
    <n v="4"/>
    <n v="10987.64"/>
    <n v="0.1"/>
    <n v="9888.8799999999992"/>
    <n v="8364.69"/>
    <n v="1524.19"/>
    <x v="3"/>
    <n v="3"/>
    <d v="2025-01-28T03:00:00"/>
    <s v="Jan"/>
    <n v="1"/>
    <s v="Q1"/>
    <x v="1"/>
    <x v="1"/>
    <x v="0"/>
    <x v="0"/>
  </r>
  <r>
    <x v="907"/>
    <x v="67"/>
    <s v="CUST0072"/>
    <x v="8"/>
    <x v="1"/>
    <x v="0"/>
    <x v="19"/>
    <n v="1"/>
    <n v="7547.45"/>
    <n v="0.15"/>
    <n v="6415.33"/>
    <n v="4886.3"/>
    <n v="1529.03"/>
    <x v="1"/>
    <n v="18"/>
    <d v="2025-07-21T18:00:00"/>
    <s v="Jul"/>
    <n v="7"/>
    <s v="Q3"/>
    <x v="1"/>
    <x v="0"/>
    <x v="0"/>
    <x v="1"/>
  </r>
  <r>
    <x v="908"/>
    <x v="173"/>
    <s v="CUST0078"/>
    <x v="7"/>
    <x v="2"/>
    <x v="1"/>
    <x v="10"/>
    <n v="4"/>
    <n v="26482.6"/>
    <n v="0.05"/>
    <n v="25158.47"/>
    <n v="20231.02"/>
    <n v="4927.45"/>
    <x v="3"/>
    <n v="18"/>
    <d v="2025-02-08T18:00:00"/>
    <s v="Feb"/>
    <n v="2"/>
    <s v="Q1"/>
    <x v="1"/>
    <x v="1"/>
    <x v="0"/>
    <x v="0"/>
  </r>
  <r>
    <x v="909"/>
    <x v="219"/>
    <s v="CUST0189"/>
    <x v="5"/>
    <x v="4"/>
    <x v="1"/>
    <x v="4"/>
    <n v="5"/>
    <n v="31446.75"/>
    <n v="0.1"/>
    <n v="28302.080000000002"/>
    <n v="16888.2"/>
    <n v="11413.88"/>
    <x v="0"/>
    <n v="10"/>
    <d v="2025-09-30T10:00:00"/>
    <s v="Sep"/>
    <n v="9"/>
    <s v="Q3"/>
    <x v="0"/>
    <x v="0"/>
    <x v="0"/>
    <x v="0"/>
  </r>
  <r>
    <x v="910"/>
    <x v="93"/>
    <s v="CUST0071"/>
    <x v="2"/>
    <x v="7"/>
    <x v="4"/>
    <x v="21"/>
    <n v="6"/>
    <n v="40846.559999999998"/>
    <n v="0.1"/>
    <n v="36761.9"/>
    <n v="30338.18"/>
    <n v="6423.72"/>
    <x v="1"/>
    <n v="12"/>
    <d v="2025-08-19T12:00:00"/>
    <s v="Aug"/>
    <n v="8"/>
    <s v="Q3"/>
    <x v="1"/>
    <x v="0"/>
    <x v="0"/>
    <x v="1"/>
  </r>
  <r>
    <x v="911"/>
    <x v="129"/>
    <s v="CUST0263"/>
    <x v="0"/>
    <x v="0"/>
    <x v="3"/>
    <x v="12"/>
    <n v="4"/>
    <n v="9598.56"/>
    <n v="0"/>
    <n v="9598.56"/>
    <n v="5305.01"/>
    <n v="4293.55"/>
    <x v="2"/>
    <n v="61"/>
    <d v="2025-03-29T13:00:00"/>
    <s v="Mar"/>
    <n v="3"/>
    <s v="Q1"/>
    <x v="1"/>
    <x v="0"/>
    <x v="1"/>
    <x v="0"/>
  </r>
  <r>
    <x v="912"/>
    <x v="156"/>
    <s v="CUST0046"/>
    <x v="7"/>
    <x v="1"/>
    <x v="1"/>
    <x v="5"/>
    <n v="6"/>
    <n v="45360.84"/>
    <n v="0.05"/>
    <n v="43092.800000000003"/>
    <n v="26730.85"/>
    <n v="16361.95"/>
    <x v="0"/>
    <n v="40"/>
    <d v="2025-05-07T16:00:00"/>
    <s v="May"/>
    <n v="5"/>
    <s v="Q2"/>
    <x v="0"/>
    <x v="0"/>
    <x v="0"/>
    <x v="0"/>
  </r>
  <r>
    <x v="913"/>
    <x v="330"/>
    <s v="CUST0224"/>
    <x v="9"/>
    <x v="3"/>
    <x v="4"/>
    <x v="9"/>
    <n v="4"/>
    <n v="5185.92"/>
    <n v="0.25"/>
    <n v="3889.44"/>
    <n v="2929.96"/>
    <n v="959.48"/>
    <x v="0"/>
    <n v="39"/>
    <d v="2025-10-28T15:00:00"/>
    <s v="Oct"/>
    <n v="10"/>
    <s v="Q4"/>
    <x v="0"/>
    <x v="0"/>
    <x v="0"/>
    <x v="0"/>
  </r>
  <r>
    <x v="914"/>
    <x v="285"/>
    <s v="CUST0250"/>
    <x v="7"/>
    <x v="6"/>
    <x v="2"/>
    <x v="11"/>
    <n v="3"/>
    <n v="8875.4699999999993"/>
    <n v="0"/>
    <n v="8875.4699999999993"/>
    <n v="5980.57"/>
    <n v="2894.9"/>
    <x v="3"/>
    <n v="9"/>
    <d v="2025-01-25T09:00:00"/>
    <s v="Jan"/>
    <n v="1"/>
    <s v="Q1"/>
    <x v="1"/>
    <x v="1"/>
    <x v="0"/>
    <x v="0"/>
  </r>
  <r>
    <x v="915"/>
    <x v="241"/>
    <s v="CUST0076"/>
    <x v="4"/>
    <x v="4"/>
    <x v="1"/>
    <x v="1"/>
    <n v="5"/>
    <n v="25246.75"/>
    <n v="0.05"/>
    <n v="23984.41"/>
    <n v="20981.17"/>
    <n v="3003.24"/>
    <x v="1"/>
    <n v="20"/>
    <d v="2025-05-25T20:00:00"/>
    <s v="May"/>
    <n v="5"/>
    <s v="Q2"/>
    <x v="1"/>
    <x v="0"/>
    <x v="0"/>
    <x v="1"/>
  </r>
  <r>
    <x v="916"/>
    <x v="125"/>
    <s v="CUST0074"/>
    <x v="4"/>
    <x v="1"/>
    <x v="1"/>
    <x v="1"/>
    <n v="2"/>
    <n v="2018.52"/>
    <n v="0.05"/>
    <n v="1917.59"/>
    <n v="1073.8699999999999"/>
    <n v="843.72"/>
    <x v="0"/>
    <n v="19"/>
    <d v="2025-01-13T19:00:00"/>
    <s v="Jan"/>
    <n v="1"/>
    <s v="Q1"/>
    <x v="0"/>
    <x v="0"/>
    <x v="0"/>
    <x v="0"/>
  </r>
  <r>
    <x v="917"/>
    <x v="308"/>
    <s v="CUST0142"/>
    <x v="2"/>
    <x v="4"/>
    <x v="4"/>
    <x v="23"/>
    <n v="6"/>
    <n v="37479.54"/>
    <n v="0.1"/>
    <n v="33731.589999999997"/>
    <n v="29668.19"/>
    <n v="4063.4"/>
    <x v="3"/>
    <n v="4"/>
    <d v="2025-07-31T04:00:00"/>
    <s v="Jul"/>
    <n v="7"/>
    <s v="Q3"/>
    <x v="1"/>
    <x v="1"/>
    <x v="0"/>
    <x v="0"/>
  </r>
  <r>
    <x v="918"/>
    <x v="285"/>
    <s v="CUST0073"/>
    <x v="7"/>
    <x v="3"/>
    <x v="3"/>
    <x v="20"/>
    <n v="2"/>
    <n v="6767"/>
    <n v="0"/>
    <n v="6767"/>
    <n v="5114.4799999999996"/>
    <n v="1652.52"/>
    <x v="0"/>
    <n v="37"/>
    <d v="2025-01-26T13:00:00"/>
    <s v="Jan"/>
    <n v="1"/>
    <s v="Q1"/>
    <x v="0"/>
    <x v="0"/>
    <x v="0"/>
    <x v="0"/>
  </r>
  <r>
    <x v="919"/>
    <x v="189"/>
    <s v="CUST0102"/>
    <x v="1"/>
    <x v="4"/>
    <x v="1"/>
    <x v="10"/>
    <n v="5"/>
    <n v="33498.949999999997"/>
    <n v="0.1"/>
    <n v="30149.05"/>
    <n v="22140.66"/>
    <n v="8008.39"/>
    <x v="0"/>
    <n v="4"/>
    <d v="2025-03-09T04:00:00"/>
    <s v="Mar"/>
    <n v="3"/>
    <s v="Q1"/>
    <x v="0"/>
    <x v="0"/>
    <x v="0"/>
    <x v="0"/>
  </r>
  <r>
    <x v="920"/>
    <x v="331"/>
    <s v="CUST0094"/>
    <x v="5"/>
    <x v="5"/>
    <x v="2"/>
    <x v="11"/>
    <n v="7"/>
    <n v="29859.759999999998"/>
    <n v="0"/>
    <n v="29859.759999999998"/>
    <n v="17009.29"/>
    <n v="12850.47"/>
    <x v="0"/>
    <n v="21"/>
    <d v="2025-03-08T21:00:00"/>
    <s v="Mar"/>
    <n v="3"/>
    <s v="Q1"/>
    <x v="0"/>
    <x v="0"/>
    <x v="0"/>
    <x v="0"/>
  </r>
  <r>
    <x v="921"/>
    <x v="141"/>
    <s v="CUST0069"/>
    <x v="4"/>
    <x v="2"/>
    <x v="1"/>
    <x v="4"/>
    <n v="2"/>
    <n v="3320.6"/>
    <n v="0"/>
    <n v="3320.6"/>
    <n v="2125.84"/>
    <n v="1194.76"/>
    <x v="0"/>
    <n v="43"/>
    <d v="2025-08-22T19:00:00"/>
    <s v="Aug"/>
    <n v="8"/>
    <s v="Q3"/>
    <x v="0"/>
    <x v="0"/>
    <x v="0"/>
    <x v="0"/>
  </r>
  <r>
    <x v="922"/>
    <x v="287"/>
    <s v="CUST0065"/>
    <x v="2"/>
    <x v="2"/>
    <x v="2"/>
    <x v="2"/>
    <n v="5"/>
    <n v="31426.3"/>
    <n v="0.15"/>
    <n v="26712.36"/>
    <n v="22842.77"/>
    <n v="3869.59"/>
    <x v="0"/>
    <n v="46"/>
    <d v="2025-04-20T22:00:00"/>
    <s v="Apr"/>
    <n v="4"/>
    <s v="Q2"/>
    <x v="0"/>
    <x v="0"/>
    <x v="0"/>
    <x v="0"/>
  </r>
  <r>
    <x v="923"/>
    <x v="291"/>
    <s v="CUST0193"/>
    <x v="5"/>
    <x v="1"/>
    <x v="0"/>
    <x v="19"/>
    <n v="2"/>
    <n v="4510.8"/>
    <n v="0.05"/>
    <n v="4285.26"/>
    <n v="2857.84"/>
    <n v="1427.42"/>
    <x v="2"/>
    <n v="85"/>
    <d v="2025-05-29T13:00:00"/>
    <s v="May"/>
    <n v="5"/>
    <s v="Q2"/>
    <x v="1"/>
    <x v="0"/>
    <x v="1"/>
    <x v="0"/>
  </r>
  <r>
    <x v="924"/>
    <x v="324"/>
    <s v="CUST0062"/>
    <x v="7"/>
    <x v="7"/>
    <x v="0"/>
    <x v="6"/>
    <n v="6"/>
    <n v="25489.62"/>
    <n v="0.25"/>
    <n v="19117.22"/>
    <n v="14688.63"/>
    <n v="4428.59"/>
    <x v="3"/>
    <n v="6"/>
    <d v="2025-04-21T06:00:00"/>
    <s v="Apr"/>
    <n v="4"/>
    <s v="Q2"/>
    <x v="1"/>
    <x v="1"/>
    <x v="0"/>
    <x v="0"/>
  </r>
  <r>
    <x v="925"/>
    <x v="307"/>
    <s v="CUST0020"/>
    <x v="7"/>
    <x v="0"/>
    <x v="2"/>
    <x v="2"/>
    <n v="3"/>
    <n v="2342.1"/>
    <n v="0"/>
    <n v="2342.1"/>
    <n v="2060.66"/>
    <n v="281.44"/>
    <x v="0"/>
    <n v="47"/>
    <d v="2025-08-17T23:00:00"/>
    <s v="Aug"/>
    <n v="8"/>
    <s v="Q3"/>
    <x v="0"/>
    <x v="0"/>
    <x v="0"/>
    <x v="0"/>
  </r>
  <r>
    <x v="926"/>
    <x v="324"/>
    <s v="CUST0241"/>
    <x v="6"/>
    <x v="1"/>
    <x v="3"/>
    <x v="7"/>
    <n v="2"/>
    <n v="10618.38"/>
    <n v="0.05"/>
    <n v="10087.459999999999"/>
    <n v="6423.83"/>
    <n v="3663.63"/>
    <x v="1"/>
    <n v="24"/>
    <d v="2025-04-22T00:00:00"/>
    <s v="Apr"/>
    <n v="4"/>
    <s v="Q2"/>
    <x v="1"/>
    <x v="0"/>
    <x v="0"/>
    <x v="1"/>
  </r>
  <r>
    <x v="927"/>
    <x v="318"/>
    <s v="CUST0203"/>
    <x v="2"/>
    <x v="4"/>
    <x v="1"/>
    <x v="5"/>
    <n v="6"/>
    <n v="34259.46"/>
    <n v="0"/>
    <n v="34259.46"/>
    <n v="25355.66"/>
    <n v="8903.7999999999993"/>
    <x v="0"/>
    <n v="23"/>
    <d v="2025-02-03T23:00:00"/>
    <s v="Feb"/>
    <n v="2"/>
    <s v="Q1"/>
    <x v="0"/>
    <x v="0"/>
    <x v="0"/>
    <x v="0"/>
  </r>
  <r>
    <x v="928"/>
    <x v="324"/>
    <s v="CUST0300"/>
    <x v="4"/>
    <x v="3"/>
    <x v="1"/>
    <x v="1"/>
    <n v="4"/>
    <n v="13247.72"/>
    <n v="0.05"/>
    <n v="12585.33"/>
    <n v="9814.35"/>
    <n v="2770.98"/>
    <x v="0"/>
    <n v="9"/>
    <d v="2025-04-21T09:00:00"/>
    <s v="Apr"/>
    <n v="4"/>
    <s v="Q2"/>
    <x v="0"/>
    <x v="0"/>
    <x v="0"/>
    <x v="0"/>
  </r>
  <r>
    <x v="929"/>
    <x v="53"/>
    <s v="CUST0195"/>
    <x v="1"/>
    <x v="2"/>
    <x v="0"/>
    <x v="0"/>
    <n v="5"/>
    <n v="40597.15"/>
    <n v="0.25"/>
    <n v="30447.86"/>
    <n v="18400.46"/>
    <n v="12047.4"/>
    <x v="0"/>
    <n v="11"/>
    <d v="2025-09-21T11:00:00"/>
    <s v="Sep"/>
    <n v="9"/>
    <s v="Q3"/>
    <x v="0"/>
    <x v="0"/>
    <x v="0"/>
    <x v="0"/>
  </r>
  <r>
    <x v="930"/>
    <x v="26"/>
    <s v="CUST0062"/>
    <x v="7"/>
    <x v="6"/>
    <x v="2"/>
    <x v="11"/>
    <n v="1"/>
    <n v="7449.31"/>
    <n v="0.2"/>
    <n v="5959.45"/>
    <n v="3570.08"/>
    <n v="2389.37"/>
    <x v="0"/>
    <n v="48"/>
    <d v="2025-08-26T00:00:00"/>
    <s v="Aug"/>
    <n v="8"/>
    <s v="Q3"/>
    <x v="0"/>
    <x v="0"/>
    <x v="0"/>
    <x v="0"/>
  </r>
  <r>
    <x v="931"/>
    <x v="314"/>
    <s v="CUST0107"/>
    <x v="1"/>
    <x v="6"/>
    <x v="1"/>
    <x v="1"/>
    <n v="7"/>
    <n v="42429.17"/>
    <n v="0"/>
    <n v="42429.17"/>
    <n v="29725.1"/>
    <n v="12704.07"/>
    <x v="0"/>
    <n v="37"/>
    <d v="2025-03-25T13:00:00"/>
    <s v="Mar"/>
    <n v="3"/>
    <s v="Q1"/>
    <x v="0"/>
    <x v="0"/>
    <x v="0"/>
    <x v="0"/>
  </r>
  <r>
    <x v="932"/>
    <x v="114"/>
    <s v="CUST0125"/>
    <x v="7"/>
    <x v="3"/>
    <x v="1"/>
    <x v="5"/>
    <n v="1"/>
    <n v="6108.99"/>
    <n v="0.1"/>
    <n v="5498.09"/>
    <n v="3723.96"/>
    <n v="1774.13"/>
    <x v="0"/>
    <n v="35"/>
    <d v="2025-02-12T11:00:00"/>
    <s v="Feb"/>
    <n v="2"/>
    <s v="Q1"/>
    <x v="0"/>
    <x v="0"/>
    <x v="0"/>
    <x v="0"/>
  </r>
  <r>
    <x v="933"/>
    <x v="107"/>
    <s v="CUST0267"/>
    <x v="4"/>
    <x v="4"/>
    <x v="3"/>
    <x v="7"/>
    <n v="5"/>
    <n v="11287.75"/>
    <n v="0.1"/>
    <n v="10158.98"/>
    <n v="7981.82"/>
    <n v="2177.16"/>
    <x v="0"/>
    <n v="45"/>
    <d v="2025-04-12T21:00:00"/>
    <s v="Apr"/>
    <n v="4"/>
    <s v="Q2"/>
    <x v="0"/>
    <x v="0"/>
    <x v="0"/>
    <x v="0"/>
  </r>
  <r>
    <x v="934"/>
    <x v="203"/>
    <s v="CUST0202"/>
    <x v="5"/>
    <x v="0"/>
    <x v="4"/>
    <x v="9"/>
    <n v="3"/>
    <n v="16903.23"/>
    <n v="0.05"/>
    <n v="16058.07"/>
    <n v="9200.2800000000007"/>
    <n v="6857.79"/>
    <x v="0"/>
    <n v="7"/>
    <d v="2025-01-06T07:00:00"/>
    <s v="Jan"/>
    <n v="1"/>
    <s v="Q1"/>
    <x v="0"/>
    <x v="0"/>
    <x v="0"/>
    <x v="0"/>
  </r>
  <r>
    <x v="935"/>
    <x v="149"/>
    <s v="CUST0162"/>
    <x v="3"/>
    <x v="5"/>
    <x v="0"/>
    <x v="19"/>
    <n v="2"/>
    <n v="3610.04"/>
    <n v="0"/>
    <n v="3610.04"/>
    <n v="3143.68"/>
    <n v="466.36"/>
    <x v="0"/>
    <n v="47"/>
    <d v="2025-06-30T23:00:00"/>
    <s v="Jun"/>
    <n v="6"/>
    <s v="Q2"/>
    <x v="0"/>
    <x v="0"/>
    <x v="0"/>
    <x v="0"/>
  </r>
  <r>
    <x v="936"/>
    <x v="313"/>
    <s v="CUST0112"/>
    <x v="5"/>
    <x v="3"/>
    <x v="0"/>
    <x v="17"/>
    <n v="3"/>
    <n v="4057.29"/>
    <n v="0.2"/>
    <n v="3245.83"/>
    <n v="1800.5"/>
    <n v="1445.33"/>
    <x v="2"/>
    <n v="62"/>
    <d v="2025-10-11T14:00:00"/>
    <s v="Oct"/>
    <n v="10"/>
    <s v="Q4"/>
    <x v="1"/>
    <x v="0"/>
    <x v="1"/>
    <x v="0"/>
  </r>
  <r>
    <x v="937"/>
    <x v="38"/>
    <s v="CUST0032"/>
    <x v="7"/>
    <x v="4"/>
    <x v="4"/>
    <x v="13"/>
    <n v="1"/>
    <n v="8495.56"/>
    <n v="0.25"/>
    <n v="6371.67"/>
    <n v="4768.78"/>
    <n v="1602.89"/>
    <x v="2"/>
    <n v="78"/>
    <d v="2025-11-19T06:00:00"/>
    <s v="Nov"/>
    <n v="11"/>
    <s v="Q4"/>
    <x v="1"/>
    <x v="0"/>
    <x v="1"/>
    <x v="0"/>
  </r>
  <r>
    <x v="938"/>
    <x v="198"/>
    <s v="CUST0098"/>
    <x v="8"/>
    <x v="1"/>
    <x v="1"/>
    <x v="8"/>
    <n v="7"/>
    <n v="37427.879999999997"/>
    <n v="0.25"/>
    <n v="28070.91"/>
    <n v="20650.89"/>
    <n v="7420.02"/>
    <x v="3"/>
    <n v="22"/>
    <d v="2025-08-14T22:00:00"/>
    <s v="Aug"/>
    <n v="8"/>
    <s v="Q3"/>
    <x v="1"/>
    <x v="1"/>
    <x v="0"/>
    <x v="0"/>
  </r>
  <r>
    <x v="939"/>
    <x v="148"/>
    <s v="CUST0247"/>
    <x v="3"/>
    <x v="0"/>
    <x v="3"/>
    <x v="12"/>
    <n v="6"/>
    <n v="22492.5"/>
    <n v="0.15"/>
    <n v="19118.62"/>
    <n v="11365.18"/>
    <n v="7753.44"/>
    <x v="2"/>
    <n v="63"/>
    <d v="2025-11-13T15:00:00"/>
    <s v="Nov"/>
    <n v="11"/>
    <s v="Q4"/>
    <x v="1"/>
    <x v="0"/>
    <x v="1"/>
    <x v="0"/>
  </r>
  <r>
    <x v="940"/>
    <x v="196"/>
    <s v="CUST0261"/>
    <x v="3"/>
    <x v="5"/>
    <x v="3"/>
    <x v="18"/>
    <n v="7"/>
    <n v="17893.189999999999"/>
    <n v="0.1"/>
    <n v="16103.87"/>
    <n v="9659.14"/>
    <n v="6444.73"/>
    <x v="0"/>
    <n v="29"/>
    <d v="2026-01-01T05:00:00"/>
    <s v="Dec"/>
    <n v="12"/>
    <s v="Q4"/>
    <x v="0"/>
    <x v="0"/>
    <x v="0"/>
    <x v="0"/>
  </r>
  <r>
    <x v="941"/>
    <x v="244"/>
    <s v="CUST0191"/>
    <x v="1"/>
    <x v="5"/>
    <x v="0"/>
    <x v="19"/>
    <n v="5"/>
    <n v="25963.7"/>
    <n v="0.05"/>
    <n v="24665.52"/>
    <n v="20018.13"/>
    <n v="4647.3900000000003"/>
    <x v="1"/>
    <n v="13"/>
    <d v="2025-08-17T13:00:00"/>
    <s v="Aug"/>
    <n v="8"/>
    <s v="Q3"/>
    <x v="1"/>
    <x v="0"/>
    <x v="0"/>
    <x v="1"/>
  </r>
  <r>
    <x v="942"/>
    <x v="91"/>
    <s v="CUST0029"/>
    <x v="2"/>
    <x v="7"/>
    <x v="3"/>
    <x v="7"/>
    <n v="5"/>
    <n v="2820.55"/>
    <n v="0"/>
    <n v="2820.55"/>
    <n v="2377.4299999999998"/>
    <n v="443.12"/>
    <x v="0"/>
    <n v="39"/>
    <d v="2025-10-17T15:00:00"/>
    <s v="Oct"/>
    <n v="10"/>
    <s v="Q4"/>
    <x v="0"/>
    <x v="0"/>
    <x v="0"/>
    <x v="0"/>
  </r>
  <r>
    <x v="943"/>
    <x v="15"/>
    <s v="CUST0048"/>
    <x v="1"/>
    <x v="4"/>
    <x v="4"/>
    <x v="21"/>
    <n v="3"/>
    <n v="2821.77"/>
    <n v="0"/>
    <n v="2821.77"/>
    <n v="1815.51"/>
    <n v="1006.26"/>
    <x v="3"/>
    <n v="1"/>
    <d v="2025-05-30T01:00:00"/>
    <s v="May"/>
    <n v="5"/>
    <s v="Q2"/>
    <x v="1"/>
    <x v="1"/>
    <x v="0"/>
    <x v="0"/>
  </r>
  <r>
    <x v="944"/>
    <x v="21"/>
    <s v="CUST0250"/>
    <x v="1"/>
    <x v="5"/>
    <x v="1"/>
    <x v="10"/>
    <n v="6"/>
    <n v="2546.1"/>
    <n v="0.1"/>
    <n v="2291.4899999999998"/>
    <n v="1591.5"/>
    <n v="699.99"/>
    <x v="2"/>
    <n v="56"/>
    <d v="2025-10-06T08:00:00"/>
    <s v="Oct"/>
    <n v="10"/>
    <s v="Q4"/>
    <x v="1"/>
    <x v="0"/>
    <x v="1"/>
    <x v="0"/>
  </r>
  <r>
    <x v="945"/>
    <x v="143"/>
    <s v="CUST0226"/>
    <x v="8"/>
    <x v="6"/>
    <x v="4"/>
    <x v="21"/>
    <n v="3"/>
    <n v="12954.21"/>
    <n v="0.15"/>
    <n v="11011.08"/>
    <n v="7346.02"/>
    <n v="3665.06"/>
    <x v="2"/>
    <n v="67"/>
    <d v="2025-07-19T19:00:00"/>
    <s v="Jul"/>
    <n v="7"/>
    <s v="Q3"/>
    <x v="1"/>
    <x v="0"/>
    <x v="1"/>
    <x v="0"/>
  </r>
  <r>
    <x v="946"/>
    <x v="297"/>
    <s v="CUST0272"/>
    <x v="5"/>
    <x v="6"/>
    <x v="2"/>
    <x v="2"/>
    <n v="2"/>
    <n v="10330.14"/>
    <n v="0.15"/>
    <n v="8780.6200000000008"/>
    <n v="5039.55"/>
    <n v="3741.07"/>
    <x v="1"/>
    <n v="16"/>
    <d v="2025-03-11T16:00:00"/>
    <s v="Mar"/>
    <n v="3"/>
    <s v="Q1"/>
    <x v="1"/>
    <x v="0"/>
    <x v="0"/>
    <x v="1"/>
  </r>
  <r>
    <x v="947"/>
    <x v="178"/>
    <s v="CUST0153"/>
    <x v="5"/>
    <x v="2"/>
    <x v="0"/>
    <x v="19"/>
    <n v="4"/>
    <n v="2686.84"/>
    <n v="0.2"/>
    <n v="2149.4699999999998"/>
    <n v="1659.73"/>
    <n v="489.74"/>
    <x v="0"/>
    <n v="28"/>
    <d v="2025-04-23T04:00:00"/>
    <s v="Apr"/>
    <n v="4"/>
    <s v="Q2"/>
    <x v="0"/>
    <x v="0"/>
    <x v="0"/>
    <x v="0"/>
  </r>
  <r>
    <x v="948"/>
    <x v="200"/>
    <s v="CUST0285"/>
    <x v="9"/>
    <x v="0"/>
    <x v="3"/>
    <x v="20"/>
    <n v="6"/>
    <n v="37033.32"/>
    <n v="0.2"/>
    <n v="29626.66"/>
    <n v="24362.41"/>
    <n v="5264.25"/>
    <x v="0"/>
    <n v="19"/>
    <d v="2025-01-04T19:00:00"/>
    <s v="Jan"/>
    <n v="1"/>
    <s v="Q1"/>
    <x v="0"/>
    <x v="0"/>
    <x v="0"/>
    <x v="0"/>
  </r>
  <r>
    <x v="949"/>
    <x v="237"/>
    <s v="CUST0180"/>
    <x v="7"/>
    <x v="5"/>
    <x v="2"/>
    <x v="2"/>
    <n v="4"/>
    <n v="8295.2000000000007"/>
    <n v="0.25"/>
    <n v="6221.4"/>
    <n v="4047.71"/>
    <n v="2173.69"/>
    <x v="1"/>
    <n v="14"/>
    <d v="2025-12-16T14:00:00"/>
    <s v="Dec"/>
    <n v="12"/>
    <s v="Q4"/>
    <x v="1"/>
    <x v="0"/>
    <x v="0"/>
    <x v="1"/>
  </r>
  <r>
    <x v="950"/>
    <x v="9"/>
    <s v="CUST0153"/>
    <x v="8"/>
    <x v="7"/>
    <x v="3"/>
    <x v="18"/>
    <n v="7"/>
    <n v="41100.01"/>
    <n v="0.05"/>
    <n v="39045.01"/>
    <n v="34233.03"/>
    <n v="4811.9799999999996"/>
    <x v="2"/>
    <n v="59"/>
    <d v="2025-11-29T11:00:00"/>
    <s v="Nov"/>
    <n v="11"/>
    <s v="Q4"/>
    <x v="1"/>
    <x v="0"/>
    <x v="1"/>
    <x v="0"/>
  </r>
  <r>
    <x v="951"/>
    <x v="145"/>
    <s v="CUST0234"/>
    <x v="9"/>
    <x v="4"/>
    <x v="1"/>
    <x v="8"/>
    <n v="2"/>
    <n v="16697.68"/>
    <n v="0.15"/>
    <n v="14193.03"/>
    <n v="8161.43"/>
    <n v="6031.6"/>
    <x v="0"/>
    <n v="7"/>
    <d v="2025-11-14T07:00:00"/>
    <s v="Nov"/>
    <n v="11"/>
    <s v="Q4"/>
    <x v="0"/>
    <x v="0"/>
    <x v="0"/>
    <x v="0"/>
  </r>
  <r>
    <x v="952"/>
    <x v="237"/>
    <s v="CUST0023"/>
    <x v="4"/>
    <x v="7"/>
    <x v="1"/>
    <x v="4"/>
    <n v="4"/>
    <n v="23682.92"/>
    <n v="0.1"/>
    <n v="21314.63"/>
    <n v="16377.97"/>
    <n v="4936.66"/>
    <x v="0"/>
    <n v="9"/>
    <d v="2025-12-16T09:00:00"/>
    <s v="Dec"/>
    <n v="12"/>
    <s v="Q4"/>
    <x v="0"/>
    <x v="0"/>
    <x v="0"/>
    <x v="0"/>
  </r>
  <r>
    <x v="953"/>
    <x v="206"/>
    <s v="CUST0094"/>
    <x v="7"/>
    <x v="2"/>
    <x v="1"/>
    <x v="4"/>
    <n v="1"/>
    <n v="7524.66"/>
    <n v="0.05"/>
    <n v="7148.43"/>
    <n v="4989"/>
    <n v="2159.4299999999998"/>
    <x v="2"/>
    <n v="75"/>
    <d v="2025-04-08T03:00:00"/>
    <s v="Apr"/>
    <n v="4"/>
    <s v="Q2"/>
    <x v="1"/>
    <x v="0"/>
    <x v="1"/>
    <x v="0"/>
  </r>
  <r>
    <x v="954"/>
    <x v="13"/>
    <s v="CUST0245"/>
    <x v="7"/>
    <x v="1"/>
    <x v="3"/>
    <x v="18"/>
    <n v="7"/>
    <n v="56472.22"/>
    <n v="0.25"/>
    <n v="42354.16"/>
    <n v="29536.89"/>
    <n v="12817.27"/>
    <x v="0"/>
    <n v="42"/>
    <d v="2025-06-02T18:00:00"/>
    <s v="Jun"/>
    <n v="6"/>
    <s v="Q2"/>
    <x v="0"/>
    <x v="0"/>
    <x v="0"/>
    <x v="0"/>
  </r>
  <r>
    <x v="955"/>
    <x v="239"/>
    <s v="CUST0290"/>
    <x v="6"/>
    <x v="7"/>
    <x v="2"/>
    <x v="2"/>
    <n v="4"/>
    <n v="16857.48"/>
    <n v="0.2"/>
    <n v="13485.98"/>
    <n v="9453.98"/>
    <n v="4032"/>
    <x v="0"/>
    <n v="42"/>
    <d v="2025-11-08T18:00:00"/>
    <s v="Nov"/>
    <n v="11"/>
    <s v="Q4"/>
    <x v="0"/>
    <x v="0"/>
    <x v="0"/>
    <x v="0"/>
  </r>
  <r>
    <x v="956"/>
    <x v="144"/>
    <s v="CUST0160"/>
    <x v="6"/>
    <x v="1"/>
    <x v="1"/>
    <x v="4"/>
    <n v="2"/>
    <n v="12028.82"/>
    <n v="0"/>
    <n v="12028.82"/>
    <n v="7642.69"/>
    <n v="4386.13"/>
    <x v="2"/>
    <n v="85"/>
    <d v="2025-05-20T13:00:00"/>
    <s v="May"/>
    <n v="5"/>
    <s v="Q2"/>
    <x v="1"/>
    <x v="0"/>
    <x v="1"/>
    <x v="0"/>
  </r>
  <r>
    <x v="957"/>
    <x v="157"/>
    <s v="CUST0285"/>
    <x v="0"/>
    <x v="6"/>
    <x v="2"/>
    <x v="11"/>
    <n v="4"/>
    <n v="29055.759999999998"/>
    <n v="0"/>
    <n v="29055.759999999998"/>
    <n v="22841.77"/>
    <n v="6213.99"/>
    <x v="0"/>
    <n v="48"/>
    <d v="2025-09-06T00:00:00"/>
    <s v="Sep"/>
    <n v="9"/>
    <s v="Q3"/>
    <x v="0"/>
    <x v="0"/>
    <x v="0"/>
    <x v="0"/>
  </r>
  <r>
    <x v="958"/>
    <x v="128"/>
    <s v="CUST0009"/>
    <x v="0"/>
    <x v="1"/>
    <x v="3"/>
    <x v="16"/>
    <n v="5"/>
    <n v="15638.4"/>
    <n v="0.1"/>
    <n v="14074.56"/>
    <n v="11092.45"/>
    <n v="2982.11"/>
    <x v="1"/>
    <n v="19"/>
    <d v="2025-08-31T19:00:00"/>
    <s v="Aug"/>
    <n v="8"/>
    <s v="Q3"/>
    <x v="1"/>
    <x v="0"/>
    <x v="0"/>
    <x v="1"/>
  </r>
  <r>
    <x v="959"/>
    <x v="332"/>
    <s v="CUST0185"/>
    <x v="1"/>
    <x v="4"/>
    <x v="2"/>
    <x v="3"/>
    <n v="3"/>
    <n v="6998.01"/>
    <n v="0.1"/>
    <n v="6298.21"/>
    <n v="4050.95"/>
    <n v="2247.2600000000002"/>
    <x v="0"/>
    <n v="12"/>
    <d v="2025-01-31T12:00:00"/>
    <s v="Jan"/>
    <n v="1"/>
    <s v="Q1"/>
    <x v="0"/>
    <x v="0"/>
    <x v="0"/>
    <x v="0"/>
  </r>
  <r>
    <x v="960"/>
    <x v="333"/>
    <s v="CUST0295"/>
    <x v="4"/>
    <x v="0"/>
    <x v="3"/>
    <x v="20"/>
    <n v="1"/>
    <n v="8054.1"/>
    <n v="0.2"/>
    <n v="6443.28"/>
    <n v="5319.9"/>
    <n v="1123.3800000000001"/>
    <x v="0"/>
    <n v="18"/>
    <d v="2025-02-09T18:00:00"/>
    <s v="Feb"/>
    <n v="2"/>
    <s v="Q1"/>
    <x v="0"/>
    <x v="0"/>
    <x v="0"/>
    <x v="0"/>
  </r>
  <r>
    <x v="961"/>
    <x v="244"/>
    <s v="CUST0135"/>
    <x v="3"/>
    <x v="0"/>
    <x v="3"/>
    <x v="16"/>
    <n v="5"/>
    <n v="31073.15"/>
    <n v="0.05"/>
    <n v="29519.49"/>
    <n v="19322.240000000002"/>
    <n v="10197.25"/>
    <x v="0"/>
    <n v="40"/>
    <d v="2025-08-18T16:00:00"/>
    <s v="Aug"/>
    <n v="8"/>
    <s v="Q3"/>
    <x v="0"/>
    <x v="0"/>
    <x v="0"/>
    <x v="0"/>
  </r>
  <r>
    <x v="962"/>
    <x v="124"/>
    <s v="CUST0110"/>
    <x v="3"/>
    <x v="4"/>
    <x v="0"/>
    <x v="19"/>
    <n v="5"/>
    <n v="9921.75"/>
    <n v="0"/>
    <n v="9921.75"/>
    <n v="7831.05"/>
    <n v="2090.6999999999998"/>
    <x v="2"/>
    <n v="80"/>
    <d v="2025-02-08T08:00:00"/>
    <s v="Feb"/>
    <n v="2"/>
    <s v="Q1"/>
    <x v="1"/>
    <x v="0"/>
    <x v="1"/>
    <x v="0"/>
  </r>
  <r>
    <x v="963"/>
    <x v="211"/>
    <s v="CUST0069"/>
    <x v="6"/>
    <x v="4"/>
    <x v="3"/>
    <x v="12"/>
    <n v="2"/>
    <n v="7799.7"/>
    <n v="0.05"/>
    <n v="7409.71"/>
    <n v="4371.21"/>
    <n v="3038.5"/>
    <x v="0"/>
    <n v="11"/>
    <d v="2025-08-11T11:00:00"/>
    <s v="Aug"/>
    <n v="8"/>
    <s v="Q3"/>
    <x v="0"/>
    <x v="0"/>
    <x v="0"/>
    <x v="0"/>
  </r>
  <r>
    <x v="964"/>
    <x v="203"/>
    <s v="CUST0136"/>
    <x v="6"/>
    <x v="4"/>
    <x v="3"/>
    <x v="20"/>
    <n v="3"/>
    <n v="20401.11"/>
    <n v="0"/>
    <n v="20401.11"/>
    <n v="12356.37"/>
    <n v="8044.74"/>
    <x v="0"/>
    <n v="35"/>
    <d v="2025-01-07T11:00:00"/>
    <s v="Jan"/>
    <n v="1"/>
    <s v="Q1"/>
    <x v="0"/>
    <x v="0"/>
    <x v="0"/>
    <x v="0"/>
  </r>
  <r>
    <x v="965"/>
    <x v="231"/>
    <s v="CUST0096"/>
    <x v="6"/>
    <x v="3"/>
    <x v="4"/>
    <x v="9"/>
    <n v="3"/>
    <n v="14153.94"/>
    <n v="0"/>
    <n v="14153.94"/>
    <n v="9259.69"/>
    <n v="4894.25"/>
    <x v="0"/>
    <n v="24"/>
    <d v="2025-11-19T00:00:00"/>
    <s v="Nov"/>
    <n v="11"/>
    <s v="Q4"/>
    <x v="0"/>
    <x v="0"/>
    <x v="0"/>
    <x v="0"/>
  </r>
  <r>
    <x v="966"/>
    <x v="153"/>
    <s v="CUST0119"/>
    <x v="8"/>
    <x v="5"/>
    <x v="1"/>
    <x v="5"/>
    <n v="6"/>
    <n v="33462.6"/>
    <n v="0.2"/>
    <n v="26770.080000000002"/>
    <n v="19969.900000000001"/>
    <n v="6800.18"/>
    <x v="2"/>
    <n v="51"/>
    <d v="2025-08-10T03:00:00"/>
    <s v="Aug"/>
    <n v="8"/>
    <s v="Q3"/>
    <x v="1"/>
    <x v="0"/>
    <x v="1"/>
    <x v="0"/>
  </r>
  <r>
    <x v="967"/>
    <x v="184"/>
    <s v="CUST0274"/>
    <x v="2"/>
    <x v="2"/>
    <x v="0"/>
    <x v="17"/>
    <n v="7"/>
    <n v="45107.72"/>
    <n v="0.05"/>
    <n v="42852.33"/>
    <n v="32697.13"/>
    <n v="10155.200000000001"/>
    <x v="0"/>
    <n v="22"/>
    <d v="2025-03-16T22:00:00"/>
    <s v="Mar"/>
    <n v="3"/>
    <s v="Q1"/>
    <x v="0"/>
    <x v="0"/>
    <x v="0"/>
    <x v="0"/>
  </r>
  <r>
    <x v="968"/>
    <x v="200"/>
    <s v="CUST0177"/>
    <x v="0"/>
    <x v="1"/>
    <x v="0"/>
    <x v="0"/>
    <n v="1"/>
    <n v="5343.78"/>
    <n v="0.05"/>
    <n v="5076.59"/>
    <n v="3456.13"/>
    <n v="1620.46"/>
    <x v="2"/>
    <n v="61"/>
    <d v="2025-01-06T13:00:00"/>
    <s v="Jan"/>
    <n v="1"/>
    <s v="Q1"/>
    <x v="1"/>
    <x v="0"/>
    <x v="1"/>
    <x v="0"/>
  </r>
  <r>
    <x v="969"/>
    <x v="319"/>
    <s v="CUST0237"/>
    <x v="8"/>
    <x v="5"/>
    <x v="0"/>
    <x v="17"/>
    <n v="7"/>
    <n v="32617.62"/>
    <n v="0"/>
    <n v="32617.62"/>
    <n v="18777.54"/>
    <n v="13840.08"/>
    <x v="1"/>
    <n v="17"/>
    <d v="2025-12-01T17:00:00"/>
    <s v="Dec"/>
    <n v="12"/>
    <s v="Q4"/>
    <x v="1"/>
    <x v="0"/>
    <x v="0"/>
    <x v="1"/>
  </r>
  <r>
    <x v="970"/>
    <x v="133"/>
    <s v="CUST0272"/>
    <x v="5"/>
    <x v="4"/>
    <x v="4"/>
    <x v="13"/>
    <n v="2"/>
    <n v="12818.56"/>
    <n v="0.05"/>
    <n v="12177.63"/>
    <n v="8199.19"/>
    <n v="3978.44"/>
    <x v="1"/>
    <n v="6"/>
    <d v="2025-05-14T06:00:00"/>
    <s v="May"/>
    <n v="5"/>
    <s v="Q2"/>
    <x v="1"/>
    <x v="0"/>
    <x v="0"/>
    <x v="1"/>
  </r>
  <r>
    <x v="971"/>
    <x v="250"/>
    <s v="CUST0277"/>
    <x v="3"/>
    <x v="0"/>
    <x v="3"/>
    <x v="20"/>
    <n v="1"/>
    <n v="6225.15"/>
    <n v="0.15"/>
    <n v="5291.38"/>
    <n v="4112.95"/>
    <n v="1178.43"/>
    <x v="3"/>
    <n v="23"/>
    <d v="2025-04-28T23:00:00"/>
    <s v="Apr"/>
    <n v="4"/>
    <s v="Q2"/>
    <x v="1"/>
    <x v="1"/>
    <x v="0"/>
    <x v="0"/>
  </r>
  <r>
    <x v="972"/>
    <x v="258"/>
    <s v="CUST0138"/>
    <x v="7"/>
    <x v="7"/>
    <x v="1"/>
    <x v="4"/>
    <n v="6"/>
    <n v="32456.58"/>
    <n v="0.1"/>
    <n v="29210.92"/>
    <n v="22534.14"/>
    <n v="6676.78"/>
    <x v="0"/>
    <n v="46"/>
    <d v="2025-04-05T22:00:00"/>
    <s v="Apr"/>
    <n v="4"/>
    <s v="Q2"/>
    <x v="0"/>
    <x v="0"/>
    <x v="0"/>
    <x v="0"/>
  </r>
  <r>
    <x v="973"/>
    <x v="100"/>
    <s v="CUST0132"/>
    <x v="0"/>
    <x v="7"/>
    <x v="2"/>
    <x v="2"/>
    <n v="4"/>
    <n v="12616.96"/>
    <n v="0.15"/>
    <n v="10724.42"/>
    <n v="6465.38"/>
    <n v="4259.04"/>
    <x v="0"/>
    <n v="32"/>
    <d v="2025-03-04T08:00:00"/>
    <s v="Mar"/>
    <n v="3"/>
    <s v="Q1"/>
    <x v="0"/>
    <x v="0"/>
    <x v="0"/>
    <x v="0"/>
  </r>
  <r>
    <x v="974"/>
    <x v="187"/>
    <s v="CUST0044"/>
    <x v="9"/>
    <x v="3"/>
    <x v="3"/>
    <x v="7"/>
    <n v="5"/>
    <n v="17692.650000000001"/>
    <n v="0.05"/>
    <n v="16808.02"/>
    <n v="9287.59"/>
    <n v="7520.43"/>
    <x v="0"/>
    <n v="45"/>
    <d v="2025-07-14T21:00:00"/>
    <s v="Jul"/>
    <n v="7"/>
    <s v="Q3"/>
    <x v="0"/>
    <x v="0"/>
    <x v="0"/>
    <x v="0"/>
  </r>
  <r>
    <x v="975"/>
    <x v="319"/>
    <s v="CUST0123"/>
    <x v="5"/>
    <x v="5"/>
    <x v="4"/>
    <x v="23"/>
    <n v="1"/>
    <n v="8253.16"/>
    <n v="0.05"/>
    <n v="7840.5"/>
    <n v="6260.51"/>
    <n v="1579.99"/>
    <x v="0"/>
    <n v="6"/>
    <d v="2025-12-01T06:00:00"/>
    <s v="Dec"/>
    <n v="12"/>
    <s v="Q4"/>
    <x v="0"/>
    <x v="0"/>
    <x v="0"/>
    <x v="0"/>
  </r>
  <r>
    <x v="976"/>
    <x v="159"/>
    <s v="CUST0136"/>
    <x v="0"/>
    <x v="5"/>
    <x v="3"/>
    <x v="7"/>
    <n v="7"/>
    <n v="7618.94"/>
    <n v="0.1"/>
    <n v="6857.05"/>
    <n v="4012.07"/>
    <n v="2844.98"/>
    <x v="2"/>
    <n v="66"/>
    <d v="2025-07-24T18:00:00"/>
    <s v="Jul"/>
    <n v="7"/>
    <s v="Q3"/>
    <x v="1"/>
    <x v="0"/>
    <x v="1"/>
    <x v="0"/>
  </r>
  <r>
    <x v="977"/>
    <x v="222"/>
    <s v="CUST0126"/>
    <x v="8"/>
    <x v="5"/>
    <x v="3"/>
    <x v="16"/>
    <n v="5"/>
    <n v="11960.1"/>
    <n v="0.05"/>
    <n v="11362.1"/>
    <n v="6557.92"/>
    <n v="4804.18"/>
    <x v="2"/>
    <n v="55"/>
    <d v="2025-01-28T07:00:00"/>
    <s v="Jan"/>
    <n v="1"/>
    <s v="Q1"/>
    <x v="1"/>
    <x v="0"/>
    <x v="1"/>
    <x v="0"/>
  </r>
  <r>
    <x v="978"/>
    <x v="226"/>
    <s v="CUST0275"/>
    <x v="4"/>
    <x v="1"/>
    <x v="4"/>
    <x v="23"/>
    <n v="2"/>
    <n v="8523.1"/>
    <n v="0.15"/>
    <n v="7244.64"/>
    <n v="3991.01"/>
    <n v="3253.63"/>
    <x v="3"/>
    <n v="22"/>
    <d v="2025-06-22T22:00:00"/>
    <s v="Jun"/>
    <n v="6"/>
    <s v="Q2"/>
    <x v="1"/>
    <x v="1"/>
    <x v="0"/>
    <x v="0"/>
  </r>
  <r>
    <x v="979"/>
    <x v="330"/>
    <s v="CUST0064"/>
    <x v="7"/>
    <x v="1"/>
    <x v="0"/>
    <x v="0"/>
    <n v="7"/>
    <n v="49956.83"/>
    <n v="0.05"/>
    <n v="47458.99"/>
    <n v="32877.620000000003"/>
    <n v="14581.37"/>
    <x v="1"/>
    <n v="18"/>
    <d v="2025-10-27T18:00:00"/>
    <s v="Oct"/>
    <n v="10"/>
    <s v="Q4"/>
    <x v="1"/>
    <x v="0"/>
    <x v="0"/>
    <x v="1"/>
  </r>
  <r>
    <x v="980"/>
    <x v="288"/>
    <s v="CUST0296"/>
    <x v="0"/>
    <x v="2"/>
    <x v="0"/>
    <x v="6"/>
    <n v="4"/>
    <n v="6066.76"/>
    <n v="0.1"/>
    <n v="5460.08"/>
    <n v="3909.84"/>
    <n v="1550.24"/>
    <x v="0"/>
    <n v="34"/>
    <d v="2025-05-14T10:00:00"/>
    <s v="May"/>
    <n v="5"/>
    <s v="Q2"/>
    <x v="0"/>
    <x v="0"/>
    <x v="0"/>
    <x v="0"/>
  </r>
  <r>
    <x v="981"/>
    <x v="168"/>
    <s v="CUST0232"/>
    <x v="2"/>
    <x v="1"/>
    <x v="1"/>
    <x v="10"/>
    <n v="2"/>
    <n v="4925.1400000000003"/>
    <n v="0"/>
    <n v="4925.1400000000003"/>
    <n v="3745.22"/>
    <n v="1179.92"/>
    <x v="0"/>
    <n v="10"/>
    <d v="2025-11-22T10:00:00"/>
    <s v="Nov"/>
    <n v="11"/>
    <s v="Q4"/>
    <x v="0"/>
    <x v="0"/>
    <x v="0"/>
    <x v="0"/>
  </r>
  <r>
    <x v="982"/>
    <x v="250"/>
    <s v="CUST0051"/>
    <x v="6"/>
    <x v="0"/>
    <x v="1"/>
    <x v="1"/>
    <n v="4"/>
    <n v="2797.68"/>
    <n v="0.1"/>
    <n v="2517.91"/>
    <n v="1630.85"/>
    <n v="887.06"/>
    <x v="1"/>
    <n v="22"/>
    <d v="2025-04-28T22:00:00"/>
    <s v="Apr"/>
    <n v="4"/>
    <s v="Q2"/>
    <x v="1"/>
    <x v="0"/>
    <x v="0"/>
    <x v="1"/>
  </r>
  <r>
    <x v="983"/>
    <x v="158"/>
    <s v="CUST0137"/>
    <x v="6"/>
    <x v="0"/>
    <x v="0"/>
    <x v="17"/>
    <n v="4"/>
    <n v="24179.919999999998"/>
    <n v="0.2"/>
    <n v="19343.939999999999"/>
    <n v="15174.16"/>
    <n v="4169.78"/>
    <x v="0"/>
    <n v="22"/>
    <d v="2025-11-20T22:00:00"/>
    <s v="Nov"/>
    <n v="11"/>
    <s v="Q4"/>
    <x v="0"/>
    <x v="0"/>
    <x v="0"/>
    <x v="0"/>
  </r>
  <r>
    <x v="984"/>
    <x v="243"/>
    <s v="CUST0158"/>
    <x v="7"/>
    <x v="5"/>
    <x v="2"/>
    <x v="2"/>
    <n v="5"/>
    <n v="10695.25"/>
    <n v="0.1"/>
    <n v="9625.7199999999993"/>
    <n v="5832.03"/>
    <n v="3793.69"/>
    <x v="1"/>
    <n v="7"/>
    <d v="2025-10-02T07:00:00"/>
    <s v="Oct"/>
    <n v="10"/>
    <s v="Q4"/>
    <x v="1"/>
    <x v="0"/>
    <x v="0"/>
    <x v="1"/>
  </r>
  <r>
    <x v="985"/>
    <x v="308"/>
    <s v="CUST0056"/>
    <x v="8"/>
    <x v="2"/>
    <x v="3"/>
    <x v="16"/>
    <n v="2"/>
    <n v="6790.86"/>
    <n v="0.1"/>
    <n v="6111.77"/>
    <n v="5039.5"/>
    <n v="1072.27"/>
    <x v="0"/>
    <n v="6"/>
    <d v="2025-07-31T06:00:00"/>
    <s v="Jul"/>
    <n v="7"/>
    <s v="Q3"/>
    <x v="0"/>
    <x v="0"/>
    <x v="0"/>
    <x v="0"/>
  </r>
  <r>
    <x v="986"/>
    <x v="138"/>
    <s v="CUST0081"/>
    <x v="6"/>
    <x v="5"/>
    <x v="2"/>
    <x v="3"/>
    <n v="2"/>
    <n v="7709.82"/>
    <n v="0.25"/>
    <n v="5782.36"/>
    <n v="4271.49"/>
    <n v="1510.87"/>
    <x v="0"/>
    <n v="33"/>
    <d v="2025-08-14T09:00:00"/>
    <s v="Aug"/>
    <n v="8"/>
    <s v="Q3"/>
    <x v="0"/>
    <x v="0"/>
    <x v="0"/>
    <x v="0"/>
  </r>
  <r>
    <x v="987"/>
    <x v="227"/>
    <s v="CUST0232"/>
    <x v="0"/>
    <x v="3"/>
    <x v="3"/>
    <x v="12"/>
    <n v="1"/>
    <n v="7592.47"/>
    <n v="0.1"/>
    <n v="6833.22"/>
    <n v="5074.92"/>
    <n v="1758.3"/>
    <x v="3"/>
    <n v="5"/>
    <d v="2025-01-20T05:00:00"/>
    <s v="Jan"/>
    <n v="1"/>
    <s v="Q1"/>
    <x v="1"/>
    <x v="1"/>
    <x v="0"/>
    <x v="0"/>
  </r>
  <r>
    <x v="988"/>
    <x v="150"/>
    <s v="CUST0128"/>
    <x v="9"/>
    <x v="1"/>
    <x v="0"/>
    <x v="17"/>
    <n v="7"/>
    <n v="25092.27"/>
    <n v="0.05"/>
    <n v="23837.66"/>
    <n v="14760.9"/>
    <n v="9076.76"/>
    <x v="1"/>
    <n v="15"/>
    <d v="2025-04-23T15:00:00"/>
    <s v="Apr"/>
    <n v="4"/>
    <s v="Q2"/>
    <x v="1"/>
    <x v="0"/>
    <x v="0"/>
    <x v="1"/>
  </r>
  <r>
    <x v="989"/>
    <x v="181"/>
    <s v="CUST0126"/>
    <x v="3"/>
    <x v="1"/>
    <x v="1"/>
    <x v="10"/>
    <n v="2"/>
    <n v="2725.26"/>
    <n v="0.05"/>
    <n v="2589"/>
    <n v="1487.27"/>
    <n v="1101.73"/>
    <x v="0"/>
    <n v="17"/>
    <d v="2025-05-20T17:00:00"/>
    <s v="May"/>
    <n v="5"/>
    <s v="Q2"/>
    <x v="0"/>
    <x v="0"/>
    <x v="0"/>
    <x v="0"/>
  </r>
  <r>
    <x v="990"/>
    <x v="238"/>
    <s v="CUST0080"/>
    <x v="3"/>
    <x v="5"/>
    <x v="1"/>
    <x v="5"/>
    <n v="1"/>
    <n v="4528.03"/>
    <n v="0.15"/>
    <n v="3848.83"/>
    <n v="2707.11"/>
    <n v="1141.72"/>
    <x v="0"/>
    <n v="38"/>
    <d v="2025-02-17T14:00:00"/>
    <s v="Feb"/>
    <n v="2"/>
    <s v="Q1"/>
    <x v="0"/>
    <x v="0"/>
    <x v="0"/>
    <x v="0"/>
  </r>
  <r>
    <x v="991"/>
    <x v="247"/>
    <s v="CUST0175"/>
    <x v="5"/>
    <x v="5"/>
    <x v="2"/>
    <x v="3"/>
    <n v="3"/>
    <n v="24572.1"/>
    <n v="0.15"/>
    <n v="20886.28"/>
    <n v="15730.54"/>
    <n v="5155.74"/>
    <x v="1"/>
    <n v="14"/>
    <d v="2025-01-01T14:00:00"/>
    <s v="Jan"/>
    <n v="1"/>
    <s v="Q1"/>
    <x v="1"/>
    <x v="0"/>
    <x v="0"/>
    <x v="1"/>
  </r>
  <r>
    <x v="992"/>
    <x v="273"/>
    <s v="CUST0145"/>
    <x v="1"/>
    <x v="4"/>
    <x v="1"/>
    <x v="1"/>
    <n v="3"/>
    <n v="15672.54"/>
    <n v="0.05"/>
    <n v="14888.91"/>
    <n v="8655.9"/>
    <n v="6233.01"/>
    <x v="0"/>
    <n v="33"/>
    <d v="2025-04-01T09:00:00"/>
    <s v="Mar"/>
    <n v="3"/>
    <s v="Q1"/>
    <x v="0"/>
    <x v="0"/>
    <x v="0"/>
    <x v="0"/>
  </r>
  <r>
    <x v="993"/>
    <x v="229"/>
    <s v="CUST0126"/>
    <x v="4"/>
    <x v="5"/>
    <x v="0"/>
    <x v="19"/>
    <n v="3"/>
    <n v="25083.84"/>
    <n v="0.05"/>
    <n v="23829.65"/>
    <n v="20581.11"/>
    <n v="3248.54"/>
    <x v="1"/>
    <n v="1"/>
    <d v="2025-05-22T01:00:00"/>
    <s v="May"/>
    <n v="5"/>
    <s v="Q2"/>
    <x v="1"/>
    <x v="0"/>
    <x v="0"/>
    <x v="1"/>
  </r>
  <r>
    <x v="994"/>
    <x v="38"/>
    <s v="CUST0182"/>
    <x v="7"/>
    <x v="1"/>
    <x v="2"/>
    <x v="24"/>
    <n v="6"/>
    <n v="43039.5"/>
    <n v="0.25"/>
    <n v="32279.62"/>
    <n v="28197.43"/>
    <n v="4082.19"/>
    <x v="0"/>
    <n v="10"/>
    <d v="2025-11-16T10:00:00"/>
    <s v="Nov"/>
    <n v="11"/>
    <s v="Q4"/>
    <x v="0"/>
    <x v="0"/>
    <x v="0"/>
    <x v="0"/>
  </r>
  <r>
    <x v="995"/>
    <x v="194"/>
    <s v="CUST0219"/>
    <x v="5"/>
    <x v="0"/>
    <x v="3"/>
    <x v="18"/>
    <n v="2"/>
    <n v="900.62"/>
    <n v="0"/>
    <n v="900.62"/>
    <n v="657.45"/>
    <n v="243.17"/>
    <x v="2"/>
    <n v="62"/>
    <d v="2025-02-09T14:00:00"/>
    <s v="Feb"/>
    <n v="2"/>
    <s v="Q1"/>
    <x v="1"/>
    <x v="0"/>
    <x v="1"/>
    <x v="0"/>
  </r>
  <r>
    <x v="996"/>
    <x v="102"/>
    <s v="CUST0278"/>
    <x v="1"/>
    <x v="4"/>
    <x v="1"/>
    <x v="10"/>
    <n v="6"/>
    <n v="33885.839999999997"/>
    <n v="0.05"/>
    <n v="32191.55"/>
    <n v="27798.14"/>
    <n v="4393.41"/>
    <x v="0"/>
    <n v="34"/>
    <d v="2025-10-21T10:00:00"/>
    <s v="Oct"/>
    <n v="10"/>
    <s v="Q4"/>
    <x v="0"/>
    <x v="0"/>
    <x v="0"/>
    <x v="0"/>
  </r>
  <r>
    <x v="997"/>
    <x v="89"/>
    <s v="CUST0083"/>
    <x v="8"/>
    <x v="4"/>
    <x v="4"/>
    <x v="23"/>
    <n v="7"/>
    <n v="17811.5"/>
    <n v="0"/>
    <n v="17811.5"/>
    <n v="10851.07"/>
    <n v="6960.43"/>
    <x v="0"/>
    <n v="8"/>
    <d v="2025-05-19T08:00:00"/>
    <s v="May"/>
    <n v="5"/>
    <s v="Q2"/>
    <x v="0"/>
    <x v="0"/>
    <x v="0"/>
    <x v="0"/>
  </r>
  <r>
    <x v="998"/>
    <x v="334"/>
    <s v="CUST0141"/>
    <x v="2"/>
    <x v="1"/>
    <x v="1"/>
    <x v="4"/>
    <n v="2"/>
    <n v="9645.6"/>
    <n v="0.15"/>
    <n v="8198.76"/>
    <n v="4578.1000000000004"/>
    <n v="3620.66"/>
    <x v="2"/>
    <n v="91"/>
    <d v="2025-12-25T19:00:00"/>
    <s v="Dec"/>
    <n v="12"/>
    <s v="Q4"/>
    <x v="1"/>
    <x v="0"/>
    <x v="1"/>
    <x v="0"/>
  </r>
  <r>
    <x v="999"/>
    <x v="335"/>
    <s v="CUST0095"/>
    <x v="2"/>
    <x v="7"/>
    <x v="3"/>
    <x v="16"/>
    <n v="1"/>
    <n v="2482.5300000000002"/>
    <n v="0"/>
    <n v="2482.5300000000002"/>
    <n v="1397.68"/>
    <n v="1084.8499999999999"/>
    <x v="0"/>
    <n v="17"/>
    <d v="2025-11-29T17:00:00"/>
    <s v="Nov"/>
    <n v="11"/>
    <s v="Q4"/>
    <x v="0"/>
    <x v="0"/>
    <x v="0"/>
    <x v="0"/>
  </r>
  <r>
    <x v="1000"/>
    <x v="142"/>
    <s v="CUST0194"/>
    <x v="4"/>
    <x v="6"/>
    <x v="2"/>
    <x v="11"/>
    <n v="6"/>
    <n v="18378.419999999998"/>
    <n v="0.1"/>
    <n v="16540.580000000002"/>
    <n v="12304.19"/>
    <n v="4236.3900000000003"/>
    <x v="0"/>
    <n v="39"/>
    <d v="2025-09-17T15:00:00"/>
    <s v="Sep"/>
    <n v="9"/>
    <s v="Q3"/>
    <x v="0"/>
    <x v="0"/>
    <x v="0"/>
    <x v="0"/>
  </r>
  <r>
    <x v="1001"/>
    <x v="22"/>
    <s v="CUST0110"/>
    <x v="6"/>
    <x v="5"/>
    <x v="3"/>
    <x v="12"/>
    <n v="6"/>
    <n v="47150.76"/>
    <n v="0"/>
    <n v="47150.76"/>
    <n v="26892.05"/>
    <n v="20258.71"/>
    <x v="0"/>
    <n v="30"/>
    <d v="2025-06-11T06:00:00"/>
    <s v="Jun"/>
    <n v="6"/>
    <s v="Q2"/>
    <x v="0"/>
    <x v="0"/>
    <x v="0"/>
    <x v="0"/>
  </r>
  <r>
    <x v="1002"/>
    <x v="267"/>
    <s v="CUST0052"/>
    <x v="0"/>
    <x v="0"/>
    <x v="4"/>
    <x v="21"/>
    <n v="7"/>
    <n v="13128.29"/>
    <n v="0.1"/>
    <n v="11815.46"/>
    <n v="10235.969999999999"/>
    <n v="1579.49"/>
    <x v="0"/>
    <n v="27"/>
    <d v="2025-06-28T03:00:00"/>
    <s v="Jun"/>
    <n v="6"/>
    <s v="Q2"/>
    <x v="0"/>
    <x v="0"/>
    <x v="0"/>
    <x v="0"/>
  </r>
  <r>
    <x v="1003"/>
    <x v="264"/>
    <s v="CUST0103"/>
    <x v="5"/>
    <x v="7"/>
    <x v="0"/>
    <x v="0"/>
    <n v="6"/>
    <n v="44692.86"/>
    <n v="0.15"/>
    <n v="37988.93"/>
    <n v="22673.24"/>
    <n v="15315.69"/>
    <x v="3"/>
    <n v="8"/>
    <d v="2025-01-10T08:00:00"/>
    <s v="Jan"/>
    <n v="1"/>
    <s v="Q1"/>
    <x v="1"/>
    <x v="1"/>
    <x v="0"/>
    <x v="0"/>
  </r>
  <r>
    <x v="1004"/>
    <x v="92"/>
    <s v="CUST0101"/>
    <x v="5"/>
    <x v="1"/>
    <x v="1"/>
    <x v="4"/>
    <n v="4"/>
    <n v="1617.28"/>
    <n v="0.05"/>
    <n v="1536.42"/>
    <n v="999.53"/>
    <n v="536.89"/>
    <x v="3"/>
    <n v="15"/>
    <d v="2025-09-18T15:00:00"/>
    <s v="Sep"/>
    <n v="9"/>
    <s v="Q3"/>
    <x v="1"/>
    <x v="1"/>
    <x v="0"/>
    <x v="0"/>
  </r>
  <r>
    <x v="1005"/>
    <x v="323"/>
    <s v="CUST0142"/>
    <x v="7"/>
    <x v="5"/>
    <x v="2"/>
    <x v="11"/>
    <n v="1"/>
    <n v="908.82"/>
    <n v="0.1"/>
    <n v="817.94"/>
    <n v="671.88"/>
    <n v="146.06"/>
    <x v="0"/>
    <n v="48"/>
    <d v="2025-05-20T00:00:00"/>
    <s v="May"/>
    <n v="5"/>
    <s v="Q2"/>
    <x v="0"/>
    <x v="0"/>
    <x v="0"/>
    <x v="0"/>
  </r>
  <r>
    <x v="1006"/>
    <x v="104"/>
    <s v="CUST0201"/>
    <x v="7"/>
    <x v="1"/>
    <x v="0"/>
    <x v="6"/>
    <n v="3"/>
    <n v="21859.62"/>
    <n v="0.05"/>
    <n v="20766.64"/>
    <n v="12920.68"/>
    <n v="7845.96"/>
    <x v="0"/>
    <n v="25"/>
    <d v="2025-06-22T01:00:00"/>
    <s v="Jun"/>
    <n v="6"/>
    <s v="Q2"/>
    <x v="0"/>
    <x v="0"/>
    <x v="0"/>
    <x v="0"/>
  </r>
  <r>
    <x v="1007"/>
    <x v="125"/>
    <s v="CUST0199"/>
    <x v="2"/>
    <x v="5"/>
    <x v="3"/>
    <x v="7"/>
    <n v="1"/>
    <n v="5415.14"/>
    <n v="0.05"/>
    <n v="5144.38"/>
    <n v="3241.88"/>
    <n v="1902.5"/>
    <x v="0"/>
    <n v="11"/>
    <d v="2025-01-13T11:00:00"/>
    <s v="Jan"/>
    <n v="1"/>
    <s v="Q1"/>
    <x v="0"/>
    <x v="0"/>
    <x v="0"/>
    <x v="0"/>
  </r>
  <r>
    <x v="1008"/>
    <x v="268"/>
    <s v="CUST0284"/>
    <x v="2"/>
    <x v="5"/>
    <x v="2"/>
    <x v="24"/>
    <n v="4"/>
    <n v="25557.68"/>
    <n v="0.15"/>
    <n v="21724.03"/>
    <n v="16552.88"/>
    <n v="5171.1499999999996"/>
    <x v="3"/>
    <n v="11"/>
    <d v="2025-06-17T11:00:00"/>
    <s v="Jun"/>
    <n v="6"/>
    <s v="Q2"/>
    <x v="1"/>
    <x v="1"/>
    <x v="0"/>
    <x v="0"/>
  </r>
  <r>
    <x v="1009"/>
    <x v="152"/>
    <s v="CUST0217"/>
    <x v="9"/>
    <x v="7"/>
    <x v="0"/>
    <x v="19"/>
    <n v="7"/>
    <n v="13290.48"/>
    <n v="0.05"/>
    <n v="12625.96"/>
    <n v="8094.61"/>
    <n v="4531.3500000000004"/>
    <x v="1"/>
    <n v="2"/>
    <d v="2025-05-10T02:00:00"/>
    <s v="May"/>
    <n v="5"/>
    <s v="Q2"/>
    <x v="1"/>
    <x v="0"/>
    <x v="0"/>
    <x v="1"/>
  </r>
  <r>
    <x v="1010"/>
    <x v="282"/>
    <s v="CUST0046"/>
    <x v="9"/>
    <x v="1"/>
    <x v="2"/>
    <x v="3"/>
    <n v="7"/>
    <n v="32442.55"/>
    <n v="0.15"/>
    <n v="27576.17"/>
    <n v="17145.7"/>
    <n v="10430.469999999999"/>
    <x v="0"/>
    <n v="7"/>
    <d v="2025-03-25T07:00:00"/>
    <s v="Mar"/>
    <n v="3"/>
    <s v="Q1"/>
    <x v="0"/>
    <x v="0"/>
    <x v="0"/>
    <x v="0"/>
  </r>
  <r>
    <x v="1011"/>
    <x v="228"/>
    <s v="CUST0028"/>
    <x v="6"/>
    <x v="0"/>
    <x v="4"/>
    <x v="9"/>
    <n v="2"/>
    <n v="12611.56"/>
    <n v="0.05"/>
    <n v="11980.98"/>
    <n v="7594.49"/>
    <n v="4386.49"/>
    <x v="0"/>
    <n v="14"/>
    <d v="2025-11-17T14:00:00"/>
    <s v="Nov"/>
    <n v="11"/>
    <s v="Q4"/>
    <x v="0"/>
    <x v="0"/>
    <x v="0"/>
    <x v="0"/>
  </r>
  <r>
    <x v="1012"/>
    <x v="242"/>
    <s v="CUST0002"/>
    <x v="9"/>
    <x v="2"/>
    <x v="4"/>
    <x v="23"/>
    <n v="1"/>
    <n v="5388.07"/>
    <n v="0.05"/>
    <n v="5118.67"/>
    <n v="3644.05"/>
    <n v="1474.62"/>
    <x v="2"/>
    <n v="57"/>
    <d v="2025-11-17T09:00:00"/>
    <s v="Nov"/>
    <n v="11"/>
    <s v="Q4"/>
    <x v="1"/>
    <x v="0"/>
    <x v="1"/>
    <x v="0"/>
  </r>
  <r>
    <x v="1013"/>
    <x v="107"/>
    <s v="CUST0017"/>
    <x v="0"/>
    <x v="5"/>
    <x v="1"/>
    <x v="1"/>
    <n v="7"/>
    <n v="28620.76"/>
    <n v="0.05"/>
    <n v="27189.72"/>
    <n v="23622.78"/>
    <n v="3566.94"/>
    <x v="2"/>
    <n v="92"/>
    <d v="2025-04-14T20:00:00"/>
    <s v="Apr"/>
    <n v="4"/>
    <s v="Q2"/>
    <x v="1"/>
    <x v="0"/>
    <x v="1"/>
    <x v="0"/>
  </r>
  <r>
    <x v="1014"/>
    <x v="41"/>
    <s v="CUST0077"/>
    <x v="0"/>
    <x v="4"/>
    <x v="1"/>
    <x v="8"/>
    <n v="6"/>
    <n v="48985.14"/>
    <n v="0.1"/>
    <n v="44086.63"/>
    <n v="36355.53"/>
    <n v="7731.1"/>
    <x v="1"/>
    <n v="19"/>
    <d v="2025-11-25T19:00:00"/>
    <s v="Nov"/>
    <n v="11"/>
    <s v="Q4"/>
    <x v="1"/>
    <x v="0"/>
    <x v="0"/>
    <x v="1"/>
  </r>
  <r>
    <x v="1015"/>
    <x v="219"/>
    <s v="CUST0165"/>
    <x v="5"/>
    <x v="3"/>
    <x v="4"/>
    <x v="22"/>
    <n v="7"/>
    <n v="40571.370000000003"/>
    <n v="0.1"/>
    <n v="36514.230000000003"/>
    <n v="23512.29"/>
    <n v="13001.94"/>
    <x v="1"/>
    <n v="21"/>
    <d v="2025-09-30T21:00:00"/>
    <s v="Sep"/>
    <n v="9"/>
    <s v="Q3"/>
    <x v="1"/>
    <x v="0"/>
    <x v="0"/>
    <x v="1"/>
  </r>
  <r>
    <x v="1016"/>
    <x v="48"/>
    <s v="CUST0097"/>
    <x v="3"/>
    <x v="1"/>
    <x v="2"/>
    <x v="3"/>
    <n v="7"/>
    <n v="54108.04"/>
    <n v="0.15"/>
    <n v="45991.83"/>
    <n v="30810.53"/>
    <n v="15181.3"/>
    <x v="0"/>
    <n v="9"/>
    <d v="2025-09-22T09:00:00"/>
    <s v="Sep"/>
    <n v="9"/>
    <s v="Q3"/>
    <x v="0"/>
    <x v="0"/>
    <x v="0"/>
    <x v="0"/>
  </r>
  <r>
    <x v="1017"/>
    <x v="194"/>
    <s v="CUST0105"/>
    <x v="0"/>
    <x v="1"/>
    <x v="4"/>
    <x v="22"/>
    <n v="7"/>
    <n v="43705.06"/>
    <n v="0.05"/>
    <n v="41519.81"/>
    <n v="29200.43"/>
    <n v="12319.38"/>
    <x v="0"/>
    <n v="19"/>
    <d v="2025-02-07T19:00:00"/>
    <s v="Feb"/>
    <n v="2"/>
    <s v="Q1"/>
    <x v="0"/>
    <x v="0"/>
    <x v="0"/>
    <x v="0"/>
  </r>
  <r>
    <x v="1018"/>
    <x v="258"/>
    <s v="CUST0024"/>
    <x v="1"/>
    <x v="7"/>
    <x v="1"/>
    <x v="8"/>
    <n v="7"/>
    <n v="44037.84"/>
    <n v="0"/>
    <n v="44037.84"/>
    <n v="38447.089999999997"/>
    <n v="5590.75"/>
    <x v="3"/>
    <n v="2"/>
    <d v="2025-04-04T02:00:00"/>
    <s v="Apr"/>
    <n v="4"/>
    <s v="Q2"/>
    <x v="1"/>
    <x v="1"/>
    <x v="0"/>
    <x v="0"/>
  </r>
  <r>
    <x v="1019"/>
    <x v="206"/>
    <s v="CUST0200"/>
    <x v="2"/>
    <x v="5"/>
    <x v="4"/>
    <x v="22"/>
    <n v="3"/>
    <n v="2454.4499999999998"/>
    <n v="0.15"/>
    <n v="2086.2800000000002"/>
    <n v="1266.1400000000001"/>
    <n v="820.14"/>
    <x v="0"/>
    <n v="12"/>
    <d v="2025-04-05T12:00:00"/>
    <s v="Apr"/>
    <n v="4"/>
    <s v="Q2"/>
    <x v="0"/>
    <x v="0"/>
    <x v="0"/>
    <x v="0"/>
  </r>
  <r>
    <x v="1020"/>
    <x v="234"/>
    <s v="CUST0035"/>
    <x v="7"/>
    <x v="4"/>
    <x v="4"/>
    <x v="22"/>
    <n v="3"/>
    <n v="9454.59"/>
    <n v="0.15"/>
    <n v="8036.4"/>
    <n v="5368.07"/>
    <n v="2668.33"/>
    <x v="0"/>
    <n v="46"/>
    <d v="2025-11-02T22:00:00"/>
    <s v="Nov"/>
    <n v="11"/>
    <s v="Q4"/>
    <x v="0"/>
    <x v="0"/>
    <x v="0"/>
    <x v="0"/>
  </r>
  <r>
    <x v="1021"/>
    <x v="252"/>
    <s v="CUST0002"/>
    <x v="9"/>
    <x v="7"/>
    <x v="2"/>
    <x v="3"/>
    <n v="2"/>
    <n v="14634.76"/>
    <n v="0"/>
    <n v="14634.76"/>
    <n v="11571.86"/>
    <n v="3062.9"/>
    <x v="0"/>
    <n v="37"/>
    <d v="2025-03-11T13:00:00"/>
    <s v="Mar"/>
    <n v="3"/>
    <s v="Q1"/>
    <x v="0"/>
    <x v="0"/>
    <x v="0"/>
    <x v="0"/>
  </r>
  <r>
    <x v="1022"/>
    <x v="145"/>
    <s v="CUST0289"/>
    <x v="5"/>
    <x v="2"/>
    <x v="0"/>
    <x v="14"/>
    <n v="7"/>
    <n v="14645.68"/>
    <n v="0.1"/>
    <n v="13181.11"/>
    <n v="11442.54"/>
    <n v="1738.57"/>
    <x v="0"/>
    <n v="30"/>
    <d v="2025-11-15T06:00:00"/>
    <s v="Nov"/>
    <n v="11"/>
    <s v="Q4"/>
    <x v="0"/>
    <x v="0"/>
    <x v="0"/>
    <x v="0"/>
  </r>
  <r>
    <x v="1023"/>
    <x v="26"/>
    <s v="CUST0138"/>
    <x v="4"/>
    <x v="5"/>
    <x v="1"/>
    <x v="10"/>
    <n v="1"/>
    <n v="1114.47"/>
    <n v="0.05"/>
    <n v="1058.75"/>
    <n v="636.70000000000005"/>
    <n v="422.05"/>
    <x v="1"/>
    <n v="0"/>
    <d v="2025-08-24T00:00:00"/>
    <s v="Aug"/>
    <n v="8"/>
    <s v="Q3"/>
    <x v="1"/>
    <x v="0"/>
    <x v="0"/>
    <x v="1"/>
  </r>
  <r>
    <x v="1024"/>
    <x v="336"/>
    <s v="CUST0062"/>
    <x v="7"/>
    <x v="0"/>
    <x v="2"/>
    <x v="15"/>
    <n v="4"/>
    <n v="11491.96"/>
    <n v="0.15"/>
    <n v="9768.17"/>
    <n v="6105.45"/>
    <n v="3662.72"/>
    <x v="3"/>
    <n v="7"/>
    <d v="2025-11-30T07:00:00"/>
    <s v="Nov"/>
    <n v="11"/>
    <s v="Q4"/>
    <x v="1"/>
    <x v="1"/>
    <x v="0"/>
    <x v="0"/>
  </r>
  <r>
    <x v="1025"/>
    <x v="144"/>
    <s v="CUST0299"/>
    <x v="1"/>
    <x v="7"/>
    <x v="4"/>
    <x v="13"/>
    <n v="2"/>
    <n v="3981.32"/>
    <n v="0.2"/>
    <n v="3185.06"/>
    <n v="1989"/>
    <n v="1196.06"/>
    <x v="0"/>
    <n v="30"/>
    <d v="2025-05-18T06:00:00"/>
    <s v="May"/>
    <n v="5"/>
    <s v="Q2"/>
    <x v="0"/>
    <x v="0"/>
    <x v="0"/>
    <x v="0"/>
  </r>
  <r>
    <x v="1026"/>
    <x v="254"/>
    <s v="CUST0197"/>
    <x v="9"/>
    <x v="1"/>
    <x v="4"/>
    <x v="9"/>
    <n v="1"/>
    <n v="7876.16"/>
    <n v="0.2"/>
    <n v="6300.93"/>
    <n v="3509.04"/>
    <n v="2791.89"/>
    <x v="1"/>
    <n v="24"/>
    <d v="2025-03-18T00:00:00"/>
    <s v="Mar"/>
    <n v="3"/>
    <s v="Q1"/>
    <x v="1"/>
    <x v="0"/>
    <x v="0"/>
    <x v="1"/>
  </r>
  <r>
    <x v="1027"/>
    <x v="54"/>
    <s v="CUST0059"/>
    <x v="1"/>
    <x v="5"/>
    <x v="0"/>
    <x v="17"/>
    <n v="7"/>
    <n v="51782.64"/>
    <n v="0.15"/>
    <n v="44015.24"/>
    <n v="32983.18"/>
    <n v="11032.06"/>
    <x v="0"/>
    <n v="8"/>
    <d v="2025-02-04T08:00:00"/>
    <s v="Feb"/>
    <n v="2"/>
    <s v="Q1"/>
    <x v="0"/>
    <x v="0"/>
    <x v="0"/>
    <x v="0"/>
  </r>
  <r>
    <x v="1028"/>
    <x v="247"/>
    <s v="CUST0265"/>
    <x v="2"/>
    <x v="4"/>
    <x v="1"/>
    <x v="10"/>
    <n v="5"/>
    <n v="21611.75"/>
    <n v="0.05"/>
    <n v="20531.16"/>
    <n v="15836.34"/>
    <n v="4694.82"/>
    <x v="1"/>
    <n v="16"/>
    <d v="2025-01-01T16:00:00"/>
    <s v="Jan"/>
    <n v="1"/>
    <s v="Q1"/>
    <x v="1"/>
    <x v="0"/>
    <x v="0"/>
    <x v="1"/>
  </r>
  <r>
    <x v="1029"/>
    <x v="72"/>
    <s v="CUST0188"/>
    <x v="2"/>
    <x v="0"/>
    <x v="1"/>
    <x v="10"/>
    <n v="7"/>
    <n v="4635.54"/>
    <n v="0.15"/>
    <n v="3940.21"/>
    <n v="2950.56"/>
    <n v="989.65"/>
    <x v="0"/>
    <n v="34"/>
    <d v="2025-10-24T10:00:00"/>
    <s v="Oct"/>
    <n v="10"/>
    <s v="Q4"/>
    <x v="0"/>
    <x v="0"/>
    <x v="0"/>
    <x v="0"/>
  </r>
  <r>
    <x v="1030"/>
    <x v="38"/>
    <s v="CUST0063"/>
    <x v="6"/>
    <x v="1"/>
    <x v="3"/>
    <x v="20"/>
    <n v="3"/>
    <n v="18349.8"/>
    <n v="0.1"/>
    <n v="16514.82"/>
    <n v="9471.85"/>
    <n v="7042.97"/>
    <x v="0"/>
    <n v="6"/>
    <d v="2025-11-16T06:00:00"/>
    <s v="Nov"/>
    <n v="11"/>
    <s v="Q4"/>
    <x v="0"/>
    <x v="0"/>
    <x v="0"/>
    <x v="0"/>
  </r>
  <r>
    <x v="1031"/>
    <x v="179"/>
    <s v="CUST0279"/>
    <x v="5"/>
    <x v="0"/>
    <x v="1"/>
    <x v="5"/>
    <n v="4"/>
    <n v="21421.96"/>
    <n v="0"/>
    <n v="21421.96"/>
    <n v="12271.48"/>
    <n v="9150.48"/>
    <x v="0"/>
    <n v="33"/>
    <d v="2025-03-02T09:00:00"/>
    <s v="Mar"/>
    <n v="3"/>
    <s v="Q1"/>
    <x v="0"/>
    <x v="0"/>
    <x v="0"/>
    <x v="0"/>
  </r>
  <r>
    <x v="1032"/>
    <x v="38"/>
    <s v="CUST0030"/>
    <x v="7"/>
    <x v="1"/>
    <x v="0"/>
    <x v="17"/>
    <n v="6"/>
    <n v="49524.78"/>
    <n v="0.1"/>
    <n v="44572.3"/>
    <n v="27609.31"/>
    <n v="16962.990000000002"/>
    <x v="0"/>
    <n v="24"/>
    <d v="2025-11-17T00:00:00"/>
    <s v="Nov"/>
    <n v="11"/>
    <s v="Q4"/>
    <x v="0"/>
    <x v="0"/>
    <x v="0"/>
    <x v="0"/>
  </r>
  <r>
    <x v="1033"/>
    <x v="1"/>
    <s v="CUST0171"/>
    <x v="8"/>
    <x v="1"/>
    <x v="3"/>
    <x v="18"/>
    <n v="4"/>
    <n v="19269.04"/>
    <n v="0.2"/>
    <n v="15415.23"/>
    <n v="9955.11"/>
    <n v="5460.12"/>
    <x v="0"/>
    <n v="38"/>
    <d v="2025-12-16T14:00:00"/>
    <s v="Dec"/>
    <n v="12"/>
    <s v="Q4"/>
    <x v="0"/>
    <x v="0"/>
    <x v="0"/>
    <x v="0"/>
  </r>
  <r>
    <x v="1034"/>
    <x v="96"/>
    <s v="CUST0021"/>
    <x v="8"/>
    <x v="1"/>
    <x v="3"/>
    <x v="20"/>
    <n v="6"/>
    <n v="17753.34"/>
    <n v="0.2"/>
    <n v="14202.67"/>
    <n v="11497.91"/>
    <n v="2704.76"/>
    <x v="3"/>
    <n v="2"/>
    <d v="2025-11-24T02:00:00"/>
    <s v="Nov"/>
    <n v="11"/>
    <s v="Q4"/>
    <x v="1"/>
    <x v="1"/>
    <x v="0"/>
    <x v="0"/>
  </r>
  <r>
    <x v="1035"/>
    <x v="174"/>
    <s v="CUST0299"/>
    <x v="7"/>
    <x v="5"/>
    <x v="4"/>
    <x v="22"/>
    <n v="4"/>
    <n v="17935.32"/>
    <n v="0"/>
    <n v="17935.32"/>
    <n v="10807.8"/>
    <n v="7127.52"/>
    <x v="0"/>
    <n v="31"/>
    <d v="2025-09-25T07:00:00"/>
    <s v="Sep"/>
    <n v="9"/>
    <s v="Q3"/>
    <x v="0"/>
    <x v="0"/>
    <x v="0"/>
    <x v="0"/>
  </r>
  <r>
    <x v="1036"/>
    <x v="281"/>
    <s v="CUST0201"/>
    <x v="4"/>
    <x v="3"/>
    <x v="4"/>
    <x v="21"/>
    <n v="3"/>
    <n v="24980.55"/>
    <n v="0.15"/>
    <n v="21233.47"/>
    <n v="11987.36"/>
    <n v="9246.11"/>
    <x v="0"/>
    <n v="35"/>
    <d v="2025-12-28T11:00:00"/>
    <s v="Dec"/>
    <n v="12"/>
    <s v="Q4"/>
    <x v="0"/>
    <x v="0"/>
    <x v="0"/>
    <x v="0"/>
  </r>
  <r>
    <x v="1037"/>
    <x v="244"/>
    <s v="CUST0135"/>
    <x v="5"/>
    <x v="6"/>
    <x v="1"/>
    <x v="4"/>
    <n v="6"/>
    <n v="35787.78"/>
    <n v="0.15"/>
    <n v="30419.61"/>
    <n v="20685.82"/>
    <n v="9733.7900000000009"/>
    <x v="0"/>
    <n v="45"/>
    <d v="2025-08-18T21:00:00"/>
    <s v="Aug"/>
    <n v="8"/>
    <s v="Q3"/>
    <x v="0"/>
    <x v="0"/>
    <x v="0"/>
    <x v="0"/>
  </r>
  <r>
    <x v="1038"/>
    <x v="68"/>
    <s v="CUST0272"/>
    <x v="1"/>
    <x v="4"/>
    <x v="3"/>
    <x v="18"/>
    <n v="1"/>
    <n v="5761"/>
    <n v="0.05"/>
    <n v="5472.95"/>
    <n v="3762.16"/>
    <n v="1710.79"/>
    <x v="1"/>
    <n v="15"/>
    <d v="2025-09-27T15:00:00"/>
    <s v="Sep"/>
    <n v="9"/>
    <s v="Q3"/>
    <x v="1"/>
    <x v="0"/>
    <x v="0"/>
    <x v="1"/>
  </r>
  <r>
    <x v="1039"/>
    <x v="45"/>
    <s v="CUST0023"/>
    <x v="4"/>
    <x v="2"/>
    <x v="4"/>
    <x v="21"/>
    <n v="6"/>
    <n v="12958.14"/>
    <n v="0.1"/>
    <n v="11662.33"/>
    <n v="8149.63"/>
    <n v="3512.7"/>
    <x v="0"/>
    <n v="28"/>
    <d v="2025-11-13T04:00:00"/>
    <s v="Nov"/>
    <n v="11"/>
    <s v="Q4"/>
    <x v="0"/>
    <x v="0"/>
    <x v="0"/>
    <x v="0"/>
  </r>
  <r>
    <x v="1040"/>
    <x v="135"/>
    <s v="CUST0087"/>
    <x v="3"/>
    <x v="3"/>
    <x v="0"/>
    <x v="0"/>
    <n v="2"/>
    <n v="12718.16"/>
    <n v="0.15"/>
    <n v="10810.44"/>
    <n v="8895.68"/>
    <n v="1914.76"/>
    <x v="3"/>
    <n v="12"/>
    <d v="2025-10-13T12:00:00"/>
    <s v="Oct"/>
    <n v="10"/>
    <s v="Q4"/>
    <x v="1"/>
    <x v="1"/>
    <x v="0"/>
    <x v="0"/>
  </r>
  <r>
    <x v="1041"/>
    <x v="337"/>
    <s v="CUST0031"/>
    <x v="7"/>
    <x v="6"/>
    <x v="4"/>
    <x v="13"/>
    <n v="1"/>
    <n v="6414.77"/>
    <n v="0.05"/>
    <n v="6094.03"/>
    <n v="3548.81"/>
    <n v="2545.2199999999998"/>
    <x v="0"/>
    <n v="38"/>
    <d v="2025-10-19T14:00:00"/>
    <s v="Oct"/>
    <n v="10"/>
    <s v="Q4"/>
    <x v="0"/>
    <x v="0"/>
    <x v="0"/>
    <x v="0"/>
  </r>
  <r>
    <x v="1042"/>
    <x v="73"/>
    <s v="CUST0121"/>
    <x v="1"/>
    <x v="0"/>
    <x v="4"/>
    <x v="22"/>
    <n v="2"/>
    <n v="5598.72"/>
    <n v="0"/>
    <n v="5598.72"/>
    <n v="4379.88"/>
    <n v="1218.8399999999999"/>
    <x v="2"/>
    <n v="73"/>
    <d v="2025-08-04T01:00:00"/>
    <s v="Aug"/>
    <n v="8"/>
    <s v="Q3"/>
    <x v="1"/>
    <x v="0"/>
    <x v="1"/>
    <x v="0"/>
  </r>
  <r>
    <x v="1043"/>
    <x v="146"/>
    <s v="CUST0069"/>
    <x v="8"/>
    <x v="6"/>
    <x v="3"/>
    <x v="7"/>
    <n v="7"/>
    <n v="29323.07"/>
    <n v="0.15"/>
    <n v="24924.61"/>
    <n v="16488.18"/>
    <n v="8436.43"/>
    <x v="0"/>
    <n v="27"/>
    <d v="2025-06-15T03:00:00"/>
    <s v="Jun"/>
    <n v="6"/>
    <s v="Q2"/>
    <x v="0"/>
    <x v="0"/>
    <x v="0"/>
    <x v="0"/>
  </r>
  <r>
    <x v="1044"/>
    <x v="109"/>
    <s v="CUST0134"/>
    <x v="0"/>
    <x v="5"/>
    <x v="3"/>
    <x v="12"/>
    <n v="4"/>
    <n v="10439.76"/>
    <n v="0.2"/>
    <n v="8351.81"/>
    <n v="5447.83"/>
    <n v="2903.98"/>
    <x v="0"/>
    <n v="42"/>
    <d v="2025-01-06T18:00:00"/>
    <s v="Jan"/>
    <n v="1"/>
    <s v="Q1"/>
    <x v="0"/>
    <x v="0"/>
    <x v="0"/>
    <x v="0"/>
  </r>
  <r>
    <x v="1045"/>
    <x v="284"/>
    <s v="CUST0146"/>
    <x v="6"/>
    <x v="5"/>
    <x v="2"/>
    <x v="15"/>
    <n v="1"/>
    <n v="2310.19"/>
    <n v="0.1"/>
    <n v="2079.17"/>
    <n v="1783.39"/>
    <n v="295.77999999999997"/>
    <x v="3"/>
    <n v="11"/>
    <d v="2025-12-05T11:00:00"/>
    <s v="Dec"/>
    <n v="12"/>
    <s v="Q4"/>
    <x v="1"/>
    <x v="1"/>
    <x v="0"/>
    <x v="0"/>
  </r>
  <r>
    <x v="1046"/>
    <x v="316"/>
    <s v="CUST0263"/>
    <x v="8"/>
    <x v="5"/>
    <x v="0"/>
    <x v="19"/>
    <n v="4"/>
    <n v="1464.92"/>
    <n v="0.15"/>
    <n v="1245.18"/>
    <n v="786.95"/>
    <n v="458.23"/>
    <x v="2"/>
    <n v="69"/>
    <d v="2025-03-21T21:00:00"/>
    <s v="Mar"/>
    <n v="3"/>
    <s v="Q1"/>
    <x v="1"/>
    <x v="0"/>
    <x v="1"/>
    <x v="0"/>
  </r>
  <r>
    <x v="1047"/>
    <x v="100"/>
    <s v="CUST0293"/>
    <x v="5"/>
    <x v="6"/>
    <x v="3"/>
    <x v="20"/>
    <n v="7"/>
    <n v="17720.64"/>
    <n v="0.05"/>
    <n v="16834.61"/>
    <n v="12828.57"/>
    <n v="4006.04"/>
    <x v="1"/>
    <n v="19"/>
    <d v="2025-03-03T19:00:00"/>
    <s v="Mar"/>
    <n v="3"/>
    <s v="Q1"/>
    <x v="1"/>
    <x v="0"/>
    <x v="0"/>
    <x v="1"/>
  </r>
  <r>
    <x v="1048"/>
    <x v="295"/>
    <s v="CUST0086"/>
    <x v="2"/>
    <x v="3"/>
    <x v="1"/>
    <x v="8"/>
    <n v="5"/>
    <n v="23878.25"/>
    <n v="0"/>
    <n v="23878.25"/>
    <n v="15301"/>
    <n v="8577.25"/>
    <x v="1"/>
    <n v="7"/>
    <d v="2025-05-12T07:00:00"/>
    <s v="May"/>
    <n v="5"/>
    <s v="Q2"/>
    <x v="1"/>
    <x v="0"/>
    <x v="0"/>
    <x v="1"/>
  </r>
  <r>
    <x v="1049"/>
    <x v="44"/>
    <s v="CUST0016"/>
    <x v="0"/>
    <x v="4"/>
    <x v="0"/>
    <x v="17"/>
    <n v="4"/>
    <n v="653.48"/>
    <n v="0.1"/>
    <n v="588.13"/>
    <n v="421.9"/>
    <n v="166.23"/>
    <x v="2"/>
    <n v="90"/>
    <d v="2025-04-02T18:00:00"/>
    <s v="Mar"/>
    <n v="3"/>
    <s v="Q1"/>
    <x v="1"/>
    <x v="0"/>
    <x v="1"/>
    <x v="0"/>
  </r>
  <r>
    <x v="1050"/>
    <x v="75"/>
    <s v="CUST0216"/>
    <x v="6"/>
    <x v="7"/>
    <x v="0"/>
    <x v="19"/>
    <n v="7"/>
    <n v="17604.16"/>
    <n v="0.05"/>
    <n v="16723.95"/>
    <n v="13537.65"/>
    <n v="3186.3"/>
    <x v="1"/>
    <n v="20"/>
    <d v="2025-08-25T20:00:00"/>
    <s v="Aug"/>
    <n v="8"/>
    <s v="Q3"/>
    <x v="1"/>
    <x v="0"/>
    <x v="0"/>
    <x v="1"/>
  </r>
  <r>
    <x v="1051"/>
    <x v="114"/>
    <s v="CUST0116"/>
    <x v="6"/>
    <x v="6"/>
    <x v="3"/>
    <x v="12"/>
    <n v="4"/>
    <n v="30039.119999999999"/>
    <n v="0.2"/>
    <n v="24031.3"/>
    <n v="20209.560000000001"/>
    <n v="3821.74"/>
    <x v="2"/>
    <n v="50"/>
    <d v="2025-02-13T02:00:00"/>
    <s v="Feb"/>
    <n v="2"/>
    <s v="Q1"/>
    <x v="1"/>
    <x v="0"/>
    <x v="1"/>
    <x v="0"/>
  </r>
  <r>
    <x v="1052"/>
    <x v="44"/>
    <s v="CUST0118"/>
    <x v="3"/>
    <x v="5"/>
    <x v="0"/>
    <x v="19"/>
    <n v="7"/>
    <n v="35748.79"/>
    <n v="0"/>
    <n v="35748.79"/>
    <n v="29556.03"/>
    <n v="6192.76"/>
    <x v="3"/>
    <n v="21"/>
    <d v="2025-03-30T21:00:00"/>
    <s v="Mar"/>
    <n v="3"/>
    <s v="Q1"/>
    <x v="1"/>
    <x v="1"/>
    <x v="0"/>
    <x v="0"/>
  </r>
  <r>
    <x v="1053"/>
    <x v="72"/>
    <s v="CUST0270"/>
    <x v="3"/>
    <x v="7"/>
    <x v="3"/>
    <x v="16"/>
    <n v="2"/>
    <n v="10451.299999999999"/>
    <n v="0.05"/>
    <n v="9928.73"/>
    <n v="7368.31"/>
    <n v="2560.42"/>
    <x v="2"/>
    <n v="56"/>
    <d v="2025-10-25T08:00:00"/>
    <s v="Oct"/>
    <n v="10"/>
    <s v="Q4"/>
    <x v="1"/>
    <x v="0"/>
    <x v="1"/>
    <x v="0"/>
  </r>
  <r>
    <x v="1054"/>
    <x v="96"/>
    <s v="CUST0162"/>
    <x v="9"/>
    <x v="7"/>
    <x v="4"/>
    <x v="13"/>
    <n v="7"/>
    <n v="24626.63"/>
    <n v="0.05"/>
    <n v="23395.3"/>
    <n v="14788.39"/>
    <n v="8606.91"/>
    <x v="2"/>
    <n v="80"/>
    <d v="2025-11-27T08:00:00"/>
    <s v="Nov"/>
    <n v="11"/>
    <s v="Q4"/>
    <x v="1"/>
    <x v="0"/>
    <x v="1"/>
    <x v="0"/>
  </r>
  <r>
    <x v="1055"/>
    <x v="151"/>
    <s v="CUST0188"/>
    <x v="8"/>
    <x v="1"/>
    <x v="2"/>
    <x v="11"/>
    <n v="6"/>
    <n v="34791.24"/>
    <n v="0.2"/>
    <n v="27832.99"/>
    <n v="21381.5"/>
    <n v="6451.49"/>
    <x v="0"/>
    <n v="42"/>
    <d v="2025-10-23T18:00:00"/>
    <s v="Oct"/>
    <n v="10"/>
    <s v="Q4"/>
    <x v="0"/>
    <x v="0"/>
    <x v="0"/>
    <x v="0"/>
  </r>
  <r>
    <x v="1056"/>
    <x v="185"/>
    <s v="CUST0104"/>
    <x v="8"/>
    <x v="7"/>
    <x v="4"/>
    <x v="21"/>
    <n v="5"/>
    <n v="8679.7000000000007"/>
    <n v="0"/>
    <n v="8679.7000000000007"/>
    <n v="6807.22"/>
    <n v="1872.48"/>
    <x v="0"/>
    <n v="16"/>
    <d v="2025-04-14T16:00:00"/>
    <s v="Apr"/>
    <n v="4"/>
    <s v="Q2"/>
    <x v="0"/>
    <x v="0"/>
    <x v="0"/>
    <x v="0"/>
  </r>
  <r>
    <x v="1057"/>
    <x v="46"/>
    <s v="CUST0141"/>
    <x v="8"/>
    <x v="0"/>
    <x v="3"/>
    <x v="7"/>
    <n v="4"/>
    <n v="27946.16"/>
    <n v="0"/>
    <n v="27946.16"/>
    <n v="15468.99"/>
    <n v="12477.17"/>
    <x v="0"/>
    <n v="13"/>
    <d v="2025-01-14T13:00:00"/>
    <s v="Jan"/>
    <n v="1"/>
    <s v="Q1"/>
    <x v="0"/>
    <x v="0"/>
    <x v="0"/>
    <x v="0"/>
  </r>
  <r>
    <x v="1058"/>
    <x v="215"/>
    <s v="CUST0167"/>
    <x v="9"/>
    <x v="0"/>
    <x v="3"/>
    <x v="12"/>
    <n v="7"/>
    <n v="7870.45"/>
    <n v="0.05"/>
    <n v="7476.93"/>
    <n v="5196.01"/>
    <n v="2280.92"/>
    <x v="3"/>
    <n v="21"/>
    <d v="2025-10-15T21:00:00"/>
    <s v="Oct"/>
    <n v="10"/>
    <s v="Q4"/>
    <x v="1"/>
    <x v="1"/>
    <x v="0"/>
    <x v="0"/>
  </r>
  <r>
    <x v="1059"/>
    <x v="115"/>
    <s v="CUST0300"/>
    <x v="4"/>
    <x v="1"/>
    <x v="4"/>
    <x v="9"/>
    <n v="7"/>
    <n v="39393.269999999997"/>
    <n v="0.15"/>
    <n v="33484.28"/>
    <n v="27734.240000000002"/>
    <n v="5750.04"/>
    <x v="3"/>
    <n v="6"/>
    <d v="2025-06-28T06:00:00"/>
    <s v="Jun"/>
    <n v="6"/>
    <s v="Q2"/>
    <x v="1"/>
    <x v="1"/>
    <x v="0"/>
    <x v="0"/>
  </r>
  <r>
    <x v="1060"/>
    <x v="233"/>
    <s v="CUST0028"/>
    <x v="6"/>
    <x v="4"/>
    <x v="1"/>
    <x v="4"/>
    <n v="4"/>
    <n v="11994.4"/>
    <n v="0.05"/>
    <n v="11394.68"/>
    <n v="8108.04"/>
    <n v="3286.64"/>
    <x v="0"/>
    <n v="35"/>
    <d v="2025-05-06T11:00:00"/>
    <s v="May"/>
    <n v="5"/>
    <s v="Q2"/>
    <x v="0"/>
    <x v="0"/>
    <x v="0"/>
    <x v="0"/>
  </r>
  <r>
    <x v="1061"/>
    <x v="338"/>
    <s v="CUST0272"/>
    <x v="0"/>
    <x v="2"/>
    <x v="1"/>
    <x v="1"/>
    <n v="5"/>
    <n v="31958.65"/>
    <n v="0.05"/>
    <n v="30360.720000000001"/>
    <n v="19818.080000000002"/>
    <n v="10542.64"/>
    <x v="0"/>
    <n v="36"/>
    <d v="2025-12-20T12:00:00"/>
    <s v="Dec"/>
    <n v="12"/>
    <s v="Q4"/>
    <x v="0"/>
    <x v="0"/>
    <x v="0"/>
    <x v="0"/>
  </r>
  <r>
    <x v="1062"/>
    <x v="262"/>
    <s v="CUST0050"/>
    <x v="5"/>
    <x v="4"/>
    <x v="1"/>
    <x v="5"/>
    <n v="5"/>
    <n v="23702.65"/>
    <n v="0"/>
    <n v="23702.65"/>
    <n v="19855.55"/>
    <n v="3847.1"/>
    <x v="0"/>
    <n v="39"/>
    <d v="2025-01-24T15:00:00"/>
    <s v="Jan"/>
    <n v="1"/>
    <s v="Q1"/>
    <x v="0"/>
    <x v="0"/>
    <x v="0"/>
    <x v="0"/>
  </r>
  <r>
    <x v="1063"/>
    <x v="88"/>
    <s v="CUST0156"/>
    <x v="6"/>
    <x v="0"/>
    <x v="3"/>
    <x v="16"/>
    <n v="7"/>
    <n v="27490.05"/>
    <n v="0.15"/>
    <n v="23366.54"/>
    <n v="14053.59"/>
    <n v="9312.9500000000007"/>
    <x v="0"/>
    <n v="31"/>
    <d v="2025-03-05T07:00:00"/>
    <s v="Mar"/>
    <n v="3"/>
    <s v="Q1"/>
    <x v="0"/>
    <x v="0"/>
    <x v="0"/>
    <x v="0"/>
  </r>
  <r>
    <x v="1064"/>
    <x v="121"/>
    <s v="CUST0121"/>
    <x v="3"/>
    <x v="2"/>
    <x v="0"/>
    <x v="14"/>
    <n v="1"/>
    <n v="1564.68"/>
    <n v="0"/>
    <n v="1564.68"/>
    <n v="967.17"/>
    <n v="597.51"/>
    <x v="0"/>
    <n v="19"/>
    <d v="2025-05-23T19:00:00"/>
    <s v="May"/>
    <n v="5"/>
    <s v="Q2"/>
    <x v="0"/>
    <x v="0"/>
    <x v="0"/>
    <x v="0"/>
  </r>
  <r>
    <x v="1065"/>
    <x v="186"/>
    <s v="CUST0140"/>
    <x v="1"/>
    <x v="1"/>
    <x v="3"/>
    <x v="16"/>
    <n v="2"/>
    <n v="10934.92"/>
    <n v="0.05"/>
    <n v="10388.17"/>
    <n v="8069.87"/>
    <n v="2318.3000000000002"/>
    <x v="0"/>
    <n v="19"/>
    <d v="2025-06-02T19:00:00"/>
    <s v="Jun"/>
    <n v="6"/>
    <s v="Q2"/>
    <x v="0"/>
    <x v="0"/>
    <x v="0"/>
    <x v="0"/>
  </r>
  <r>
    <x v="1066"/>
    <x v="241"/>
    <s v="CUST0016"/>
    <x v="2"/>
    <x v="4"/>
    <x v="0"/>
    <x v="17"/>
    <n v="5"/>
    <n v="41446.65"/>
    <n v="0.05"/>
    <n v="39374.32"/>
    <n v="26235.26"/>
    <n v="13139.06"/>
    <x v="0"/>
    <n v="21"/>
    <d v="2025-05-25T21:00:00"/>
    <s v="May"/>
    <n v="5"/>
    <s v="Q2"/>
    <x v="0"/>
    <x v="0"/>
    <x v="0"/>
    <x v="0"/>
  </r>
  <r>
    <x v="1067"/>
    <x v="138"/>
    <s v="CUST0049"/>
    <x v="9"/>
    <x v="2"/>
    <x v="4"/>
    <x v="9"/>
    <n v="5"/>
    <n v="35218.949999999997"/>
    <n v="0.1"/>
    <n v="31697.05"/>
    <n v="24891.55"/>
    <n v="6805.5"/>
    <x v="0"/>
    <n v="11"/>
    <d v="2025-08-13T11:00:00"/>
    <s v="Aug"/>
    <n v="8"/>
    <s v="Q3"/>
    <x v="0"/>
    <x v="0"/>
    <x v="0"/>
    <x v="0"/>
  </r>
  <r>
    <x v="1068"/>
    <x v="16"/>
    <s v="CUST0164"/>
    <x v="7"/>
    <x v="2"/>
    <x v="2"/>
    <x v="3"/>
    <n v="3"/>
    <n v="1953.21"/>
    <n v="0.15"/>
    <n v="1660.23"/>
    <n v="999.53"/>
    <n v="660.7"/>
    <x v="0"/>
    <n v="45"/>
    <d v="2025-11-06T21:00:00"/>
    <s v="Nov"/>
    <n v="11"/>
    <s v="Q4"/>
    <x v="0"/>
    <x v="0"/>
    <x v="0"/>
    <x v="0"/>
  </r>
  <r>
    <x v="1069"/>
    <x v="185"/>
    <s v="CUST0062"/>
    <x v="1"/>
    <x v="6"/>
    <x v="0"/>
    <x v="17"/>
    <n v="6"/>
    <n v="19749.12"/>
    <n v="0.1"/>
    <n v="17774.21"/>
    <n v="11255.5"/>
    <n v="6518.71"/>
    <x v="0"/>
    <n v="19"/>
    <d v="2025-04-14T19:00:00"/>
    <s v="Apr"/>
    <n v="4"/>
    <s v="Q2"/>
    <x v="0"/>
    <x v="0"/>
    <x v="0"/>
    <x v="0"/>
  </r>
  <r>
    <x v="1070"/>
    <x v="185"/>
    <s v="CUST0154"/>
    <x v="5"/>
    <x v="4"/>
    <x v="1"/>
    <x v="1"/>
    <n v="5"/>
    <n v="39393.1"/>
    <n v="0.2"/>
    <n v="31514.48"/>
    <n v="18962.060000000001"/>
    <n v="12552.42"/>
    <x v="0"/>
    <n v="14"/>
    <d v="2025-04-14T14:00:00"/>
    <s v="Apr"/>
    <n v="4"/>
    <s v="Q2"/>
    <x v="0"/>
    <x v="0"/>
    <x v="0"/>
    <x v="0"/>
  </r>
  <r>
    <x v="1071"/>
    <x v="173"/>
    <s v="CUST0150"/>
    <x v="8"/>
    <x v="1"/>
    <x v="3"/>
    <x v="20"/>
    <n v="2"/>
    <n v="8700.84"/>
    <n v="0.25"/>
    <n v="6525.63"/>
    <n v="5641.15"/>
    <n v="884.48"/>
    <x v="1"/>
    <n v="2"/>
    <d v="2025-02-08T02:00:00"/>
    <s v="Feb"/>
    <n v="2"/>
    <s v="Q1"/>
    <x v="1"/>
    <x v="0"/>
    <x v="0"/>
    <x v="1"/>
  </r>
  <r>
    <x v="1072"/>
    <x v="143"/>
    <s v="CUST0073"/>
    <x v="3"/>
    <x v="2"/>
    <x v="4"/>
    <x v="13"/>
    <n v="6"/>
    <n v="34071.78"/>
    <n v="0.05"/>
    <n v="32368.19"/>
    <n v="22132.83"/>
    <n v="10235.36"/>
    <x v="2"/>
    <n v="79"/>
    <d v="2025-07-20T07:00:00"/>
    <s v="Jul"/>
    <n v="7"/>
    <s v="Q3"/>
    <x v="1"/>
    <x v="0"/>
    <x v="1"/>
    <x v="0"/>
  </r>
  <r>
    <x v="1073"/>
    <x v="133"/>
    <s v="CUST0069"/>
    <x v="3"/>
    <x v="0"/>
    <x v="1"/>
    <x v="8"/>
    <n v="6"/>
    <n v="46621.2"/>
    <n v="0.15"/>
    <n v="39628.019999999997"/>
    <n v="26205.32"/>
    <n v="13422.7"/>
    <x v="0"/>
    <n v="15"/>
    <d v="2025-05-14T15:00:00"/>
    <s v="May"/>
    <n v="5"/>
    <s v="Q2"/>
    <x v="0"/>
    <x v="0"/>
    <x v="0"/>
    <x v="0"/>
  </r>
  <r>
    <x v="1074"/>
    <x v="331"/>
    <s v="CUST0177"/>
    <x v="3"/>
    <x v="5"/>
    <x v="4"/>
    <x v="23"/>
    <n v="4"/>
    <n v="29784.76"/>
    <n v="0.15"/>
    <n v="25317.05"/>
    <n v="14043.03"/>
    <n v="11274.02"/>
    <x v="0"/>
    <n v="41"/>
    <d v="2025-03-09T17:00:00"/>
    <s v="Mar"/>
    <n v="3"/>
    <s v="Q1"/>
    <x v="0"/>
    <x v="0"/>
    <x v="0"/>
    <x v="0"/>
  </r>
  <r>
    <x v="1075"/>
    <x v="115"/>
    <s v="CUST0002"/>
    <x v="8"/>
    <x v="6"/>
    <x v="2"/>
    <x v="15"/>
    <n v="4"/>
    <n v="17360.8"/>
    <n v="0.2"/>
    <n v="13888.64"/>
    <n v="8341.9"/>
    <n v="5546.74"/>
    <x v="2"/>
    <n v="82"/>
    <d v="2025-07-01T10:00:00"/>
    <s v="Jun"/>
    <n v="6"/>
    <s v="Q2"/>
    <x v="1"/>
    <x v="0"/>
    <x v="1"/>
    <x v="0"/>
  </r>
  <r>
    <x v="1076"/>
    <x v="114"/>
    <s v="CUST0119"/>
    <x v="7"/>
    <x v="7"/>
    <x v="3"/>
    <x v="16"/>
    <n v="4"/>
    <n v="15217.4"/>
    <n v="0.05"/>
    <n v="14456.53"/>
    <n v="9960.19"/>
    <n v="4496.34"/>
    <x v="2"/>
    <n v="51"/>
    <d v="2025-02-13T03:00:00"/>
    <s v="Feb"/>
    <n v="2"/>
    <s v="Q1"/>
    <x v="1"/>
    <x v="0"/>
    <x v="1"/>
    <x v="0"/>
  </r>
  <r>
    <x v="1077"/>
    <x v="81"/>
    <s v="CUST0007"/>
    <x v="9"/>
    <x v="7"/>
    <x v="3"/>
    <x v="18"/>
    <n v="4"/>
    <n v="11945.72"/>
    <n v="0.1"/>
    <n v="10751.15"/>
    <n v="6156.17"/>
    <n v="4594.9799999999996"/>
    <x v="0"/>
    <n v="20"/>
    <d v="2025-01-15T20:00:00"/>
    <s v="Jan"/>
    <n v="1"/>
    <s v="Q1"/>
    <x v="0"/>
    <x v="0"/>
    <x v="0"/>
    <x v="0"/>
  </r>
  <r>
    <x v="1078"/>
    <x v="324"/>
    <s v="CUST0255"/>
    <x v="1"/>
    <x v="7"/>
    <x v="2"/>
    <x v="3"/>
    <n v="3"/>
    <n v="18461.43"/>
    <n v="0.05"/>
    <n v="17538.36"/>
    <n v="12602.08"/>
    <n v="4936.28"/>
    <x v="0"/>
    <n v="4"/>
    <d v="2025-04-21T04:00:00"/>
    <s v="Apr"/>
    <n v="4"/>
    <s v="Q2"/>
    <x v="0"/>
    <x v="0"/>
    <x v="0"/>
    <x v="0"/>
  </r>
  <r>
    <x v="1079"/>
    <x v="80"/>
    <s v="CUST0075"/>
    <x v="8"/>
    <x v="0"/>
    <x v="3"/>
    <x v="18"/>
    <n v="5"/>
    <n v="12731.7"/>
    <n v="0.2"/>
    <n v="10185.36"/>
    <n v="7131.33"/>
    <n v="3054.03"/>
    <x v="1"/>
    <n v="15"/>
    <d v="2025-06-06T15:00:00"/>
    <s v="Jun"/>
    <n v="6"/>
    <s v="Q2"/>
    <x v="1"/>
    <x v="0"/>
    <x v="0"/>
    <x v="1"/>
  </r>
  <r>
    <x v="1080"/>
    <x v="91"/>
    <s v="CUST0195"/>
    <x v="5"/>
    <x v="5"/>
    <x v="0"/>
    <x v="6"/>
    <n v="4"/>
    <n v="8946.24"/>
    <n v="0.05"/>
    <n v="8498.93"/>
    <n v="6826.05"/>
    <n v="1672.88"/>
    <x v="1"/>
    <n v="9"/>
    <d v="2025-10-16T09:00:00"/>
    <s v="Oct"/>
    <n v="10"/>
    <s v="Q4"/>
    <x v="1"/>
    <x v="0"/>
    <x v="0"/>
    <x v="1"/>
  </r>
  <r>
    <x v="1081"/>
    <x v="93"/>
    <s v="CUST0187"/>
    <x v="9"/>
    <x v="2"/>
    <x v="4"/>
    <x v="21"/>
    <n v="7"/>
    <n v="21872.83"/>
    <n v="0.05"/>
    <n v="20779.189999999999"/>
    <n v="15952.91"/>
    <n v="4826.28"/>
    <x v="1"/>
    <n v="10"/>
    <d v="2025-08-19T10:00:00"/>
    <s v="Aug"/>
    <n v="8"/>
    <s v="Q3"/>
    <x v="1"/>
    <x v="0"/>
    <x v="0"/>
    <x v="1"/>
  </r>
  <r>
    <x v="1082"/>
    <x v="80"/>
    <s v="CUST0003"/>
    <x v="5"/>
    <x v="1"/>
    <x v="1"/>
    <x v="4"/>
    <n v="1"/>
    <n v="1629.75"/>
    <n v="0.05"/>
    <n v="1548.26"/>
    <n v="1079.3900000000001"/>
    <n v="468.87"/>
    <x v="0"/>
    <n v="46"/>
    <d v="2025-06-07T22:00:00"/>
    <s v="Jun"/>
    <n v="6"/>
    <s v="Q2"/>
    <x v="0"/>
    <x v="0"/>
    <x v="0"/>
    <x v="0"/>
  </r>
  <r>
    <x v="1083"/>
    <x v="194"/>
    <s v="CUST0184"/>
    <x v="9"/>
    <x v="7"/>
    <x v="2"/>
    <x v="15"/>
    <n v="4"/>
    <n v="23817"/>
    <n v="0.05"/>
    <n v="22626.15"/>
    <n v="14121.84"/>
    <n v="8504.31"/>
    <x v="0"/>
    <n v="27"/>
    <d v="2025-02-08T03:00:00"/>
    <s v="Feb"/>
    <n v="2"/>
    <s v="Q1"/>
    <x v="0"/>
    <x v="0"/>
    <x v="0"/>
    <x v="0"/>
  </r>
  <r>
    <x v="1084"/>
    <x v="166"/>
    <s v="CUST0273"/>
    <x v="7"/>
    <x v="4"/>
    <x v="0"/>
    <x v="14"/>
    <n v="5"/>
    <n v="26478.05"/>
    <n v="0.1"/>
    <n v="23830.240000000002"/>
    <n v="18822.669999999998"/>
    <n v="5007.57"/>
    <x v="1"/>
    <n v="12"/>
    <d v="2025-04-07T12:00:00"/>
    <s v="Apr"/>
    <n v="4"/>
    <s v="Q2"/>
    <x v="1"/>
    <x v="0"/>
    <x v="0"/>
    <x v="1"/>
  </r>
  <r>
    <x v="1085"/>
    <x v="91"/>
    <s v="CUST0052"/>
    <x v="2"/>
    <x v="7"/>
    <x v="1"/>
    <x v="5"/>
    <n v="4"/>
    <n v="16728.16"/>
    <n v="0"/>
    <n v="16728.16"/>
    <n v="13108.09"/>
    <n v="3620.07"/>
    <x v="2"/>
    <n v="54"/>
    <d v="2025-10-18T06:00:00"/>
    <s v="Oct"/>
    <n v="10"/>
    <s v="Q4"/>
    <x v="1"/>
    <x v="0"/>
    <x v="1"/>
    <x v="0"/>
  </r>
  <r>
    <x v="1086"/>
    <x v="180"/>
    <s v="CUST0263"/>
    <x v="5"/>
    <x v="2"/>
    <x v="1"/>
    <x v="10"/>
    <n v="3"/>
    <n v="10227.66"/>
    <n v="0.05"/>
    <n v="9716.2800000000007"/>
    <n v="5835.48"/>
    <n v="3880.8"/>
    <x v="2"/>
    <n v="91"/>
    <d v="2025-09-14T19:00:00"/>
    <s v="Sep"/>
    <n v="9"/>
    <s v="Q3"/>
    <x v="1"/>
    <x v="0"/>
    <x v="1"/>
    <x v="0"/>
  </r>
  <r>
    <x v="1087"/>
    <x v="235"/>
    <s v="CUST0133"/>
    <x v="8"/>
    <x v="3"/>
    <x v="2"/>
    <x v="3"/>
    <n v="2"/>
    <n v="15481.34"/>
    <n v="0.2"/>
    <n v="12385.07"/>
    <n v="10550.45"/>
    <n v="1834.62"/>
    <x v="3"/>
    <n v="15"/>
    <d v="2025-07-15T15:00:00"/>
    <s v="Jul"/>
    <n v="7"/>
    <s v="Q3"/>
    <x v="1"/>
    <x v="1"/>
    <x v="0"/>
    <x v="0"/>
  </r>
  <r>
    <x v="1088"/>
    <x v="129"/>
    <s v="CUST0225"/>
    <x v="9"/>
    <x v="0"/>
    <x v="0"/>
    <x v="0"/>
    <n v="2"/>
    <n v="786.36"/>
    <n v="0.05"/>
    <n v="747.04"/>
    <n v="426.75"/>
    <n v="320.29000000000002"/>
    <x v="3"/>
    <n v="14"/>
    <d v="2025-03-27T14:00:00"/>
    <s v="Mar"/>
    <n v="3"/>
    <s v="Q1"/>
    <x v="1"/>
    <x v="1"/>
    <x v="0"/>
    <x v="0"/>
  </r>
  <r>
    <x v="1089"/>
    <x v="231"/>
    <s v="CUST0061"/>
    <x v="3"/>
    <x v="3"/>
    <x v="1"/>
    <x v="8"/>
    <n v="5"/>
    <n v="32860.25"/>
    <n v="0.15"/>
    <n v="27931.21"/>
    <n v="15869.46"/>
    <n v="12061.75"/>
    <x v="0"/>
    <n v="28"/>
    <d v="2025-11-19T04:00:00"/>
    <s v="Nov"/>
    <n v="11"/>
    <s v="Q4"/>
    <x v="0"/>
    <x v="0"/>
    <x v="0"/>
    <x v="0"/>
  </r>
  <r>
    <x v="1090"/>
    <x v="264"/>
    <s v="CUST0016"/>
    <x v="6"/>
    <x v="7"/>
    <x v="1"/>
    <x v="5"/>
    <n v="7"/>
    <n v="53766.58"/>
    <n v="0"/>
    <n v="53766.58"/>
    <n v="32895.769999999997"/>
    <n v="20870.810000000001"/>
    <x v="0"/>
    <n v="13"/>
    <d v="2025-01-10T13:00:00"/>
    <s v="Jan"/>
    <n v="1"/>
    <s v="Q1"/>
    <x v="0"/>
    <x v="0"/>
    <x v="0"/>
    <x v="0"/>
  </r>
  <r>
    <x v="1091"/>
    <x v="109"/>
    <s v="CUST0229"/>
    <x v="3"/>
    <x v="5"/>
    <x v="0"/>
    <x v="17"/>
    <n v="2"/>
    <n v="7754.12"/>
    <n v="0.05"/>
    <n v="7366.41"/>
    <n v="6262.35"/>
    <n v="1104.06"/>
    <x v="0"/>
    <n v="22"/>
    <d v="2025-01-05T22:00:00"/>
    <s v="Jan"/>
    <n v="1"/>
    <s v="Q1"/>
    <x v="0"/>
    <x v="0"/>
    <x v="0"/>
    <x v="0"/>
  </r>
  <r>
    <x v="1092"/>
    <x v="161"/>
    <s v="CUST0195"/>
    <x v="4"/>
    <x v="2"/>
    <x v="3"/>
    <x v="12"/>
    <n v="2"/>
    <n v="9496.5400000000009"/>
    <n v="0.15"/>
    <n v="8072.06"/>
    <n v="5824.79"/>
    <n v="2247.27"/>
    <x v="0"/>
    <n v="48"/>
    <d v="2025-05-05T00:00:00"/>
    <s v="May"/>
    <n v="5"/>
    <s v="Q2"/>
    <x v="0"/>
    <x v="0"/>
    <x v="0"/>
    <x v="0"/>
  </r>
  <r>
    <x v="1093"/>
    <x v="269"/>
    <s v="CUST0251"/>
    <x v="2"/>
    <x v="7"/>
    <x v="1"/>
    <x v="10"/>
    <n v="1"/>
    <n v="8036.27"/>
    <n v="0.15"/>
    <n v="6830.83"/>
    <n v="5533.11"/>
    <n v="1297.72"/>
    <x v="0"/>
    <n v="18"/>
    <d v="2025-11-26T18:00:00"/>
    <s v="Nov"/>
    <n v="11"/>
    <s v="Q4"/>
    <x v="0"/>
    <x v="0"/>
    <x v="0"/>
    <x v="0"/>
  </r>
  <r>
    <x v="1094"/>
    <x v="338"/>
    <s v="CUST0048"/>
    <x v="2"/>
    <x v="3"/>
    <x v="4"/>
    <x v="23"/>
    <n v="5"/>
    <n v="9612.6"/>
    <n v="0.05"/>
    <n v="9131.9699999999993"/>
    <n v="5709.2"/>
    <n v="3422.77"/>
    <x v="1"/>
    <n v="15"/>
    <d v="2025-12-19T15:00:00"/>
    <s v="Dec"/>
    <n v="12"/>
    <s v="Q4"/>
    <x v="1"/>
    <x v="0"/>
    <x v="0"/>
    <x v="1"/>
  </r>
  <r>
    <x v="1095"/>
    <x v="250"/>
    <s v="CUST0235"/>
    <x v="3"/>
    <x v="2"/>
    <x v="0"/>
    <x v="17"/>
    <n v="7"/>
    <n v="31451.91"/>
    <n v="0.25"/>
    <n v="23588.93"/>
    <n v="16789.97"/>
    <n v="6798.96"/>
    <x v="0"/>
    <n v="5"/>
    <d v="2025-04-28T05:00:00"/>
    <s v="Apr"/>
    <n v="4"/>
    <s v="Q2"/>
    <x v="0"/>
    <x v="0"/>
    <x v="0"/>
    <x v="0"/>
  </r>
  <r>
    <x v="1096"/>
    <x v="19"/>
    <s v="CUST0121"/>
    <x v="1"/>
    <x v="0"/>
    <x v="1"/>
    <x v="5"/>
    <n v="5"/>
    <n v="20569.599999999999"/>
    <n v="0.2"/>
    <n v="16455.68"/>
    <n v="10996.27"/>
    <n v="5459.41"/>
    <x v="2"/>
    <n v="60"/>
    <d v="2025-10-23T12:00:00"/>
    <s v="Oct"/>
    <n v="10"/>
    <s v="Q4"/>
    <x v="1"/>
    <x v="0"/>
    <x v="1"/>
    <x v="0"/>
  </r>
  <r>
    <x v="1097"/>
    <x v="339"/>
    <s v="CUST0050"/>
    <x v="7"/>
    <x v="0"/>
    <x v="2"/>
    <x v="24"/>
    <n v="2"/>
    <n v="4615.16"/>
    <n v="0.25"/>
    <n v="3461.37"/>
    <n v="2849.34"/>
    <n v="612.03"/>
    <x v="0"/>
    <n v="7"/>
    <d v="2025-06-08T07:00:00"/>
    <s v="Jun"/>
    <n v="6"/>
    <s v="Q2"/>
    <x v="0"/>
    <x v="0"/>
    <x v="0"/>
    <x v="0"/>
  </r>
  <r>
    <x v="1098"/>
    <x v="301"/>
    <s v="CUST0041"/>
    <x v="5"/>
    <x v="7"/>
    <x v="4"/>
    <x v="9"/>
    <n v="2"/>
    <n v="13970.5"/>
    <n v="0.05"/>
    <n v="13271.97"/>
    <n v="7398.59"/>
    <n v="5873.38"/>
    <x v="0"/>
    <n v="32"/>
    <d v="2025-10-31T08:00:00"/>
    <s v="Oct"/>
    <n v="10"/>
    <s v="Q4"/>
    <x v="0"/>
    <x v="0"/>
    <x v="0"/>
    <x v="0"/>
  </r>
  <r>
    <x v="1099"/>
    <x v="307"/>
    <s v="CUST0022"/>
    <x v="8"/>
    <x v="0"/>
    <x v="1"/>
    <x v="5"/>
    <n v="2"/>
    <n v="15323.32"/>
    <n v="0"/>
    <n v="15323.32"/>
    <n v="9660.86"/>
    <n v="5662.46"/>
    <x v="2"/>
    <n v="94"/>
    <d v="2025-08-19T22:00:00"/>
    <s v="Aug"/>
    <n v="8"/>
    <s v="Q3"/>
    <x v="1"/>
    <x v="0"/>
    <x v="1"/>
    <x v="0"/>
  </r>
  <r>
    <x v="1100"/>
    <x v="196"/>
    <s v="CUST0182"/>
    <x v="2"/>
    <x v="6"/>
    <x v="4"/>
    <x v="13"/>
    <n v="6"/>
    <n v="40074.839999999997"/>
    <n v="0.1"/>
    <n v="36067.360000000001"/>
    <n v="21653.02"/>
    <n v="14414.34"/>
    <x v="0"/>
    <n v="20"/>
    <d v="2025-12-31T20:00:00"/>
    <s v="Dec"/>
    <n v="12"/>
    <s v="Q4"/>
    <x v="0"/>
    <x v="0"/>
    <x v="0"/>
    <x v="0"/>
  </r>
  <r>
    <x v="1101"/>
    <x v="101"/>
    <s v="CUST0005"/>
    <x v="3"/>
    <x v="2"/>
    <x v="4"/>
    <x v="21"/>
    <n v="3"/>
    <n v="5343.75"/>
    <n v="0.1"/>
    <n v="4809.38"/>
    <n v="4008.77"/>
    <n v="800.61"/>
    <x v="0"/>
    <n v="13"/>
    <d v="2025-08-04T13:00:00"/>
    <s v="Aug"/>
    <n v="8"/>
    <s v="Q3"/>
    <x v="0"/>
    <x v="0"/>
    <x v="0"/>
    <x v="0"/>
  </r>
  <r>
    <x v="1102"/>
    <x v="160"/>
    <s v="CUST0145"/>
    <x v="3"/>
    <x v="5"/>
    <x v="3"/>
    <x v="7"/>
    <n v="4"/>
    <n v="3497.4"/>
    <n v="0"/>
    <n v="3497.4"/>
    <n v="2463.1799999999998"/>
    <n v="1034.22"/>
    <x v="0"/>
    <n v="30"/>
    <d v="2025-07-04T06:00:00"/>
    <s v="Jul"/>
    <n v="7"/>
    <s v="Q3"/>
    <x v="0"/>
    <x v="0"/>
    <x v="0"/>
    <x v="0"/>
  </r>
  <r>
    <x v="1103"/>
    <x v="81"/>
    <s v="CUST0078"/>
    <x v="7"/>
    <x v="2"/>
    <x v="4"/>
    <x v="21"/>
    <n v="3"/>
    <n v="15616.38"/>
    <n v="0.15"/>
    <n v="13273.92"/>
    <n v="9071.2999999999993"/>
    <n v="4202.62"/>
    <x v="3"/>
    <n v="16"/>
    <d v="2025-01-15T16:00:00"/>
    <s v="Jan"/>
    <n v="1"/>
    <s v="Q1"/>
    <x v="1"/>
    <x v="1"/>
    <x v="0"/>
    <x v="0"/>
  </r>
  <r>
    <x v="1104"/>
    <x v="80"/>
    <s v="CUST0231"/>
    <x v="7"/>
    <x v="0"/>
    <x v="3"/>
    <x v="18"/>
    <n v="5"/>
    <n v="3133.7"/>
    <n v="0"/>
    <n v="3133.7"/>
    <n v="2188.35"/>
    <n v="945.35"/>
    <x v="0"/>
    <n v="18"/>
    <d v="2025-06-06T18:00:00"/>
    <s v="Jun"/>
    <n v="6"/>
    <s v="Q2"/>
    <x v="0"/>
    <x v="0"/>
    <x v="0"/>
    <x v="0"/>
  </r>
  <r>
    <x v="1105"/>
    <x v="87"/>
    <s v="CUST0297"/>
    <x v="0"/>
    <x v="2"/>
    <x v="0"/>
    <x v="19"/>
    <n v="1"/>
    <n v="5768.1"/>
    <n v="0.1"/>
    <n v="5191.29"/>
    <n v="4520.24"/>
    <n v="671.05"/>
    <x v="0"/>
    <n v="47"/>
    <d v="2025-05-17T23:00:00"/>
    <s v="May"/>
    <n v="5"/>
    <s v="Q2"/>
    <x v="0"/>
    <x v="0"/>
    <x v="0"/>
    <x v="0"/>
  </r>
  <r>
    <x v="1106"/>
    <x v="92"/>
    <s v="CUST0209"/>
    <x v="0"/>
    <x v="3"/>
    <x v="3"/>
    <x v="12"/>
    <n v="4"/>
    <n v="18316.16"/>
    <n v="0.05"/>
    <n v="17400.349999999999"/>
    <n v="14452.53"/>
    <n v="2947.82"/>
    <x v="0"/>
    <n v="34"/>
    <d v="2025-09-19T10:00:00"/>
    <s v="Sep"/>
    <n v="9"/>
    <s v="Q3"/>
    <x v="0"/>
    <x v="0"/>
    <x v="0"/>
    <x v="0"/>
  </r>
  <r>
    <x v="1107"/>
    <x v="80"/>
    <s v="CUST0163"/>
    <x v="1"/>
    <x v="1"/>
    <x v="2"/>
    <x v="3"/>
    <n v="1"/>
    <n v="5684.26"/>
    <n v="0.15"/>
    <n v="4831.62"/>
    <n v="3783.65"/>
    <n v="1047.97"/>
    <x v="0"/>
    <n v="24"/>
    <d v="2025-06-07T00:00:00"/>
    <s v="Jun"/>
    <n v="6"/>
    <s v="Q2"/>
    <x v="0"/>
    <x v="0"/>
    <x v="0"/>
    <x v="0"/>
  </r>
  <r>
    <x v="1108"/>
    <x v="238"/>
    <s v="CUST0168"/>
    <x v="1"/>
    <x v="3"/>
    <x v="1"/>
    <x v="1"/>
    <n v="7"/>
    <n v="35545.51"/>
    <n v="0.05"/>
    <n v="33768.230000000003"/>
    <n v="21809.48"/>
    <n v="11958.75"/>
    <x v="1"/>
    <n v="3"/>
    <d v="2025-02-16T03:00:00"/>
    <s v="Feb"/>
    <n v="2"/>
    <s v="Q1"/>
    <x v="1"/>
    <x v="0"/>
    <x v="0"/>
    <x v="1"/>
  </r>
  <r>
    <x v="1109"/>
    <x v="158"/>
    <s v="CUST0278"/>
    <x v="4"/>
    <x v="4"/>
    <x v="0"/>
    <x v="6"/>
    <n v="6"/>
    <n v="22077.42"/>
    <n v="0.15"/>
    <n v="18765.810000000001"/>
    <n v="11344.07"/>
    <n v="7421.74"/>
    <x v="0"/>
    <n v="48"/>
    <d v="2025-11-22T00:00:00"/>
    <s v="Nov"/>
    <n v="11"/>
    <s v="Q4"/>
    <x v="0"/>
    <x v="0"/>
    <x v="0"/>
    <x v="0"/>
  </r>
  <r>
    <x v="1110"/>
    <x v="340"/>
    <s v="CUST0237"/>
    <x v="1"/>
    <x v="6"/>
    <x v="0"/>
    <x v="14"/>
    <n v="5"/>
    <n v="9136.6"/>
    <n v="0.1"/>
    <n v="8222.94"/>
    <n v="7022.99"/>
    <n v="1199.95"/>
    <x v="1"/>
    <n v="15"/>
    <d v="2025-11-28T15:00:00"/>
    <s v="Nov"/>
    <n v="11"/>
    <s v="Q4"/>
    <x v="1"/>
    <x v="0"/>
    <x v="0"/>
    <x v="1"/>
  </r>
  <r>
    <x v="1111"/>
    <x v="226"/>
    <s v="CUST0176"/>
    <x v="9"/>
    <x v="1"/>
    <x v="2"/>
    <x v="24"/>
    <n v="6"/>
    <n v="16215.66"/>
    <n v="0.15"/>
    <n v="13783.31"/>
    <n v="9505.18"/>
    <n v="4278.13"/>
    <x v="0"/>
    <n v="41"/>
    <d v="2025-06-23T17:00:00"/>
    <s v="Jun"/>
    <n v="6"/>
    <s v="Q2"/>
    <x v="0"/>
    <x v="0"/>
    <x v="0"/>
    <x v="0"/>
  </r>
  <r>
    <x v="1112"/>
    <x v="152"/>
    <s v="CUST0053"/>
    <x v="7"/>
    <x v="7"/>
    <x v="3"/>
    <x v="20"/>
    <n v="5"/>
    <n v="22647.9"/>
    <n v="0.25"/>
    <n v="16985.93"/>
    <n v="10904.79"/>
    <n v="6081.14"/>
    <x v="0"/>
    <n v="39"/>
    <d v="2025-05-11T15:00:00"/>
    <s v="May"/>
    <n v="5"/>
    <s v="Q2"/>
    <x v="0"/>
    <x v="0"/>
    <x v="0"/>
    <x v="0"/>
  </r>
  <r>
    <x v="1113"/>
    <x v="206"/>
    <s v="CUST0010"/>
    <x v="8"/>
    <x v="2"/>
    <x v="1"/>
    <x v="4"/>
    <n v="1"/>
    <n v="5593.1"/>
    <n v="0.1"/>
    <n v="5033.79"/>
    <n v="3550.85"/>
    <n v="1482.94"/>
    <x v="0"/>
    <n v="20"/>
    <d v="2025-04-05T20:00:00"/>
    <s v="Apr"/>
    <n v="4"/>
    <s v="Q2"/>
    <x v="0"/>
    <x v="0"/>
    <x v="0"/>
    <x v="0"/>
  </r>
  <r>
    <x v="1114"/>
    <x v="275"/>
    <s v="CUST0146"/>
    <x v="9"/>
    <x v="5"/>
    <x v="3"/>
    <x v="18"/>
    <n v="1"/>
    <n v="6658.68"/>
    <n v="0.25"/>
    <n v="4994.01"/>
    <n v="4259.34"/>
    <n v="734.67"/>
    <x v="0"/>
    <n v="6"/>
    <d v="2025-04-25T06:00:00"/>
    <s v="Apr"/>
    <n v="4"/>
    <s v="Q2"/>
    <x v="0"/>
    <x v="0"/>
    <x v="0"/>
    <x v="0"/>
  </r>
  <r>
    <x v="1115"/>
    <x v="128"/>
    <s v="CUST0227"/>
    <x v="5"/>
    <x v="4"/>
    <x v="4"/>
    <x v="9"/>
    <n v="1"/>
    <n v="6555.88"/>
    <n v="0"/>
    <n v="6555.88"/>
    <n v="4443.13"/>
    <n v="2112.75"/>
    <x v="0"/>
    <n v="17"/>
    <d v="2025-08-31T17:00:00"/>
    <s v="Aug"/>
    <n v="8"/>
    <s v="Q3"/>
    <x v="0"/>
    <x v="0"/>
    <x v="0"/>
    <x v="0"/>
  </r>
  <r>
    <x v="1116"/>
    <x v="296"/>
    <s v="CUST0236"/>
    <x v="3"/>
    <x v="4"/>
    <x v="3"/>
    <x v="20"/>
    <n v="5"/>
    <n v="41359.75"/>
    <n v="0.05"/>
    <n v="39291.760000000002"/>
    <n v="28905.83"/>
    <n v="10385.93"/>
    <x v="0"/>
    <n v="16"/>
    <d v="2025-10-19T16:00:00"/>
    <s v="Oct"/>
    <n v="10"/>
    <s v="Q4"/>
    <x v="0"/>
    <x v="0"/>
    <x v="0"/>
    <x v="0"/>
  </r>
  <r>
    <x v="1117"/>
    <x v="313"/>
    <s v="CUST0242"/>
    <x v="1"/>
    <x v="5"/>
    <x v="0"/>
    <x v="19"/>
    <n v="2"/>
    <n v="5073.5600000000004"/>
    <n v="0"/>
    <n v="5073.5600000000004"/>
    <n v="4134.84"/>
    <n v="938.72"/>
    <x v="3"/>
    <n v="3"/>
    <d v="2025-10-09T03:00:00"/>
    <s v="Oct"/>
    <n v="10"/>
    <s v="Q4"/>
    <x v="1"/>
    <x v="1"/>
    <x v="0"/>
    <x v="0"/>
  </r>
  <r>
    <x v="1118"/>
    <x v="220"/>
    <s v="CUST0071"/>
    <x v="3"/>
    <x v="6"/>
    <x v="1"/>
    <x v="8"/>
    <n v="1"/>
    <n v="743.77"/>
    <n v="0.05"/>
    <n v="706.58"/>
    <n v="488.21"/>
    <n v="218.37"/>
    <x v="0"/>
    <n v="30"/>
    <d v="2025-10-27T06:00:00"/>
    <s v="Oct"/>
    <n v="10"/>
    <s v="Q4"/>
    <x v="0"/>
    <x v="0"/>
    <x v="0"/>
    <x v="0"/>
  </r>
  <r>
    <x v="1119"/>
    <x v="112"/>
    <s v="CUST0158"/>
    <x v="2"/>
    <x v="1"/>
    <x v="3"/>
    <x v="20"/>
    <n v="6"/>
    <n v="18217.439999999999"/>
    <n v="0.15"/>
    <n v="15484.82"/>
    <n v="9710.0499999999993"/>
    <n v="5774.77"/>
    <x v="0"/>
    <n v="4"/>
    <d v="2025-10-10T04:00:00"/>
    <s v="Oct"/>
    <n v="10"/>
    <s v="Q4"/>
    <x v="0"/>
    <x v="0"/>
    <x v="0"/>
    <x v="0"/>
  </r>
  <r>
    <x v="1120"/>
    <x v="252"/>
    <s v="CUST0019"/>
    <x v="4"/>
    <x v="4"/>
    <x v="1"/>
    <x v="10"/>
    <n v="7"/>
    <n v="44495.57"/>
    <n v="0"/>
    <n v="44495.57"/>
    <n v="39075.72"/>
    <n v="5419.85"/>
    <x v="2"/>
    <n v="70"/>
    <d v="2025-03-12T22:00:00"/>
    <s v="Mar"/>
    <n v="3"/>
    <s v="Q1"/>
    <x v="1"/>
    <x v="0"/>
    <x v="1"/>
    <x v="0"/>
  </r>
  <r>
    <x v="1121"/>
    <x v="169"/>
    <s v="CUST0055"/>
    <x v="2"/>
    <x v="5"/>
    <x v="1"/>
    <x v="8"/>
    <n v="4"/>
    <n v="15232.92"/>
    <n v="0.1"/>
    <n v="13709.63"/>
    <n v="11867.99"/>
    <n v="1841.64"/>
    <x v="0"/>
    <n v="37"/>
    <d v="2025-05-29T13:00:00"/>
    <s v="May"/>
    <n v="5"/>
    <s v="Q2"/>
    <x v="0"/>
    <x v="0"/>
    <x v="0"/>
    <x v="0"/>
  </r>
  <r>
    <x v="1122"/>
    <x v="341"/>
    <s v="CUST0215"/>
    <x v="4"/>
    <x v="1"/>
    <x v="4"/>
    <x v="23"/>
    <n v="5"/>
    <n v="34892.65"/>
    <n v="0.1"/>
    <n v="31403.38"/>
    <n v="26012.93"/>
    <n v="5390.45"/>
    <x v="0"/>
    <n v="17"/>
    <d v="2025-01-11T17:00:00"/>
    <s v="Jan"/>
    <n v="1"/>
    <s v="Q1"/>
    <x v="0"/>
    <x v="0"/>
    <x v="0"/>
    <x v="0"/>
  </r>
  <r>
    <x v="1123"/>
    <x v="180"/>
    <s v="CUST0209"/>
    <x v="0"/>
    <x v="1"/>
    <x v="4"/>
    <x v="13"/>
    <n v="6"/>
    <n v="28421.279999999999"/>
    <n v="0.1"/>
    <n v="25579.15"/>
    <n v="19879.18"/>
    <n v="5699.97"/>
    <x v="2"/>
    <n v="86"/>
    <d v="2025-09-14T14:00:00"/>
    <s v="Sep"/>
    <n v="9"/>
    <s v="Q3"/>
    <x v="1"/>
    <x v="0"/>
    <x v="1"/>
    <x v="0"/>
  </r>
  <r>
    <x v="1124"/>
    <x v="269"/>
    <s v="CUST0021"/>
    <x v="3"/>
    <x v="0"/>
    <x v="0"/>
    <x v="17"/>
    <n v="3"/>
    <n v="23741.279999999999"/>
    <n v="0.1"/>
    <n v="21367.15"/>
    <n v="13831.08"/>
    <n v="7536.07"/>
    <x v="0"/>
    <n v="6"/>
    <d v="2025-11-26T06:00:00"/>
    <s v="Nov"/>
    <n v="11"/>
    <s v="Q4"/>
    <x v="0"/>
    <x v="0"/>
    <x v="0"/>
    <x v="0"/>
  </r>
  <r>
    <x v="1125"/>
    <x v="12"/>
    <s v="CUST0282"/>
    <x v="4"/>
    <x v="4"/>
    <x v="2"/>
    <x v="3"/>
    <n v="7"/>
    <n v="56452.62"/>
    <n v="0.15"/>
    <n v="47984.73"/>
    <n v="40855.46"/>
    <n v="7129.27"/>
    <x v="2"/>
    <n v="82"/>
    <d v="2025-12-29T10:00:00"/>
    <s v="Dec"/>
    <n v="12"/>
    <s v="Q4"/>
    <x v="1"/>
    <x v="0"/>
    <x v="1"/>
    <x v="0"/>
  </r>
  <r>
    <x v="1126"/>
    <x v="194"/>
    <s v="CUST0249"/>
    <x v="6"/>
    <x v="1"/>
    <x v="1"/>
    <x v="10"/>
    <n v="3"/>
    <n v="2186.0700000000002"/>
    <n v="0"/>
    <n v="2186.0700000000002"/>
    <n v="1401.13"/>
    <n v="784.94"/>
    <x v="0"/>
    <n v="43"/>
    <d v="2025-02-08T19:00:00"/>
    <s v="Feb"/>
    <n v="2"/>
    <s v="Q1"/>
    <x v="0"/>
    <x v="0"/>
    <x v="0"/>
    <x v="0"/>
  </r>
  <r>
    <x v="1127"/>
    <x v="133"/>
    <s v="CUST0028"/>
    <x v="9"/>
    <x v="6"/>
    <x v="2"/>
    <x v="24"/>
    <n v="4"/>
    <n v="15844.2"/>
    <n v="0.05"/>
    <n v="15051.99"/>
    <n v="12256.34"/>
    <n v="2795.65"/>
    <x v="3"/>
    <n v="7"/>
    <d v="2025-05-14T07:00:00"/>
    <s v="May"/>
    <n v="5"/>
    <s v="Q2"/>
    <x v="1"/>
    <x v="1"/>
    <x v="0"/>
    <x v="0"/>
  </r>
  <r>
    <x v="1128"/>
    <x v="342"/>
    <s v="CUST0296"/>
    <x v="4"/>
    <x v="4"/>
    <x v="0"/>
    <x v="6"/>
    <n v="2"/>
    <n v="10481.799999999999"/>
    <n v="0.1"/>
    <n v="9433.6200000000008"/>
    <n v="8047.12"/>
    <n v="1386.5"/>
    <x v="2"/>
    <n v="63"/>
    <d v="2025-07-21T15:00:00"/>
    <s v="Jul"/>
    <n v="7"/>
    <s v="Q3"/>
    <x v="1"/>
    <x v="0"/>
    <x v="1"/>
    <x v="0"/>
  </r>
  <r>
    <x v="1129"/>
    <x v="262"/>
    <s v="CUST0211"/>
    <x v="4"/>
    <x v="6"/>
    <x v="1"/>
    <x v="4"/>
    <n v="1"/>
    <n v="2286.54"/>
    <n v="0.1"/>
    <n v="2057.89"/>
    <n v="1541.34"/>
    <n v="516.54999999999995"/>
    <x v="0"/>
    <n v="37"/>
    <d v="2025-01-24T13:00:00"/>
    <s v="Jan"/>
    <n v="1"/>
    <s v="Q1"/>
    <x v="0"/>
    <x v="0"/>
    <x v="0"/>
    <x v="0"/>
  </r>
  <r>
    <x v="1130"/>
    <x v="301"/>
    <s v="CUST0285"/>
    <x v="9"/>
    <x v="6"/>
    <x v="1"/>
    <x v="1"/>
    <n v="5"/>
    <n v="17745.45"/>
    <n v="0.05"/>
    <n v="16858.18"/>
    <n v="13739.56"/>
    <n v="3118.62"/>
    <x v="0"/>
    <n v="29"/>
    <d v="2025-10-31T05:00:00"/>
    <s v="Oct"/>
    <n v="10"/>
    <s v="Q4"/>
    <x v="0"/>
    <x v="0"/>
    <x v="0"/>
    <x v="0"/>
  </r>
  <r>
    <x v="1131"/>
    <x v="49"/>
    <s v="CUST0020"/>
    <x v="3"/>
    <x v="1"/>
    <x v="2"/>
    <x v="11"/>
    <n v="6"/>
    <n v="34851.839999999997"/>
    <n v="0.2"/>
    <n v="27881.47"/>
    <n v="22619.1"/>
    <n v="5262.37"/>
    <x v="0"/>
    <n v="34"/>
    <d v="2025-12-13T10:00:00"/>
    <s v="Dec"/>
    <n v="12"/>
    <s v="Q4"/>
    <x v="0"/>
    <x v="0"/>
    <x v="0"/>
    <x v="0"/>
  </r>
  <r>
    <x v="1132"/>
    <x v="204"/>
    <s v="CUST0020"/>
    <x v="3"/>
    <x v="1"/>
    <x v="3"/>
    <x v="12"/>
    <n v="1"/>
    <n v="2043.23"/>
    <n v="0.05"/>
    <n v="1941.07"/>
    <n v="1191.32"/>
    <n v="749.75"/>
    <x v="2"/>
    <n v="76"/>
    <d v="2025-11-01T04:00:00"/>
    <s v="Oct"/>
    <n v="10"/>
    <s v="Q4"/>
    <x v="1"/>
    <x v="0"/>
    <x v="1"/>
    <x v="0"/>
  </r>
  <r>
    <x v="1133"/>
    <x v="329"/>
    <s v="CUST0120"/>
    <x v="9"/>
    <x v="0"/>
    <x v="4"/>
    <x v="22"/>
    <n v="6"/>
    <n v="31059.24"/>
    <n v="0.05"/>
    <n v="29506.28"/>
    <n v="22732.080000000002"/>
    <n v="6774.2"/>
    <x v="0"/>
    <n v="33"/>
    <d v="2025-12-30T09:00:00"/>
    <s v="Dec"/>
    <n v="12"/>
    <s v="Q4"/>
    <x v="0"/>
    <x v="0"/>
    <x v="0"/>
    <x v="0"/>
  </r>
  <r>
    <x v="1134"/>
    <x v="64"/>
    <s v="CUST0097"/>
    <x v="2"/>
    <x v="5"/>
    <x v="3"/>
    <x v="16"/>
    <n v="5"/>
    <n v="29868.45"/>
    <n v="0"/>
    <n v="29868.45"/>
    <n v="17348.919999999998"/>
    <n v="12519.53"/>
    <x v="0"/>
    <n v="23"/>
    <d v="2025-08-06T23:00:00"/>
    <s v="Aug"/>
    <n v="8"/>
    <s v="Q3"/>
    <x v="0"/>
    <x v="0"/>
    <x v="0"/>
    <x v="0"/>
  </r>
  <r>
    <x v="1135"/>
    <x v="294"/>
    <s v="CUST0120"/>
    <x v="6"/>
    <x v="2"/>
    <x v="2"/>
    <x v="3"/>
    <n v="3"/>
    <n v="2716.92"/>
    <n v="0.1"/>
    <n v="2445.23"/>
    <n v="1754.67"/>
    <n v="690.56"/>
    <x v="3"/>
    <n v="16"/>
    <d v="2025-05-21T16:00:00"/>
    <s v="May"/>
    <n v="5"/>
    <s v="Q2"/>
    <x v="1"/>
    <x v="1"/>
    <x v="0"/>
    <x v="0"/>
  </r>
  <r>
    <x v="1136"/>
    <x v="185"/>
    <s v="CUST0025"/>
    <x v="8"/>
    <x v="0"/>
    <x v="4"/>
    <x v="23"/>
    <n v="1"/>
    <n v="4304.37"/>
    <n v="0.15"/>
    <n v="3658.71"/>
    <n v="2208.17"/>
    <n v="1450.54"/>
    <x v="0"/>
    <n v="32"/>
    <d v="2025-04-15T08:00:00"/>
    <s v="Apr"/>
    <n v="4"/>
    <s v="Q2"/>
    <x v="0"/>
    <x v="0"/>
    <x v="0"/>
    <x v="0"/>
  </r>
  <r>
    <x v="1137"/>
    <x v="343"/>
    <s v="CUST0153"/>
    <x v="5"/>
    <x v="4"/>
    <x v="3"/>
    <x v="7"/>
    <n v="4"/>
    <n v="9386.8799999999992"/>
    <n v="0"/>
    <n v="9386.8799999999992"/>
    <n v="6452.5"/>
    <n v="2934.38"/>
    <x v="1"/>
    <n v="11"/>
    <d v="2025-07-29T11:00:00"/>
    <s v="Jul"/>
    <n v="7"/>
    <s v="Q3"/>
    <x v="1"/>
    <x v="0"/>
    <x v="0"/>
    <x v="1"/>
  </r>
  <r>
    <x v="1138"/>
    <x v="324"/>
    <s v="CUST0245"/>
    <x v="6"/>
    <x v="0"/>
    <x v="4"/>
    <x v="23"/>
    <n v="2"/>
    <n v="12397.26"/>
    <n v="0.05"/>
    <n v="11777.4"/>
    <n v="9714.99"/>
    <n v="2062.41"/>
    <x v="0"/>
    <n v="41"/>
    <d v="2025-04-22T17:00:00"/>
    <s v="Apr"/>
    <n v="4"/>
    <s v="Q2"/>
    <x v="0"/>
    <x v="0"/>
    <x v="0"/>
    <x v="0"/>
  </r>
  <r>
    <x v="1139"/>
    <x v="185"/>
    <s v="CUST0260"/>
    <x v="3"/>
    <x v="7"/>
    <x v="1"/>
    <x v="8"/>
    <n v="4"/>
    <n v="6931.16"/>
    <n v="0.15"/>
    <n v="5891.49"/>
    <n v="5159.5600000000004"/>
    <n v="731.93"/>
    <x v="0"/>
    <n v="47"/>
    <d v="2025-04-15T23:00:00"/>
    <s v="Apr"/>
    <n v="4"/>
    <s v="Q2"/>
    <x v="0"/>
    <x v="0"/>
    <x v="0"/>
    <x v="0"/>
  </r>
  <r>
    <x v="1140"/>
    <x v="45"/>
    <s v="CUST0004"/>
    <x v="8"/>
    <x v="5"/>
    <x v="3"/>
    <x v="7"/>
    <n v="2"/>
    <n v="15200.38"/>
    <n v="0.05"/>
    <n v="14440.36"/>
    <n v="9457.3799999999992"/>
    <n v="4982.9799999999996"/>
    <x v="0"/>
    <n v="28"/>
    <d v="2025-11-13T04:00:00"/>
    <s v="Nov"/>
    <n v="11"/>
    <s v="Q4"/>
    <x v="0"/>
    <x v="0"/>
    <x v="0"/>
    <x v="0"/>
  </r>
  <r>
    <x v="1141"/>
    <x v="122"/>
    <s v="CUST0143"/>
    <x v="0"/>
    <x v="4"/>
    <x v="4"/>
    <x v="9"/>
    <n v="7"/>
    <n v="26238.52"/>
    <n v="0.05"/>
    <n v="24926.59"/>
    <n v="18085.37"/>
    <n v="6841.22"/>
    <x v="0"/>
    <n v="12"/>
    <d v="2025-06-20T12:00:00"/>
    <s v="Jun"/>
    <n v="6"/>
    <s v="Q2"/>
    <x v="0"/>
    <x v="0"/>
    <x v="0"/>
    <x v="0"/>
  </r>
  <r>
    <x v="1142"/>
    <x v="334"/>
    <s v="CUST0282"/>
    <x v="1"/>
    <x v="5"/>
    <x v="4"/>
    <x v="13"/>
    <n v="6"/>
    <n v="10819.98"/>
    <n v="0.1"/>
    <n v="9737.98"/>
    <n v="6998.96"/>
    <n v="2739.02"/>
    <x v="3"/>
    <n v="8"/>
    <d v="2025-12-22T08:00:00"/>
    <s v="Dec"/>
    <n v="12"/>
    <s v="Q4"/>
    <x v="1"/>
    <x v="1"/>
    <x v="0"/>
    <x v="0"/>
  </r>
  <r>
    <x v="1143"/>
    <x v="158"/>
    <s v="CUST0220"/>
    <x v="4"/>
    <x v="6"/>
    <x v="4"/>
    <x v="9"/>
    <n v="1"/>
    <n v="3807.48"/>
    <n v="0"/>
    <n v="3807.48"/>
    <n v="3293.29"/>
    <n v="514.19000000000005"/>
    <x v="1"/>
    <n v="18"/>
    <d v="2025-11-20T18:00:00"/>
    <s v="Nov"/>
    <n v="11"/>
    <s v="Q4"/>
    <x v="1"/>
    <x v="0"/>
    <x v="0"/>
    <x v="1"/>
  </r>
  <r>
    <x v="1144"/>
    <x v="288"/>
    <s v="CUST0160"/>
    <x v="9"/>
    <x v="0"/>
    <x v="3"/>
    <x v="18"/>
    <n v="1"/>
    <n v="3563.01"/>
    <n v="0.2"/>
    <n v="2850.41"/>
    <n v="2017.9"/>
    <n v="832.51"/>
    <x v="0"/>
    <n v="29"/>
    <d v="2025-05-14T05:00:00"/>
    <s v="May"/>
    <n v="5"/>
    <s v="Q2"/>
    <x v="0"/>
    <x v="0"/>
    <x v="0"/>
    <x v="0"/>
  </r>
  <r>
    <x v="1145"/>
    <x v="102"/>
    <s v="CUST0076"/>
    <x v="9"/>
    <x v="0"/>
    <x v="0"/>
    <x v="6"/>
    <n v="7"/>
    <n v="26120.29"/>
    <n v="0"/>
    <n v="26120.29"/>
    <n v="20392.240000000002"/>
    <n v="5728.05"/>
    <x v="3"/>
    <n v="10"/>
    <d v="2025-10-20T10:00:00"/>
    <s v="Oct"/>
    <n v="10"/>
    <s v="Q4"/>
    <x v="1"/>
    <x v="1"/>
    <x v="0"/>
    <x v="0"/>
  </r>
  <r>
    <x v="1146"/>
    <x v="96"/>
    <s v="CUST0099"/>
    <x v="4"/>
    <x v="2"/>
    <x v="3"/>
    <x v="12"/>
    <n v="2"/>
    <n v="10078.879999999999"/>
    <n v="0.15"/>
    <n v="8567.0499999999993"/>
    <n v="7317.89"/>
    <n v="1249.1600000000001"/>
    <x v="0"/>
    <n v="19"/>
    <d v="2025-11-24T19:00:00"/>
    <s v="Nov"/>
    <n v="11"/>
    <s v="Q4"/>
    <x v="0"/>
    <x v="0"/>
    <x v="0"/>
    <x v="0"/>
  </r>
  <r>
    <x v="1147"/>
    <x v="217"/>
    <s v="CUST0180"/>
    <x v="1"/>
    <x v="0"/>
    <x v="2"/>
    <x v="2"/>
    <n v="3"/>
    <n v="13505.4"/>
    <n v="0.1"/>
    <n v="12154.86"/>
    <n v="8182.83"/>
    <n v="3972.03"/>
    <x v="0"/>
    <n v="40"/>
    <d v="2025-05-08T16:00:00"/>
    <s v="May"/>
    <n v="5"/>
    <s v="Q2"/>
    <x v="0"/>
    <x v="0"/>
    <x v="0"/>
    <x v="0"/>
  </r>
  <r>
    <x v="1148"/>
    <x v="60"/>
    <s v="CUST0127"/>
    <x v="5"/>
    <x v="1"/>
    <x v="3"/>
    <x v="12"/>
    <n v="5"/>
    <n v="7003.2"/>
    <n v="0.2"/>
    <n v="5602.56"/>
    <n v="4749.29"/>
    <n v="853.27"/>
    <x v="2"/>
    <n v="54"/>
    <d v="2025-04-18T06:00:00"/>
    <s v="Apr"/>
    <n v="4"/>
    <s v="Q2"/>
    <x v="1"/>
    <x v="0"/>
    <x v="1"/>
    <x v="0"/>
  </r>
  <r>
    <x v="1149"/>
    <x v="52"/>
    <s v="CUST0032"/>
    <x v="1"/>
    <x v="6"/>
    <x v="4"/>
    <x v="13"/>
    <n v="4"/>
    <n v="2790.36"/>
    <n v="0"/>
    <n v="2790.36"/>
    <n v="2379.5100000000002"/>
    <n v="410.85"/>
    <x v="0"/>
    <n v="27"/>
    <d v="2025-04-03T03:00:00"/>
    <s v="Apr"/>
    <n v="4"/>
    <s v="Q2"/>
    <x v="0"/>
    <x v="0"/>
    <x v="0"/>
    <x v="0"/>
  </r>
  <r>
    <x v="1150"/>
    <x v="344"/>
    <s v="CUST0265"/>
    <x v="8"/>
    <x v="0"/>
    <x v="1"/>
    <x v="1"/>
    <n v="7"/>
    <n v="43684.34"/>
    <n v="0.1"/>
    <n v="39315.910000000003"/>
    <n v="33698.400000000001"/>
    <n v="5617.51"/>
    <x v="1"/>
    <n v="17"/>
    <d v="2025-10-14T17:00:00"/>
    <s v="Oct"/>
    <n v="10"/>
    <s v="Q4"/>
    <x v="1"/>
    <x v="0"/>
    <x v="0"/>
    <x v="1"/>
  </r>
  <r>
    <x v="1151"/>
    <x v="34"/>
    <s v="CUST0013"/>
    <x v="1"/>
    <x v="3"/>
    <x v="3"/>
    <x v="7"/>
    <n v="6"/>
    <n v="28941.84"/>
    <n v="0.1"/>
    <n v="26047.66"/>
    <n v="16650.89"/>
    <n v="9396.77"/>
    <x v="0"/>
    <n v="23"/>
    <d v="2025-02-20T23:00:00"/>
    <s v="Feb"/>
    <n v="2"/>
    <s v="Q1"/>
    <x v="0"/>
    <x v="0"/>
    <x v="0"/>
    <x v="0"/>
  </r>
  <r>
    <x v="1152"/>
    <x v="123"/>
    <s v="CUST0202"/>
    <x v="8"/>
    <x v="3"/>
    <x v="3"/>
    <x v="12"/>
    <n v="7"/>
    <n v="22033.62"/>
    <n v="0.1"/>
    <n v="19830.259999999998"/>
    <n v="13526.56"/>
    <n v="6303.7"/>
    <x v="1"/>
    <n v="4"/>
    <d v="2025-01-29T04:00:00"/>
    <s v="Jan"/>
    <n v="1"/>
    <s v="Q1"/>
    <x v="1"/>
    <x v="0"/>
    <x v="0"/>
    <x v="1"/>
  </r>
  <r>
    <x v="1153"/>
    <x v="72"/>
    <s v="CUST0018"/>
    <x v="1"/>
    <x v="5"/>
    <x v="4"/>
    <x v="21"/>
    <n v="4"/>
    <n v="27599.16"/>
    <n v="0.1"/>
    <n v="24839.24"/>
    <n v="20796.169999999998"/>
    <n v="4043.07"/>
    <x v="2"/>
    <n v="63"/>
    <d v="2025-10-25T15:00:00"/>
    <s v="Oct"/>
    <n v="10"/>
    <s v="Q4"/>
    <x v="1"/>
    <x v="0"/>
    <x v="1"/>
    <x v="0"/>
  </r>
  <r>
    <x v="1154"/>
    <x v="345"/>
    <s v="CUST0093"/>
    <x v="5"/>
    <x v="6"/>
    <x v="1"/>
    <x v="5"/>
    <n v="4"/>
    <n v="13561.16"/>
    <n v="0.15"/>
    <n v="11526.99"/>
    <n v="7706.06"/>
    <n v="3820.93"/>
    <x v="2"/>
    <n v="79"/>
    <d v="2025-10-27T07:00:00"/>
    <s v="Oct"/>
    <n v="10"/>
    <s v="Q4"/>
    <x v="1"/>
    <x v="0"/>
    <x v="1"/>
    <x v="0"/>
  </r>
  <r>
    <x v="1155"/>
    <x v="105"/>
    <s v="CUST0280"/>
    <x v="5"/>
    <x v="0"/>
    <x v="1"/>
    <x v="5"/>
    <n v="6"/>
    <n v="40777.86"/>
    <n v="0.2"/>
    <n v="32622.29"/>
    <n v="24404.2"/>
    <n v="8218.09"/>
    <x v="0"/>
    <n v="32"/>
    <d v="2025-08-03T08:00:00"/>
    <s v="Aug"/>
    <n v="8"/>
    <s v="Q3"/>
    <x v="0"/>
    <x v="0"/>
    <x v="0"/>
    <x v="0"/>
  </r>
  <r>
    <x v="1156"/>
    <x v="174"/>
    <s v="CUST0060"/>
    <x v="3"/>
    <x v="2"/>
    <x v="2"/>
    <x v="2"/>
    <n v="6"/>
    <n v="16218.36"/>
    <n v="0"/>
    <n v="16218.36"/>
    <n v="9551.93"/>
    <n v="6666.43"/>
    <x v="0"/>
    <n v="34"/>
    <d v="2025-09-25T10:00:00"/>
    <s v="Sep"/>
    <n v="9"/>
    <s v="Q3"/>
    <x v="0"/>
    <x v="0"/>
    <x v="0"/>
    <x v="0"/>
  </r>
  <r>
    <x v="1157"/>
    <x v="108"/>
    <s v="CUST0214"/>
    <x v="4"/>
    <x v="7"/>
    <x v="3"/>
    <x v="12"/>
    <n v="1"/>
    <n v="758.26"/>
    <n v="0"/>
    <n v="758.26"/>
    <n v="431.12"/>
    <n v="327.14"/>
    <x v="3"/>
    <n v="15"/>
    <d v="2025-09-14T15:00:00"/>
    <s v="Sep"/>
    <n v="9"/>
    <s v="Q3"/>
    <x v="1"/>
    <x v="1"/>
    <x v="0"/>
    <x v="0"/>
  </r>
  <r>
    <x v="1158"/>
    <x v="204"/>
    <s v="CUST0100"/>
    <x v="5"/>
    <x v="2"/>
    <x v="1"/>
    <x v="8"/>
    <n v="4"/>
    <n v="31750.16"/>
    <n v="0.15"/>
    <n v="26987.64"/>
    <n v="18512.39"/>
    <n v="8475.25"/>
    <x v="0"/>
    <n v="23"/>
    <d v="2025-10-29T23:00:00"/>
    <s v="Oct"/>
    <n v="10"/>
    <s v="Q4"/>
    <x v="0"/>
    <x v="0"/>
    <x v="0"/>
    <x v="0"/>
  </r>
  <r>
    <x v="1159"/>
    <x v="107"/>
    <s v="CUST0001"/>
    <x v="8"/>
    <x v="7"/>
    <x v="1"/>
    <x v="1"/>
    <n v="5"/>
    <n v="17222.5"/>
    <n v="0"/>
    <n v="17222.5"/>
    <n v="12762.6"/>
    <n v="4459.8999999999996"/>
    <x v="0"/>
    <n v="26"/>
    <d v="2025-04-12T02:00:00"/>
    <s v="Apr"/>
    <n v="4"/>
    <s v="Q2"/>
    <x v="0"/>
    <x v="0"/>
    <x v="0"/>
    <x v="0"/>
  </r>
  <r>
    <x v="1160"/>
    <x v="49"/>
    <s v="CUST0043"/>
    <x v="5"/>
    <x v="4"/>
    <x v="0"/>
    <x v="17"/>
    <n v="5"/>
    <n v="33844.9"/>
    <n v="0.25"/>
    <n v="25383.68"/>
    <n v="17250.509999999998"/>
    <n v="8133.17"/>
    <x v="2"/>
    <n v="63"/>
    <d v="2025-12-14T15:00:00"/>
    <s v="Dec"/>
    <n v="12"/>
    <s v="Q4"/>
    <x v="1"/>
    <x v="0"/>
    <x v="1"/>
    <x v="0"/>
  </r>
  <r>
    <x v="1161"/>
    <x v="346"/>
    <s v="CUST0168"/>
    <x v="3"/>
    <x v="4"/>
    <x v="0"/>
    <x v="19"/>
    <n v="2"/>
    <n v="4961.7"/>
    <n v="0.1"/>
    <n v="4465.53"/>
    <n v="3307.41"/>
    <n v="1158.1199999999999"/>
    <x v="0"/>
    <n v="30"/>
    <d v="2025-04-21T06:00:00"/>
    <s v="Apr"/>
    <n v="4"/>
    <s v="Q2"/>
    <x v="0"/>
    <x v="0"/>
    <x v="0"/>
    <x v="0"/>
  </r>
  <r>
    <x v="1162"/>
    <x v="298"/>
    <s v="CUST0192"/>
    <x v="9"/>
    <x v="2"/>
    <x v="1"/>
    <x v="5"/>
    <n v="7"/>
    <n v="38830.050000000003"/>
    <n v="0.1"/>
    <n v="34947.050000000003"/>
    <n v="25161.1"/>
    <n v="9785.9500000000007"/>
    <x v="2"/>
    <n v="60"/>
    <d v="2025-07-03T12:00:00"/>
    <s v="Jul"/>
    <n v="7"/>
    <s v="Q3"/>
    <x v="1"/>
    <x v="0"/>
    <x v="1"/>
    <x v="0"/>
  </r>
  <r>
    <x v="1163"/>
    <x v="225"/>
    <s v="CUST0034"/>
    <x v="8"/>
    <x v="0"/>
    <x v="2"/>
    <x v="2"/>
    <n v="6"/>
    <n v="44652.9"/>
    <n v="0"/>
    <n v="44652.9"/>
    <n v="34663.300000000003"/>
    <n v="9989.6"/>
    <x v="0"/>
    <n v="24"/>
    <d v="2025-11-10T00:00:00"/>
    <s v="Nov"/>
    <n v="11"/>
    <s v="Q4"/>
    <x v="0"/>
    <x v="0"/>
    <x v="0"/>
    <x v="0"/>
  </r>
  <r>
    <x v="1164"/>
    <x v="247"/>
    <s v="CUST0034"/>
    <x v="3"/>
    <x v="5"/>
    <x v="1"/>
    <x v="5"/>
    <n v="1"/>
    <n v="497.73"/>
    <n v="0.05"/>
    <n v="472.84"/>
    <n v="361.41"/>
    <n v="111.43"/>
    <x v="0"/>
    <n v="47"/>
    <d v="2025-01-02T23:00:00"/>
    <s v="Jan"/>
    <n v="1"/>
    <s v="Q1"/>
    <x v="0"/>
    <x v="0"/>
    <x v="0"/>
    <x v="0"/>
  </r>
  <r>
    <x v="1165"/>
    <x v="242"/>
    <s v="CUST0176"/>
    <x v="2"/>
    <x v="2"/>
    <x v="4"/>
    <x v="23"/>
    <n v="5"/>
    <n v="35429.050000000003"/>
    <n v="0.1"/>
    <n v="31886.15"/>
    <n v="22001.48"/>
    <n v="9884.67"/>
    <x v="2"/>
    <n v="53"/>
    <d v="2025-11-17T05:00:00"/>
    <s v="Nov"/>
    <n v="11"/>
    <s v="Q4"/>
    <x v="1"/>
    <x v="0"/>
    <x v="1"/>
    <x v="0"/>
  </r>
  <r>
    <x v="1166"/>
    <x v="36"/>
    <s v="CUST0196"/>
    <x v="2"/>
    <x v="4"/>
    <x v="3"/>
    <x v="12"/>
    <n v="3"/>
    <n v="14761.89"/>
    <n v="0.2"/>
    <n v="11809.51"/>
    <n v="8151.5"/>
    <n v="3658.01"/>
    <x v="0"/>
    <n v="10"/>
    <d v="2025-02-24T10:00:00"/>
    <s v="Feb"/>
    <n v="2"/>
    <s v="Q1"/>
    <x v="0"/>
    <x v="0"/>
    <x v="0"/>
    <x v="0"/>
  </r>
  <r>
    <x v="1167"/>
    <x v="302"/>
    <s v="CUST0158"/>
    <x v="0"/>
    <x v="1"/>
    <x v="2"/>
    <x v="24"/>
    <n v="1"/>
    <n v="5222.3900000000003"/>
    <n v="0.25"/>
    <n v="3916.79"/>
    <n v="2336.1999999999998"/>
    <n v="1580.59"/>
    <x v="0"/>
    <n v="25"/>
    <d v="2025-05-30T01:00:00"/>
    <s v="May"/>
    <n v="5"/>
    <s v="Q2"/>
    <x v="0"/>
    <x v="0"/>
    <x v="0"/>
    <x v="0"/>
  </r>
  <r>
    <x v="1168"/>
    <x v="16"/>
    <s v="CUST0245"/>
    <x v="1"/>
    <x v="7"/>
    <x v="4"/>
    <x v="21"/>
    <n v="1"/>
    <n v="4518.37"/>
    <n v="0"/>
    <n v="4518.37"/>
    <n v="3250.37"/>
    <n v="1268"/>
    <x v="2"/>
    <n v="96"/>
    <d v="2025-11-09T00:00:00"/>
    <s v="Nov"/>
    <n v="11"/>
    <s v="Q4"/>
    <x v="1"/>
    <x v="0"/>
    <x v="1"/>
    <x v="0"/>
  </r>
  <r>
    <x v="1169"/>
    <x v="144"/>
    <s v="CUST0071"/>
    <x v="4"/>
    <x v="6"/>
    <x v="2"/>
    <x v="15"/>
    <n v="5"/>
    <n v="37259.35"/>
    <n v="0"/>
    <n v="37259.35"/>
    <n v="27712.35"/>
    <n v="9547"/>
    <x v="2"/>
    <n v="89"/>
    <d v="2025-05-20T17:00:00"/>
    <s v="May"/>
    <n v="5"/>
    <s v="Q2"/>
    <x v="1"/>
    <x v="0"/>
    <x v="1"/>
    <x v="0"/>
  </r>
  <r>
    <x v="1170"/>
    <x v="67"/>
    <s v="CUST0114"/>
    <x v="7"/>
    <x v="5"/>
    <x v="4"/>
    <x v="23"/>
    <n v="3"/>
    <n v="1538.01"/>
    <n v="0"/>
    <n v="1538.01"/>
    <n v="1087.74"/>
    <n v="450.27"/>
    <x v="1"/>
    <n v="16"/>
    <d v="2025-07-21T16:00:00"/>
    <s v="Jul"/>
    <n v="7"/>
    <s v="Q3"/>
    <x v="1"/>
    <x v="0"/>
    <x v="0"/>
    <x v="1"/>
  </r>
  <r>
    <x v="1171"/>
    <x v="225"/>
    <s v="CUST0285"/>
    <x v="6"/>
    <x v="2"/>
    <x v="3"/>
    <x v="16"/>
    <n v="2"/>
    <n v="4659.18"/>
    <n v="0.2"/>
    <n v="3727.34"/>
    <n v="2450.66"/>
    <n v="1276.68"/>
    <x v="0"/>
    <n v="33"/>
    <d v="2025-11-10T09:00:00"/>
    <s v="Nov"/>
    <n v="11"/>
    <s v="Q4"/>
    <x v="0"/>
    <x v="0"/>
    <x v="0"/>
    <x v="0"/>
  </r>
  <r>
    <x v="1172"/>
    <x v="245"/>
    <s v="CUST0143"/>
    <x v="3"/>
    <x v="0"/>
    <x v="3"/>
    <x v="18"/>
    <n v="5"/>
    <n v="37313.1"/>
    <n v="0.05"/>
    <n v="35447.440000000002"/>
    <n v="27937.69"/>
    <n v="7509.75"/>
    <x v="0"/>
    <n v="37"/>
    <d v="2025-04-28T13:00:00"/>
    <s v="Apr"/>
    <n v="4"/>
    <s v="Q2"/>
    <x v="0"/>
    <x v="0"/>
    <x v="0"/>
    <x v="0"/>
  </r>
  <r>
    <x v="1173"/>
    <x v="255"/>
    <s v="CUST0097"/>
    <x v="9"/>
    <x v="0"/>
    <x v="0"/>
    <x v="0"/>
    <n v="3"/>
    <n v="19296.27"/>
    <n v="0"/>
    <n v="19296.27"/>
    <n v="11088.38"/>
    <n v="8207.89"/>
    <x v="0"/>
    <n v="16"/>
    <d v="2025-06-03T16:00:00"/>
    <s v="Jun"/>
    <n v="6"/>
    <s v="Q2"/>
    <x v="0"/>
    <x v="0"/>
    <x v="0"/>
    <x v="0"/>
  </r>
  <r>
    <x v="1174"/>
    <x v="337"/>
    <s v="CUST0212"/>
    <x v="6"/>
    <x v="5"/>
    <x v="4"/>
    <x v="22"/>
    <n v="1"/>
    <n v="297.33999999999997"/>
    <n v="0.05"/>
    <n v="282.47000000000003"/>
    <n v="240.6"/>
    <n v="41.87"/>
    <x v="3"/>
    <n v="14"/>
    <d v="2025-10-18T14:00:00"/>
    <s v="Oct"/>
    <n v="10"/>
    <s v="Q4"/>
    <x v="1"/>
    <x v="1"/>
    <x v="0"/>
    <x v="0"/>
  </r>
  <r>
    <x v="1175"/>
    <x v="88"/>
    <s v="CUST0185"/>
    <x v="9"/>
    <x v="3"/>
    <x v="0"/>
    <x v="6"/>
    <n v="3"/>
    <n v="13401"/>
    <n v="0.05"/>
    <n v="12730.95"/>
    <n v="7088.75"/>
    <n v="5642.2"/>
    <x v="2"/>
    <n v="58"/>
    <d v="2025-03-06T10:00:00"/>
    <s v="Mar"/>
    <n v="3"/>
    <s v="Q1"/>
    <x v="1"/>
    <x v="0"/>
    <x v="1"/>
    <x v="0"/>
  </r>
  <r>
    <x v="1176"/>
    <x v="37"/>
    <s v="CUST0205"/>
    <x v="6"/>
    <x v="7"/>
    <x v="4"/>
    <x v="21"/>
    <n v="1"/>
    <n v="4571.93"/>
    <n v="0.25"/>
    <n v="3428.95"/>
    <n v="2974.87"/>
    <n v="454.08"/>
    <x v="1"/>
    <n v="10"/>
    <d v="2025-09-01T10:00:00"/>
    <s v="Sep"/>
    <n v="9"/>
    <s v="Q3"/>
    <x v="1"/>
    <x v="0"/>
    <x v="0"/>
    <x v="1"/>
  </r>
  <r>
    <x v="1177"/>
    <x v="285"/>
    <s v="CUST0216"/>
    <x v="3"/>
    <x v="5"/>
    <x v="0"/>
    <x v="0"/>
    <n v="7"/>
    <n v="24481.59"/>
    <n v="0.1"/>
    <n v="22033.43"/>
    <n v="15480.19"/>
    <n v="6553.24"/>
    <x v="0"/>
    <n v="36"/>
    <d v="2025-01-26T12:00:00"/>
    <s v="Jan"/>
    <n v="1"/>
    <s v="Q1"/>
    <x v="0"/>
    <x v="0"/>
    <x v="0"/>
    <x v="0"/>
  </r>
  <r>
    <x v="1178"/>
    <x v="273"/>
    <s v="CUST0246"/>
    <x v="7"/>
    <x v="5"/>
    <x v="3"/>
    <x v="18"/>
    <n v="5"/>
    <n v="13166.15"/>
    <n v="0.05"/>
    <n v="12507.84"/>
    <n v="8582.64"/>
    <n v="3925.2"/>
    <x v="0"/>
    <n v="37"/>
    <d v="2025-04-01T13:00:00"/>
    <s v="Mar"/>
    <n v="3"/>
    <s v="Q1"/>
    <x v="0"/>
    <x v="0"/>
    <x v="0"/>
    <x v="0"/>
  </r>
  <r>
    <x v="1179"/>
    <x v="184"/>
    <s v="CUST0239"/>
    <x v="6"/>
    <x v="7"/>
    <x v="2"/>
    <x v="2"/>
    <n v="6"/>
    <n v="35054.400000000001"/>
    <n v="0.05"/>
    <n v="33301.68"/>
    <n v="21134.13"/>
    <n v="12167.55"/>
    <x v="1"/>
    <n v="10"/>
    <d v="2025-03-16T10:00:00"/>
    <s v="Mar"/>
    <n v="3"/>
    <s v="Q1"/>
    <x v="1"/>
    <x v="0"/>
    <x v="0"/>
    <x v="1"/>
  </r>
  <r>
    <x v="1180"/>
    <x v="19"/>
    <s v="CUST0293"/>
    <x v="3"/>
    <x v="7"/>
    <x v="0"/>
    <x v="0"/>
    <n v="5"/>
    <n v="9425.25"/>
    <n v="0.05"/>
    <n v="8953.99"/>
    <n v="4954.45"/>
    <n v="3999.54"/>
    <x v="0"/>
    <n v="39"/>
    <d v="2025-10-22T15:00:00"/>
    <s v="Oct"/>
    <n v="10"/>
    <s v="Q4"/>
    <x v="0"/>
    <x v="0"/>
    <x v="0"/>
    <x v="0"/>
  </r>
  <r>
    <x v="1181"/>
    <x v="343"/>
    <s v="CUST0008"/>
    <x v="5"/>
    <x v="2"/>
    <x v="4"/>
    <x v="22"/>
    <n v="7"/>
    <n v="47748.54"/>
    <n v="0"/>
    <n v="47748.54"/>
    <n v="30591.57"/>
    <n v="17156.97"/>
    <x v="1"/>
    <n v="5"/>
    <d v="2025-07-29T05:00:00"/>
    <s v="Jul"/>
    <n v="7"/>
    <s v="Q3"/>
    <x v="1"/>
    <x v="0"/>
    <x v="0"/>
    <x v="1"/>
  </r>
  <r>
    <x v="1182"/>
    <x v="320"/>
    <s v="CUST0078"/>
    <x v="7"/>
    <x v="4"/>
    <x v="4"/>
    <x v="13"/>
    <n v="4"/>
    <n v="27421.439999999999"/>
    <n v="0"/>
    <n v="27421.439999999999"/>
    <n v="16071.76"/>
    <n v="11349.68"/>
    <x v="0"/>
    <n v="20"/>
    <d v="2025-12-13T20:00:00"/>
    <s v="Dec"/>
    <n v="12"/>
    <s v="Q4"/>
    <x v="0"/>
    <x v="0"/>
    <x v="0"/>
    <x v="0"/>
  </r>
  <r>
    <x v="1183"/>
    <x v="201"/>
    <s v="CUST0277"/>
    <x v="8"/>
    <x v="1"/>
    <x v="3"/>
    <x v="20"/>
    <n v="4"/>
    <n v="14469.72"/>
    <n v="0.1"/>
    <n v="13022.75"/>
    <n v="9998.1"/>
    <n v="3024.65"/>
    <x v="3"/>
    <n v="7"/>
    <d v="2025-01-17T07:00:00"/>
    <s v="Jan"/>
    <n v="1"/>
    <s v="Q1"/>
    <x v="1"/>
    <x v="1"/>
    <x v="0"/>
    <x v="0"/>
  </r>
  <r>
    <x v="1184"/>
    <x v="136"/>
    <s v="CUST0202"/>
    <x v="9"/>
    <x v="2"/>
    <x v="4"/>
    <x v="22"/>
    <n v="4"/>
    <n v="10070.52"/>
    <n v="0"/>
    <n v="10070.52"/>
    <n v="6599.16"/>
    <n v="3471.36"/>
    <x v="0"/>
    <n v="17"/>
    <d v="2025-05-08T17:00:00"/>
    <s v="May"/>
    <n v="5"/>
    <s v="Q2"/>
    <x v="0"/>
    <x v="0"/>
    <x v="0"/>
    <x v="0"/>
  </r>
  <r>
    <x v="1185"/>
    <x v="35"/>
    <s v="CUST0214"/>
    <x v="2"/>
    <x v="5"/>
    <x v="1"/>
    <x v="10"/>
    <n v="5"/>
    <n v="12601.9"/>
    <n v="0.05"/>
    <n v="11971.8"/>
    <n v="9615.3799999999992"/>
    <n v="2356.42"/>
    <x v="0"/>
    <n v="37"/>
    <d v="2025-12-31T13:00:00"/>
    <s v="Dec"/>
    <n v="12"/>
    <s v="Q4"/>
    <x v="0"/>
    <x v="0"/>
    <x v="0"/>
    <x v="0"/>
  </r>
  <r>
    <x v="1186"/>
    <x v="311"/>
    <s v="CUST0094"/>
    <x v="1"/>
    <x v="6"/>
    <x v="2"/>
    <x v="11"/>
    <n v="2"/>
    <n v="8354.26"/>
    <n v="0.05"/>
    <n v="7936.55"/>
    <n v="4907.03"/>
    <n v="3029.52"/>
    <x v="1"/>
    <n v="22"/>
    <d v="2025-09-08T22:00:00"/>
    <s v="Sep"/>
    <n v="9"/>
    <s v="Q3"/>
    <x v="1"/>
    <x v="0"/>
    <x v="0"/>
    <x v="1"/>
  </r>
  <r>
    <x v="1187"/>
    <x v="115"/>
    <s v="CUST0075"/>
    <x v="2"/>
    <x v="4"/>
    <x v="0"/>
    <x v="14"/>
    <n v="5"/>
    <n v="30792.45"/>
    <n v="0.15"/>
    <n v="26173.58"/>
    <n v="22171.05"/>
    <n v="4002.53"/>
    <x v="0"/>
    <n v="16"/>
    <d v="2025-06-28T16:00:00"/>
    <s v="Jun"/>
    <n v="6"/>
    <s v="Q2"/>
    <x v="0"/>
    <x v="0"/>
    <x v="0"/>
    <x v="0"/>
  </r>
  <r>
    <x v="1188"/>
    <x v="298"/>
    <s v="CUST0157"/>
    <x v="7"/>
    <x v="2"/>
    <x v="2"/>
    <x v="24"/>
    <n v="7"/>
    <n v="22025.85"/>
    <n v="0.1"/>
    <n v="19823.259999999998"/>
    <n v="14323.97"/>
    <n v="5499.29"/>
    <x v="0"/>
    <n v="36"/>
    <d v="2025-07-02T12:00:00"/>
    <s v="Jul"/>
    <n v="7"/>
    <s v="Q3"/>
    <x v="0"/>
    <x v="0"/>
    <x v="0"/>
    <x v="0"/>
  </r>
  <r>
    <x v="1189"/>
    <x v="13"/>
    <s v="CUST0153"/>
    <x v="8"/>
    <x v="1"/>
    <x v="3"/>
    <x v="20"/>
    <n v="7"/>
    <n v="36707.019999999997"/>
    <n v="0.1"/>
    <n v="33036.32"/>
    <n v="19418.32"/>
    <n v="13618"/>
    <x v="0"/>
    <n v="5"/>
    <d v="2025-06-01T05:00:00"/>
    <s v="Jun"/>
    <n v="6"/>
    <s v="Q2"/>
    <x v="0"/>
    <x v="0"/>
    <x v="0"/>
    <x v="0"/>
  </r>
  <r>
    <x v="1190"/>
    <x v="285"/>
    <s v="CUST0142"/>
    <x v="9"/>
    <x v="5"/>
    <x v="0"/>
    <x v="0"/>
    <n v="6"/>
    <n v="20062.5"/>
    <n v="0.1"/>
    <n v="18056.25"/>
    <n v="12319.4"/>
    <n v="5736.85"/>
    <x v="0"/>
    <n v="37"/>
    <d v="2025-01-26T13:00:00"/>
    <s v="Jan"/>
    <n v="1"/>
    <s v="Q1"/>
    <x v="0"/>
    <x v="0"/>
    <x v="0"/>
    <x v="0"/>
  </r>
  <r>
    <x v="1191"/>
    <x v="149"/>
    <s v="CUST0078"/>
    <x v="8"/>
    <x v="5"/>
    <x v="0"/>
    <x v="19"/>
    <n v="3"/>
    <n v="8078.31"/>
    <n v="0.1"/>
    <n v="7270.48"/>
    <n v="4494.84"/>
    <n v="2775.64"/>
    <x v="0"/>
    <n v="32"/>
    <d v="2025-06-30T08:00:00"/>
    <s v="Jun"/>
    <n v="6"/>
    <s v="Q2"/>
    <x v="0"/>
    <x v="0"/>
    <x v="0"/>
    <x v="0"/>
  </r>
  <r>
    <x v="1192"/>
    <x v="143"/>
    <s v="CUST0182"/>
    <x v="6"/>
    <x v="7"/>
    <x v="1"/>
    <x v="5"/>
    <n v="5"/>
    <n v="1787.9"/>
    <n v="0"/>
    <n v="1787.9"/>
    <n v="1101.1600000000001"/>
    <n v="686.74"/>
    <x v="1"/>
    <n v="13"/>
    <d v="2025-07-17T13:00:00"/>
    <s v="Jul"/>
    <n v="7"/>
    <s v="Q3"/>
    <x v="1"/>
    <x v="0"/>
    <x v="0"/>
    <x v="1"/>
  </r>
  <r>
    <x v="1193"/>
    <x v="18"/>
    <s v="CUST0195"/>
    <x v="9"/>
    <x v="1"/>
    <x v="3"/>
    <x v="12"/>
    <n v="5"/>
    <n v="913.4"/>
    <n v="0.2"/>
    <n v="730.72"/>
    <n v="524"/>
    <n v="206.72"/>
    <x v="2"/>
    <n v="91"/>
    <d v="2025-12-13T19:00:00"/>
    <s v="Dec"/>
    <n v="12"/>
    <s v="Q4"/>
    <x v="1"/>
    <x v="0"/>
    <x v="1"/>
    <x v="0"/>
  </r>
  <r>
    <x v="1194"/>
    <x v="22"/>
    <s v="CUST0158"/>
    <x v="6"/>
    <x v="4"/>
    <x v="4"/>
    <x v="22"/>
    <n v="1"/>
    <n v="2047.18"/>
    <n v="0"/>
    <n v="2047.18"/>
    <n v="1579.86"/>
    <n v="467.32"/>
    <x v="3"/>
    <n v="19"/>
    <d v="2025-06-10T19:00:00"/>
    <s v="Jun"/>
    <n v="6"/>
    <s v="Q2"/>
    <x v="1"/>
    <x v="1"/>
    <x v="0"/>
    <x v="0"/>
  </r>
  <r>
    <x v="1195"/>
    <x v="279"/>
    <s v="CUST0146"/>
    <x v="3"/>
    <x v="2"/>
    <x v="1"/>
    <x v="8"/>
    <n v="7"/>
    <n v="24804.43"/>
    <n v="0.05"/>
    <n v="23564.21"/>
    <n v="20049.23"/>
    <n v="3514.98"/>
    <x v="3"/>
    <n v="12"/>
    <d v="2025-06-26T12:00:00"/>
    <s v="Jun"/>
    <n v="6"/>
    <s v="Q2"/>
    <x v="1"/>
    <x v="1"/>
    <x v="0"/>
    <x v="0"/>
  </r>
  <r>
    <x v="1196"/>
    <x v="257"/>
    <s v="CUST0054"/>
    <x v="7"/>
    <x v="5"/>
    <x v="1"/>
    <x v="5"/>
    <n v="1"/>
    <n v="7258.03"/>
    <n v="0.15"/>
    <n v="6169.33"/>
    <n v="4415.47"/>
    <n v="1753.86"/>
    <x v="0"/>
    <n v="31"/>
    <d v="2025-10-13T07:00:00"/>
    <s v="Oct"/>
    <n v="10"/>
    <s v="Q4"/>
    <x v="0"/>
    <x v="0"/>
    <x v="0"/>
    <x v="0"/>
  </r>
  <r>
    <x v="1197"/>
    <x v="88"/>
    <s v="CUST0277"/>
    <x v="3"/>
    <x v="7"/>
    <x v="2"/>
    <x v="2"/>
    <n v="1"/>
    <n v="6817.34"/>
    <n v="0.05"/>
    <n v="6476.47"/>
    <n v="5626.28"/>
    <n v="850.19"/>
    <x v="0"/>
    <n v="6"/>
    <d v="2025-03-04T06:00:00"/>
    <s v="Mar"/>
    <n v="3"/>
    <s v="Q1"/>
    <x v="0"/>
    <x v="0"/>
    <x v="0"/>
    <x v="0"/>
  </r>
  <r>
    <x v="1198"/>
    <x v="15"/>
    <s v="CUST0083"/>
    <x v="0"/>
    <x v="2"/>
    <x v="2"/>
    <x v="11"/>
    <n v="5"/>
    <n v="11904.15"/>
    <n v="0.2"/>
    <n v="9523.32"/>
    <n v="8197.1"/>
    <n v="1326.22"/>
    <x v="2"/>
    <n v="94"/>
    <d v="2025-06-02T22:00:00"/>
    <s v="May"/>
    <n v="5"/>
    <s v="Q2"/>
    <x v="1"/>
    <x v="0"/>
    <x v="1"/>
    <x v="0"/>
  </r>
  <r>
    <x v="1199"/>
    <x v="255"/>
    <s v="CUST0156"/>
    <x v="8"/>
    <x v="4"/>
    <x v="2"/>
    <x v="3"/>
    <n v="2"/>
    <n v="4383.82"/>
    <n v="0.1"/>
    <n v="3945.44"/>
    <n v="3296.3"/>
    <n v="649.14"/>
    <x v="0"/>
    <n v="13"/>
    <d v="2025-06-03T13:00:00"/>
    <s v="Jun"/>
    <n v="6"/>
    <s v="Q2"/>
    <x v="0"/>
    <x v="0"/>
    <x v="0"/>
    <x v="0"/>
  </r>
  <r>
    <x v="1200"/>
    <x v="305"/>
    <s v="CUST0004"/>
    <x v="6"/>
    <x v="6"/>
    <x v="1"/>
    <x v="4"/>
    <n v="3"/>
    <n v="6144.42"/>
    <n v="0.2"/>
    <n v="4915.54"/>
    <n v="3514.57"/>
    <n v="1400.97"/>
    <x v="1"/>
    <n v="19"/>
    <d v="2025-06-05T19:00:00"/>
    <s v="Jun"/>
    <n v="6"/>
    <s v="Q2"/>
    <x v="1"/>
    <x v="0"/>
    <x v="0"/>
    <x v="1"/>
  </r>
  <r>
    <x v="1201"/>
    <x v="28"/>
    <s v="CUST0271"/>
    <x v="5"/>
    <x v="7"/>
    <x v="4"/>
    <x v="21"/>
    <n v="3"/>
    <n v="8947.89"/>
    <n v="0.15"/>
    <n v="7605.71"/>
    <n v="4536.79"/>
    <n v="3068.92"/>
    <x v="0"/>
    <n v="30"/>
    <d v="2025-02-19T06:00:00"/>
    <s v="Feb"/>
    <n v="2"/>
    <s v="Q1"/>
    <x v="0"/>
    <x v="0"/>
    <x v="0"/>
    <x v="0"/>
  </r>
  <r>
    <x v="1202"/>
    <x v="272"/>
    <s v="CUST0064"/>
    <x v="3"/>
    <x v="1"/>
    <x v="0"/>
    <x v="0"/>
    <n v="7"/>
    <n v="30169.72"/>
    <n v="0.25"/>
    <n v="22627.29"/>
    <n v="14072.1"/>
    <n v="8555.19"/>
    <x v="0"/>
    <n v="34"/>
    <d v="2025-12-04T10:00:00"/>
    <s v="Dec"/>
    <n v="12"/>
    <s v="Q4"/>
    <x v="0"/>
    <x v="0"/>
    <x v="0"/>
    <x v="0"/>
  </r>
  <r>
    <x v="1203"/>
    <x v="282"/>
    <s v="CUST0112"/>
    <x v="0"/>
    <x v="4"/>
    <x v="2"/>
    <x v="11"/>
    <n v="6"/>
    <n v="22877.279999999999"/>
    <n v="0.2"/>
    <n v="18301.82"/>
    <n v="13977.67"/>
    <n v="4324.1499999999996"/>
    <x v="0"/>
    <n v="30"/>
    <d v="2025-03-26T06:00:00"/>
    <s v="Mar"/>
    <n v="3"/>
    <s v="Q1"/>
    <x v="0"/>
    <x v="0"/>
    <x v="0"/>
    <x v="0"/>
  </r>
  <r>
    <x v="1204"/>
    <x v="281"/>
    <s v="CUST0239"/>
    <x v="4"/>
    <x v="5"/>
    <x v="4"/>
    <x v="9"/>
    <n v="7"/>
    <n v="13808.06"/>
    <n v="0.2"/>
    <n v="11046.45"/>
    <n v="7612.98"/>
    <n v="3433.47"/>
    <x v="0"/>
    <n v="45"/>
    <d v="2025-12-28T21:00:00"/>
    <s v="Dec"/>
    <n v="12"/>
    <s v="Q4"/>
    <x v="0"/>
    <x v="0"/>
    <x v="0"/>
    <x v="0"/>
  </r>
  <r>
    <x v="1205"/>
    <x v="279"/>
    <s v="CUST0144"/>
    <x v="2"/>
    <x v="3"/>
    <x v="3"/>
    <x v="12"/>
    <n v="2"/>
    <n v="2478.54"/>
    <n v="0.15"/>
    <n v="2106.7600000000002"/>
    <n v="1260.78"/>
    <n v="845.98"/>
    <x v="0"/>
    <n v="4"/>
    <d v="2025-06-26T04:00:00"/>
    <s v="Jun"/>
    <n v="6"/>
    <s v="Q2"/>
    <x v="0"/>
    <x v="0"/>
    <x v="0"/>
    <x v="0"/>
  </r>
  <r>
    <x v="1206"/>
    <x v="169"/>
    <s v="CUST0020"/>
    <x v="9"/>
    <x v="1"/>
    <x v="2"/>
    <x v="24"/>
    <n v="2"/>
    <n v="510.04"/>
    <n v="0.05"/>
    <n v="484.54"/>
    <n v="343.09"/>
    <n v="141.44999999999999"/>
    <x v="0"/>
    <n v="9"/>
    <d v="2025-05-28T09:00:00"/>
    <s v="May"/>
    <n v="5"/>
    <s v="Q2"/>
    <x v="0"/>
    <x v="0"/>
    <x v="0"/>
    <x v="0"/>
  </r>
  <r>
    <x v="1207"/>
    <x v="250"/>
    <s v="CUST0064"/>
    <x v="0"/>
    <x v="5"/>
    <x v="0"/>
    <x v="17"/>
    <n v="3"/>
    <n v="4306.7700000000004"/>
    <n v="0"/>
    <n v="4306.7700000000004"/>
    <n v="2393.5"/>
    <n v="1913.27"/>
    <x v="0"/>
    <n v="14"/>
    <d v="2025-04-28T14:00:00"/>
    <s v="Apr"/>
    <n v="4"/>
    <s v="Q2"/>
    <x v="0"/>
    <x v="0"/>
    <x v="0"/>
    <x v="0"/>
  </r>
  <r>
    <x v="1208"/>
    <x v="216"/>
    <s v="CUST0289"/>
    <x v="7"/>
    <x v="1"/>
    <x v="3"/>
    <x v="20"/>
    <n v="4"/>
    <n v="24158.92"/>
    <n v="0.1"/>
    <n v="21743.03"/>
    <n v="17224.509999999998"/>
    <n v="4518.5200000000004"/>
    <x v="0"/>
    <n v="37"/>
    <d v="2025-12-09T13:00:00"/>
    <s v="Dec"/>
    <n v="12"/>
    <s v="Q4"/>
    <x v="0"/>
    <x v="0"/>
    <x v="0"/>
    <x v="0"/>
  </r>
  <r>
    <x v="1209"/>
    <x v="88"/>
    <s v="CUST0081"/>
    <x v="3"/>
    <x v="7"/>
    <x v="3"/>
    <x v="16"/>
    <n v="1"/>
    <n v="2184.38"/>
    <n v="0.25"/>
    <n v="1638.28"/>
    <n v="940.83"/>
    <n v="697.45"/>
    <x v="2"/>
    <n v="52"/>
    <d v="2025-03-06T04:00:00"/>
    <s v="Mar"/>
    <n v="3"/>
    <s v="Q1"/>
    <x v="1"/>
    <x v="0"/>
    <x v="1"/>
    <x v="0"/>
  </r>
  <r>
    <x v="1210"/>
    <x v="5"/>
    <s v="CUST0197"/>
    <x v="7"/>
    <x v="2"/>
    <x v="0"/>
    <x v="17"/>
    <n v="1"/>
    <n v="4062.83"/>
    <n v="0.15"/>
    <n v="3453.41"/>
    <n v="2616.33"/>
    <n v="837.08"/>
    <x v="1"/>
    <n v="20"/>
    <d v="2025-07-08T20:00:00"/>
    <s v="Jul"/>
    <n v="7"/>
    <s v="Q3"/>
    <x v="1"/>
    <x v="0"/>
    <x v="0"/>
    <x v="1"/>
  </r>
  <r>
    <x v="1211"/>
    <x v="12"/>
    <s v="CUST0069"/>
    <x v="2"/>
    <x v="0"/>
    <x v="2"/>
    <x v="24"/>
    <n v="3"/>
    <n v="15262.08"/>
    <n v="0.2"/>
    <n v="12209.66"/>
    <n v="9910.5"/>
    <n v="2299.16"/>
    <x v="1"/>
    <n v="13"/>
    <d v="2025-12-26T13:00:00"/>
    <s v="Dec"/>
    <n v="12"/>
    <s v="Q4"/>
    <x v="1"/>
    <x v="0"/>
    <x v="0"/>
    <x v="1"/>
  </r>
  <r>
    <x v="1212"/>
    <x v="28"/>
    <s v="CUST0186"/>
    <x v="5"/>
    <x v="1"/>
    <x v="1"/>
    <x v="8"/>
    <n v="7"/>
    <n v="52885.84"/>
    <n v="0.15"/>
    <n v="44952.959999999999"/>
    <n v="26691.83"/>
    <n v="18261.13"/>
    <x v="3"/>
    <n v="4"/>
    <d v="2025-02-18T04:00:00"/>
    <s v="Feb"/>
    <n v="2"/>
    <s v="Q1"/>
    <x v="1"/>
    <x v="1"/>
    <x v="0"/>
    <x v="0"/>
  </r>
  <r>
    <x v="1213"/>
    <x v="84"/>
    <s v="CUST0167"/>
    <x v="8"/>
    <x v="4"/>
    <x v="0"/>
    <x v="19"/>
    <n v="2"/>
    <n v="15143.88"/>
    <n v="0"/>
    <n v="15143.88"/>
    <n v="10921.02"/>
    <n v="4222.8599999999997"/>
    <x v="0"/>
    <n v="21"/>
    <d v="2025-11-23T21:00:00"/>
    <s v="Nov"/>
    <n v="11"/>
    <s v="Q4"/>
    <x v="0"/>
    <x v="0"/>
    <x v="0"/>
    <x v="0"/>
  </r>
  <r>
    <x v="1214"/>
    <x v="108"/>
    <s v="CUST0205"/>
    <x v="8"/>
    <x v="3"/>
    <x v="0"/>
    <x v="14"/>
    <n v="7"/>
    <n v="44638.16"/>
    <n v="0.05"/>
    <n v="42406.25"/>
    <n v="34225.760000000002"/>
    <n v="8180.49"/>
    <x v="2"/>
    <n v="95"/>
    <d v="2025-09-17T23:00:00"/>
    <s v="Sep"/>
    <n v="9"/>
    <s v="Q3"/>
    <x v="1"/>
    <x v="0"/>
    <x v="1"/>
    <x v="0"/>
  </r>
  <r>
    <x v="1215"/>
    <x v="155"/>
    <s v="CUST0164"/>
    <x v="7"/>
    <x v="6"/>
    <x v="0"/>
    <x v="6"/>
    <n v="6"/>
    <n v="2661.36"/>
    <n v="0.05"/>
    <n v="2528.29"/>
    <n v="1608.02"/>
    <n v="920.27"/>
    <x v="1"/>
    <n v="13"/>
    <d v="2025-08-12T13:00:00"/>
    <s v="Aug"/>
    <n v="8"/>
    <s v="Q3"/>
    <x v="1"/>
    <x v="0"/>
    <x v="0"/>
    <x v="1"/>
  </r>
  <r>
    <x v="1216"/>
    <x v="294"/>
    <s v="CUST0094"/>
    <x v="6"/>
    <x v="3"/>
    <x v="3"/>
    <x v="7"/>
    <n v="4"/>
    <n v="19807.36"/>
    <n v="0"/>
    <n v="19807.36"/>
    <n v="11958.94"/>
    <n v="7848.42"/>
    <x v="0"/>
    <n v="7"/>
    <d v="2025-05-21T07:00:00"/>
    <s v="May"/>
    <n v="5"/>
    <s v="Q2"/>
    <x v="0"/>
    <x v="0"/>
    <x v="0"/>
    <x v="0"/>
  </r>
  <r>
    <x v="1217"/>
    <x v="8"/>
    <s v="CUST0249"/>
    <x v="5"/>
    <x v="4"/>
    <x v="4"/>
    <x v="23"/>
    <n v="3"/>
    <n v="20153.91"/>
    <n v="0.1"/>
    <n v="18138.52"/>
    <n v="11992.29"/>
    <n v="6146.23"/>
    <x v="0"/>
    <n v="16"/>
    <d v="2025-08-03T16:00:00"/>
    <s v="Aug"/>
    <n v="8"/>
    <s v="Q3"/>
    <x v="0"/>
    <x v="0"/>
    <x v="0"/>
    <x v="0"/>
  </r>
  <r>
    <x v="1218"/>
    <x v="347"/>
    <s v="CUST0068"/>
    <x v="8"/>
    <x v="7"/>
    <x v="1"/>
    <x v="10"/>
    <n v="1"/>
    <n v="294.36"/>
    <n v="0.25"/>
    <n v="220.77"/>
    <n v="161.84"/>
    <n v="58.93"/>
    <x v="0"/>
    <n v="21"/>
    <d v="2025-07-30T21:00:00"/>
    <s v="Jul"/>
    <n v="7"/>
    <s v="Q3"/>
    <x v="0"/>
    <x v="0"/>
    <x v="0"/>
    <x v="0"/>
  </r>
  <r>
    <x v="1219"/>
    <x v="145"/>
    <s v="CUST0021"/>
    <x v="5"/>
    <x v="4"/>
    <x v="2"/>
    <x v="11"/>
    <n v="5"/>
    <n v="23699.35"/>
    <n v="0.15"/>
    <n v="20144.45"/>
    <n v="14903.72"/>
    <n v="5240.7299999999996"/>
    <x v="0"/>
    <n v="32"/>
    <d v="2025-11-15T08:00:00"/>
    <s v="Nov"/>
    <n v="11"/>
    <s v="Q4"/>
    <x v="0"/>
    <x v="0"/>
    <x v="0"/>
    <x v="0"/>
  </r>
  <r>
    <x v="1220"/>
    <x v="348"/>
    <s v="CUST0085"/>
    <x v="0"/>
    <x v="0"/>
    <x v="2"/>
    <x v="3"/>
    <n v="7"/>
    <n v="51186.31"/>
    <n v="0.05"/>
    <n v="48626.99"/>
    <n v="28845"/>
    <n v="19781.990000000002"/>
    <x v="2"/>
    <n v="65"/>
    <d v="2025-02-03T17:00:00"/>
    <s v="Feb"/>
    <n v="2"/>
    <s v="Q1"/>
    <x v="1"/>
    <x v="0"/>
    <x v="1"/>
    <x v="0"/>
  </r>
  <r>
    <x v="1221"/>
    <x v="193"/>
    <s v="CUST0024"/>
    <x v="5"/>
    <x v="0"/>
    <x v="4"/>
    <x v="13"/>
    <n v="2"/>
    <n v="8217.5"/>
    <n v="0"/>
    <n v="8217.5"/>
    <n v="5760.45"/>
    <n v="2457.0500000000002"/>
    <x v="2"/>
    <n v="62"/>
    <d v="2025-06-09T14:00:00"/>
    <s v="Jun"/>
    <n v="6"/>
    <s v="Q2"/>
    <x v="1"/>
    <x v="0"/>
    <x v="1"/>
    <x v="0"/>
  </r>
  <r>
    <x v="1222"/>
    <x v="257"/>
    <s v="CUST0111"/>
    <x v="1"/>
    <x v="0"/>
    <x v="0"/>
    <x v="14"/>
    <n v="5"/>
    <n v="921.45"/>
    <n v="0.05"/>
    <n v="875.38"/>
    <n v="558.96"/>
    <n v="316.42"/>
    <x v="0"/>
    <n v="30"/>
    <d v="2025-10-13T06:00:00"/>
    <s v="Oct"/>
    <n v="10"/>
    <s v="Q4"/>
    <x v="0"/>
    <x v="0"/>
    <x v="0"/>
    <x v="0"/>
  </r>
  <r>
    <x v="1223"/>
    <x v="234"/>
    <s v="CUST0083"/>
    <x v="2"/>
    <x v="1"/>
    <x v="1"/>
    <x v="8"/>
    <n v="6"/>
    <n v="1451.76"/>
    <n v="0.1"/>
    <n v="1306.58"/>
    <n v="1081.68"/>
    <n v="224.9"/>
    <x v="0"/>
    <n v="22"/>
    <d v="2025-11-01T22:00:00"/>
    <s v="Nov"/>
    <n v="11"/>
    <s v="Q4"/>
    <x v="0"/>
    <x v="0"/>
    <x v="0"/>
    <x v="0"/>
  </r>
  <r>
    <x v="1224"/>
    <x v="135"/>
    <s v="CUST0078"/>
    <x v="8"/>
    <x v="7"/>
    <x v="2"/>
    <x v="15"/>
    <n v="3"/>
    <n v="10886.73"/>
    <n v="0.05"/>
    <n v="10342.39"/>
    <n v="6758.54"/>
    <n v="3583.85"/>
    <x v="1"/>
    <n v="13"/>
    <d v="2025-10-13T13:00:00"/>
    <s v="Oct"/>
    <n v="10"/>
    <s v="Q4"/>
    <x v="1"/>
    <x v="0"/>
    <x v="0"/>
    <x v="1"/>
  </r>
  <r>
    <x v="1225"/>
    <x v="165"/>
    <s v="CUST0140"/>
    <x v="5"/>
    <x v="2"/>
    <x v="2"/>
    <x v="3"/>
    <n v="7"/>
    <n v="10110.24"/>
    <n v="0"/>
    <n v="10110.24"/>
    <n v="8358.8700000000008"/>
    <n v="1751.37"/>
    <x v="0"/>
    <n v="41"/>
    <d v="2025-05-25T17:00:00"/>
    <s v="May"/>
    <n v="5"/>
    <s v="Q2"/>
    <x v="0"/>
    <x v="0"/>
    <x v="0"/>
    <x v="0"/>
  </r>
  <r>
    <x v="1226"/>
    <x v="283"/>
    <s v="CUST0271"/>
    <x v="7"/>
    <x v="0"/>
    <x v="0"/>
    <x v="17"/>
    <n v="1"/>
    <n v="5698.16"/>
    <n v="0.05"/>
    <n v="5413.25"/>
    <n v="3742.86"/>
    <n v="1670.39"/>
    <x v="0"/>
    <n v="22"/>
    <d v="2025-01-19T22:00:00"/>
    <s v="Jan"/>
    <n v="1"/>
    <s v="Q1"/>
    <x v="0"/>
    <x v="0"/>
    <x v="0"/>
    <x v="0"/>
  </r>
  <r>
    <x v="1227"/>
    <x v="209"/>
    <s v="CUST0169"/>
    <x v="4"/>
    <x v="2"/>
    <x v="4"/>
    <x v="23"/>
    <n v="7"/>
    <n v="42479.29"/>
    <n v="0.05"/>
    <n v="40355.33"/>
    <n v="31871.56"/>
    <n v="8483.77"/>
    <x v="0"/>
    <n v="4"/>
    <d v="2025-01-18T04:00:00"/>
    <s v="Jan"/>
    <n v="1"/>
    <s v="Q1"/>
    <x v="0"/>
    <x v="0"/>
    <x v="0"/>
    <x v="0"/>
  </r>
  <r>
    <x v="1228"/>
    <x v="108"/>
    <s v="CUST0197"/>
    <x v="1"/>
    <x v="6"/>
    <x v="1"/>
    <x v="8"/>
    <n v="4"/>
    <n v="6541.2"/>
    <n v="0.2"/>
    <n v="5232.96"/>
    <n v="3758.94"/>
    <n v="1474.02"/>
    <x v="0"/>
    <n v="43"/>
    <d v="2025-09-15T19:00:00"/>
    <s v="Sep"/>
    <n v="9"/>
    <s v="Q3"/>
    <x v="0"/>
    <x v="0"/>
    <x v="0"/>
    <x v="0"/>
  </r>
  <r>
    <x v="1229"/>
    <x v="316"/>
    <s v="CUST0262"/>
    <x v="1"/>
    <x v="6"/>
    <x v="4"/>
    <x v="22"/>
    <n v="5"/>
    <n v="37846.25"/>
    <n v="0"/>
    <n v="37846.25"/>
    <n v="28583.29"/>
    <n v="9262.9599999999991"/>
    <x v="1"/>
    <n v="10"/>
    <d v="2025-03-19T10:00:00"/>
    <s v="Mar"/>
    <n v="3"/>
    <s v="Q1"/>
    <x v="1"/>
    <x v="0"/>
    <x v="0"/>
    <x v="1"/>
  </r>
  <r>
    <x v="1230"/>
    <x v="33"/>
    <s v="CUST0215"/>
    <x v="6"/>
    <x v="2"/>
    <x v="4"/>
    <x v="9"/>
    <n v="4"/>
    <n v="15359.72"/>
    <n v="0"/>
    <n v="15359.72"/>
    <n v="10451.790000000001"/>
    <n v="4907.93"/>
    <x v="1"/>
    <n v="14"/>
    <d v="2025-06-24T14:00:00"/>
    <s v="Jun"/>
    <n v="6"/>
    <s v="Q2"/>
    <x v="1"/>
    <x v="0"/>
    <x v="0"/>
    <x v="1"/>
  </r>
  <r>
    <x v="1231"/>
    <x v="187"/>
    <s v="CUST0067"/>
    <x v="5"/>
    <x v="5"/>
    <x v="1"/>
    <x v="4"/>
    <n v="6"/>
    <n v="8056.56"/>
    <n v="0"/>
    <n v="8056.56"/>
    <n v="6473.51"/>
    <n v="1583.05"/>
    <x v="1"/>
    <n v="14"/>
    <d v="2025-07-13T14:00:00"/>
    <s v="Jul"/>
    <n v="7"/>
    <s v="Q3"/>
    <x v="1"/>
    <x v="0"/>
    <x v="0"/>
    <x v="1"/>
  </r>
  <r>
    <x v="1232"/>
    <x v="150"/>
    <s v="CUST0229"/>
    <x v="6"/>
    <x v="4"/>
    <x v="1"/>
    <x v="4"/>
    <n v="1"/>
    <n v="6531.5"/>
    <n v="0.05"/>
    <n v="6204.92"/>
    <n v="4283.33"/>
    <n v="1921.59"/>
    <x v="0"/>
    <n v="18"/>
    <d v="2025-04-23T18:00:00"/>
    <s v="Apr"/>
    <n v="4"/>
    <s v="Q2"/>
    <x v="0"/>
    <x v="0"/>
    <x v="0"/>
    <x v="0"/>
  </r>
  <r>
    <x v="1233"/>
    <x v="214"/>
    <s v="CUST0161"/>
    <x v="6"/>
    <x v="0"/>
    <x v="2"/>
    <x v="15"/>
    <n v="5"/>
    <n v="33731.449999999997"/>
    <n v="0.1"/>
    <n v="30358.3"/>
    <n v="21280.03"/>
    <n v="9078.27"/>
    <x v="0"/>
    <n v="42"/>
    <d v="2025-04-25T18:00:00"/>
    <s v="Apr"/>
    <n v="4"/>
    <s v="Q2"/>
    <x v="0"/>
    <x v="0"/>
    <x v="0"/>
    <x v="0"/>
  </r>
  <r>
    <x v="1234"/>
    <x v="120"/>
    <s v="CUST0122"/>
    <x v="4"/>
    <x v="1"/>
    <x v="2"/>
    <x v="3"/>
    <n v="6"/>
    <n v="32928.720000000001"/>
    <n v="0.15"/>
    <n v="27989.41"/>
    <n v="20175.72"/>
    <n v="7813.69"/>
    <x v="0"/>
    <n v="42"/>
    <d v="2025-08-11T18:00:00"/>
    <s v="Aug"/>
    <n v="8"/>
    <s v="Q3"/>
    <x v="0"/>
    <x v="0"/>
    <x v="0"/>
    <x v="0"/>
  </r>
  <r>
    <x v="1235"/>
    <x v="321"/>
    <s v="CUST0149"/>
    <x v="0"/>
    <x v="5"/>
    <x v="1"/>
    <x v="5"/>
    <n v="4"/>
    <n v="29105.759999999998"/>
    <n v="0.1"/>
    <n v="26195.18"/>
    <n v="21597.98"/>
    <n v="4597.2"/>
    <x v="2"/>
    <n v="60"/>
    <d v="2025-06-17T12:00:00"/>
    <s v="Jun"/>
    <n v="6"/>
    <s v="Q2"/>
    <x v="1"/>
    <x v="0"/>
    <x v="1"/>
    <x v="0"/>
  </r>
  <r>
    <x v="1236"/>
    <x v="242"/>
    <s v="CUST0193"/>
    <x v="5"/>
    <x v="6"/>
    <x v="3"/>
    <x v="20"/>
    <n v="4"/>
    <n v="25228.240000000002"/>
    <n v="0.1"/>
    <n v="22705.42"/>
    <n v="17428.57"/>
    <n v="5276.85"/>
    <x v="2"/>
    <n v="49"/>
    <d v="2025-11-17T01:00:00"/>
    <s v="Nov"/>
    <n v="11"/>
    <s v="Q4"/>
    <x v="1"/>
    <x v="0"/>
    <x v="1"/>
    <x v="0"/>
  </r>
  <r>
    <x v="1237"/>
    <x v="295"/>
    <s v="CUST0231"/>
    <x v="3"/>
    <x v="3"/>
    <x v="2"/>
    <x v="24"/>
    <n v="5"/>
    <n v="37582.1"/>
    <n v="0.05"/>
    <n v="35702.99"/>
    <n v="23750.45"/>
    <n v="11952.54"/>
    <x v="0"/>
    <n v="47"/>
    <d v="2025-05-13T23:00:00"/>
    <s v="May"/>
    <n v="5"/>
    <s v="Q2"/>
    <x v="0"/>
    <x v="0"/>
    <x v="0"/>
    <x v="0"/>
  </r>
  <r>
    <x v="1238"/>
    <x v="53"/>
    <s v="CUST0111"/>
    <x v="8"/>
    <x v="7"/>
    <x v="3"/>
    <x v="16"/>
    <n v="1"/>
    <n v="3772.97"/>
    <n v="0.1"/>
    <n v="3395.67"/>
    <n v="2618.7600000000002"/>
    <n v="776.91"/>
    <x v="1"/>
    <n v="12"/>
    <d v="2025-09-21T12:00:00"/>
    <s v="Sep"/>
    <n v="9"/>
    <s v="Q3"/>
    <x v="1"/>
    <x v="0"/>
    <x v="0"/>
    <x v="1"/>
  </r>
  <r>
    <x v="1239"/>
    <x v="36"/>
    <s v="CUST0145"/>
    <x v="6"/>
    <x v="3"/>
    <x v="1"/>
    <x v="4"/>
    <n v="4"/>
    <n v="25569.759999999998"/>
    <n v="0"/>
    <n v="25569.759999999998"/>
    <n v="19484.18"/>
    <n v="6085.58"/>
    <x v="0"/>
    <n v="35"/>
    <d v="2025-02-25T11:00:00"/>
    <s v="Feb"/>
    <n v="2"/>
    <s v="Q1"/>
    <x v="0"/>
    <x v="0"/>
    <x v="0"/>
    <x v="0"/>
  </r>
  <r>
    <x v="1240"/>
    <x v="111"/>
    <s v="CUST0221"/>
    <x v="2"/>
    <x v="2"/>
    <x v="2"/>
    <x v="2"/>
    <n v="3"/>
    <n v="25493.79"/>
    <n v="0.05"/>
    <n v="24219.1"/>
    <n v="20761.490000000002"/>
    <n v="3457.61"/>
    <x v="0"/>
    <n v="7"/>
    <d v="2025-12-25T07:00:00"/>
    <s v="Dec"/>
    <n v="12"/>
    <s v="Q4"/>
    <x v="0"/>
    <x v="0"/>
    <x v="0"/>
    <x v="0"/>
  </r>
  <r>
    <x v="1241"/>
    <x v="14"/>
    <s v="CUST0064"/>
    <x v="9"/>
    <x v="5"/>
    <x v="4"/>
    <x v="9"/>
    <n v="6"/>
    <n v="37219.08"/>
    <n v="0.15"/>
    <n v="31636.22"/>
    <n v="26184.27"/>
    <n v="5451.95"/>
    <x v="0"/>
    <n v="4"/>
    <d v="2025-05-11T04:00:00"/>
    <s v="May"/>
    <n v="5"/>
    <s v="Q2"/>
    <x v="0"/>
    <x v="0"/>
    <x v="0"/>
    <x v="0"/>
  </r>
  <r>
    <x v="1242"/>
    <x v="215"/>
    <s v="CUST0126"/>
    <x v="2"/>
    <x v="6"/>
    <x v="1"/>
    <x v="8"/>
    <n v="5"/>
    <n v="5517.15"/>
    <n v="0.15"/>
    <n v="4689.58"/>
    <n v="3581.23"/>
    <n v="1108.3499999999999"/>
    <x v="3"/>
    <n v="9"/>
    <d v="2025-10-15T09:00:00"/>
    <s v="Oct"/>
    <n v="10"/>
    <s v="Q4"/>
    <x v="1"/>
    <x v="1"/>
    <x v="0"/>
    <x v="0"/>
  </r>
  <r>
    <x v="1243"/>
    <x v="349"/>
    <s v="CUST0218"/>
    <x v="4"/>
    <x v="6"/>
    <x v="0"/>
    <x v="17"/>
    <n v="2"/>
    <n v="8955.92"/>
    <n v="0.15"/>
    <n v="7612.53"/>
    <n v="5044.8"/>
    <n v="2567.73"/>
    <x v="0"/>
    <n v="10"/>
    <d v="2025-09-23T10:00:00"/>
    <s v="Sep"/>
    <n v="9"/>
    <s v="Q3"/>
    <x v="0"/>
    <x v="0"/>
    <x v="0"/>
    <x v="0"/>
  </r>
  <r>
    <x v="1244"/>
    <x v="66"/>
    <s v="CUST0284"/>
    <x v="4"/>
    <x v="4"/>
    <x v="3"/>
    <x v="20"/>
    <n v="2"/>
    <n v="10108.700000000001"/>
    <n v="0.05"/>
    <n v="9603.26"/>
    <n v="7752.33"/>
    <n v="1850.93"/>
    <x v="0"/>
    <n v="12"/>
    <d v="2025-06-11T12:00:00"/>
    <s v="Jun"/>
    <n v="6"/>
    <s v="Q2"/>
    <x v="0"/>
    <x v="0"/>
    <x v="0"/>
    <x v="0"/>
  </r>
  <r>
    <x v="1245"/>
    <x v="350"/>
    <s v="CUST0236"/>
    <x v="7"/>
    <x v="4"/>
    <x v="1"/>
    <x v="1"/>
    <n v="1"/>
    <n v="1604.66"/>
    <n v="0.05"/>
    <n v="1524.43"/>
    <n v="1127.8"/>
    <n v="396.63"/>
    <x v="0"/>
    <n v="4"/>
    <d v="2025-03-28T04:00:00"/>
    <s v="Mar"/>
    <n v="3"/>
    <s v="Q1"/>
    <x v="0"/>
    <x v="0"/>
    <x v="0"/>
    <x v="0"/>
  </r>
  <r>
    <x v="1246"/>
    <x v="36"/>
    <s v="CUST0013"/>
    <x v="0"/>
    <x v="0"/>
    <x v="1"/>
    <x v="1"/>
    <n v="3"/>
    <n v="24570.45"/>
    <n v="0.25"/>
    <n v="18427.84"/>
    <n v="16126.92"/>
    <n v="2300.92"/>
    <x v="0"/>
    <n v="19"/>
    <d v="2025-02-24T19:00:00"/>
    <s v="Feb"/>
    <n v="2"/>
    <s v="Q1"/>
    <x v="0"/>
    <x v="0"/>
    <x v="0"/>
    <x v="0"/>
  </r>
  <r>
    <x v="1247"/>
    <x v="215"/>
    <s v="CUST0153"/>
    <x v="8"/>
    <x v="2"/>
    <x v="2"/>
    <x v="2"/>
    <n v="4"/>
    <n v="6464.36"/>
    <n v="0"/>
    <n v="6464.36"/>
    <n v="4083.39"/>
    <n v="2380.9699999999998"/>
    <x v="0"/>
    <n v="21"/>
    <d v="2025-10-15T21:00:00"/>
    <s v="Oct"/>
    <n v="10"/>
    <s v="Q4"/>
    <x v="0"/>
    <x v="0"/>
    <x v="0"/>
    <x v="0"/>
  </r>
  <r>
    <x v="1248"/>
    <x v="267"/>
    <s v="CUST0239"/>
    <x v="6"/>
    <x v="7"/>
    <x v="2"/>
    <x v="24"/>
    <n v="2"/>
    <n v="3265.22"/>
    <n v="0"/>
    <n v="3265.22"/>
    <n v="1881.7"/>
    <n v="1383.52"/>
    <x v="3"/>
    <n v="10"/>
    <d v="2025-06-27T10:00:00"/>
    <s v="Jun"/>
    <n v="6"/>
    <s v="Q2"/>
    <x v="1"/>
    <x v="1"/>
    <x v="0"/>
    <x v="0"/>
  </r>
  <r>
    <x v="1249"/>
    <x v="1"/>
    <s v="CUST0190"/>
    <x v="2"/>
    <x v="0"/>
    <x v="2"/>
    <x v="2"/>
    <n v="1"/>
    <n v="7791.65"/>
    <n v="0"/>
    <n v="7791.65"/>
    <n v="4465.12"/>
    <n v="3326.53"/>
    <x v="0"/>
    <n v="5"/>
    <d v="2025-12-15T05:00:00"/>
    <s v="Dec"/>
    <n v="12"/>
    <s v="Q4"/>
    <x v="0"/>
    <x v="0"/>
    <x v="0"/>
    <x v="0"/>
  </r>
  <r>
    <x v="1250"/>
    <x v="306"/>
    <s v="CUST0151"/>
    <x v="9"/>
    <x v="5"/>
    <x v="0"/>
    <x v="17"/>
    <n v="6"/>
    <n v="24206.82"/>
    <n v="0.05"/>
    <n v="22996.48"/>
    <n v="17505.150000000001"/>
    <n v="5491.33"/>
    <x v="0"/>
    <n v="12"/>
    <d v="2025-01-08T12:00:00"/>
    <s v="Jan"/>
    <n v="1"/>
    <s v="Q1"/>
    <x v="0"/>
    <x v="0"/>
    <x v="0"/>
    <x v="0"/>
  </r>
  <r>
    <x v="1251"/>
    <x v="228"/>
    <s v="CUST0086"/>
    <x v="4"/>
    <x v="4"/>
    <x v="2"/>
    <x v="2"/>
    <n v="3"/>
    <n v="2032.86"/>
    <n v="0.05"/>
    <n v="1931.22"/>
    <n v="1660.76"/>
    <n v="270.45999999999998"/>
    <x v="0"/>
    <n v="7"/>
    <d v="2025-11-17T07:00:00"/>
    <s v="Nov"/>
    <n v="11"/>
    <s v="Q4"/>
    <x v="0"/>
    <x v="0"/>
    <x v="0"/>
    <x v="0"/>
  </r>
  <r>
    <x v="1252"/>
    <x v="225"/>
    <s v="CUST0021"/>
    <x v="4"/>
    <x v="1"/>
    <x v="1"/>
    <x v="1"/>
    <n v="3"/>
    <n v="15434.61"/>
    <n v="0.1"/>
    <n v="13891.15"/>
    <n v="7648.99"/>
    <n v="6242.16"/>
    <x v="2"/>
    <n v="71"/>
    <d v="2025-11-11T23:00:00"/>
    <s v="Nov"/>
    <n v="11"/>
    <s v="Q4"/>
    <x v="1"/>
    <x v="0"/>
    <x v="1"/>
    <x v="0"/>
  </r>
  <r>
    <x v="1253"/>
    <x v="157"/>
    <s v="CUST0182"/>
    <x v="0"/>
    <x v="7"/>
    <x v="2"/>
    <x v="15"/>
    <n v="7"/>
    <n v="36226.75"/>
    <n v="0.1"/>
    <n v="32604.080000000002"/>
    <n v="25741.07"/>
    <n v="6863.01"/>
    <x v="0"/>
    <n v="26"/>
    <d v="2025-09-05T02:00:00"/>
    <s v="Sep"/>
    <n v="9"/>
    <s v="Q3"/>
    <x v="0"/>
    <x v="0"/>
    <x v="0"/>
    <x v="0"/>
  </r>
  <r>
    <x v="1254"/>
    <x v="208"/>
    <s v="CUST0158"/>
    <x v="9"/>
    <x v="1"/>
    <x v="4"/>
    <x v="22"/>
    <n v="1"/>
    <n v="688.58"/>
    <n v="0.2"/>
    <n v="550.86"/>
    <n v="422.42"/>
    <n v="128.44"/>
    <x v="0"/>
    <n v="46"/>
    <d v="2025-11-20T22:00:00"/>
    <s v="Nov"/>
    <n v="11"/>
    <s v="Q4"/>
    <x v="0"/>
    <x v="0"/>
    <x v="0"/>
    <x v="0"/>
  </r>
  <r>
    <x v="1255"/>
    <x v="110"/>
    <s v="CUST0076"/>
    <x v="9"/>
    <x v="5"/>
    <x v="2"/>
    <x v="15"/>
    <n v="1"/>
    <n v="8270.56"/>
    <n v="0"/>
    <n v="8270.56"/>
    <n v="6547.47"/>
    <n v="1723.09"/>
    <x v="2"/>
    <n v="95"/>
    <d v="2025-09-15T23:00:00"/>
    <s v="Sep"/>
    <n v="9"/>
    <s v="Q3"/>
    <x v="1"/>
    <x v="0"/>
    <x v="1"/>
    <x v="0"/>
  </r>
  <r>
    <x v="1256"/>
    <x v="96"/>
    <s v="CUST0203"/>
    <x v="0"/>
    <x v="0"/>
    <x v="0"/>
    <x v="14"/>
    <n v="7"/>
    <n v="32848.550000000003"/>
    <n v="0.05"/>
    <n v="31206.12"/>
    <n v="20823.34"/>
    <n v="10382.780000000001"/>
    <x v="0"/>
    <n v="46"/>
    <d v="2025-11-25T22:00:00"/>
    <s v="Nov"/>
    <n v="11"/>
    <s v="Q4"/>
    <x v="0"/>
    <x v="0"/>
    <x v="0"/>
    <x v="0"/>
  </r>
  <r>
    <x v="1257"/>
    <x v="59"/>
    <s v="CUST0229"/>
    <x v="4"/>
    <x v="4"/>
    <x v="4"/>
    <x v="9"/>
    <n v="4"/>
    <n v="19297.16"/>
    <n v="0.1"/>
    <n v="17367.439999999999"/>
    <n v="14254.57"/>
    <n v="3112.87"/>
    <x v="3"/>
    <n v="17"/>
    <d v="2025-02-23T17:00:00"/>
    <s v="Feb"/>
    <n v="2"/>
    <s v="Q1"/>
    <x v="1"/>
    <x v="1"/>
    <x v="0"/>
    <x v="0"/>
  </r>
  <r>
    <x v="1258"/>
    <x v="277"/>
    <s v="CUST0152"/>
    <x v="8"/>
    <x v="7"/>
    <x v="1"/>
    <x v="8"/>
    <n v="1"/>
    <n v="4492.96"/>
    <n v="0.1"/>
    <n v="4043.66"/>
    <n v="2283.67"/>
    <n v="1759.99"/>
    <x v="0"/>
    <n v="42"/>
    <d v="2025-09-07T18:00:00"/>
    <s v="Sep"/>
    <n v="9"/>
    <s v="Q3"/>
    <x v="0"/>
    <x v="0"/>
    <x v="0"/>
    <x v="0"/>
  </r>
  <r>
    <x v="1259"/>
    <x v="248"/>
    <s v="CUST0263"/>
    <x v="5"/>
    <x v="5"/>
    <x v="1"/>
    <x v="4"/>
    <n v="7"/>
    <n v="36747.269999999997"/>
    <n v="0.1"/>
    <n v="33072.54"/>
    <n v="26434.63"/>
    <n v="6637.91"/>
    <x v="0"/>
    <n v="28"/>
    <d v="2025-08-28T04:00:00"/>
    <s v="Aug"/>
    <n v="8"/>
    <s v="Q3"/>
    <x v="0"/>
    <x v="0"/>
    <x v="0"/>
    <x v="0"/>
  </r>
  <r>
    <x v="1260"/>
    <x v="244"/>
    <s v="CUST0072"/>
    <x v="5"/>
    <x v="0"/>
    <x v="3"/>
    <x v="7"/>
    <n v="4"/>
    <n v="9427.6"/>
    <n v="0.15"/>
    <n v="8013.46"/>
    <n v="5113.66"/>
    <n v="2899.8"/>
    <x v="2"/>
    <n v="69"/>
    <d v="2025-08-19T21:00:00"/>
    <s v="Aug"/>
    <n v="8"/>
    <s v="Q3"/>
    <x v="1"/>
    <x v="0"/>
    <x v="1"/>
    <x v="0"/>
  </r>
  <r>
    <x v="1261"/>
    <x v="331"/>
    <s v="CUST0225"/>
    <x v="0"/>
    <x v="6"/>
    <x v="4"/>
    <x v="21"/>
    <n v="4"/>
    <n v="10193.879999999999"/>
    <n v="0"/>
    <n v="10193.879999999999"/>
    <n v="7210.71"/>
    <n v="2983.17"/>
    <x v="0"/>
    <n v="38"/>
    <d v="2025-03-09T14:00:00"/>
    <s v="Mar"/>
    <n v="3"/>
    <s v="Q1"/>
    <x v="0"/>
    <x v="0"/>
    <x v="0"/>
    <x v="0"/>
  </r>
  <r>
    <x v="1262"/>
    <x v="34"/>
    <s v="CUST0131"/>
    <x v="9"/>
    <x v="0"/>
    <x v="3"/>
    <x v="20"/>
    <n v="5"/>
    <n v="22098.400000000001"/>
    <n v="0.15"/>
    <n v="18783.64"/>
    <n v="15430.2"/>
    <n v="3353.44"/>
    <x v="0"/>
    <n v="20"/>
    <d v="2025-02-20T20:00:00"/>
    <s v="Feb"/>
    <n v="2"/>
    <s v="Q1"/>
    <x v="0"/>
    <x v="0"/>
    <x v="0"/>
    <x v="0"/>
  </r>
  <r>
    <x v="1263"/>
    <x v="166"/>
    <s v="CUST0028"/>
    <x v="6"/>
    <x v="2"/>
    <x v="4"/>
    <x v="9"/>
    <n v="3"/>
    <n v="20657.490000000002"/>
    <n v="0.1"/>
    <n v="18591.740000000002"/>
    <n v="11890.32"/>
    <n v="6701.42"/>
    <x v="0"/>
    <n v="21"/>
    <d v="2025-04-07T21:00:00"/>
    <s v="Apr"/>
    <n v="4"/>
    <s v="Q2"/>
    <x v="0"/>
    <x v="0"/>
    <x v="0"/>
    <x v="0"/>
  </r>
  <r>
    <x v="1264"/>
    <x v="52"/>
    <s v="CUST0299"/>
    <x v="0"/>
    <x v="3"/>
    <x v="4"/>
    <x v="21"/>
    <n v="6"/>
    <n v="3398.22"/>
    <n v="0"/>
    <n v="3398.22"/>
    <n v="2076.7199999999998"/>
    <n v="1321.5"/>
    <x v="0"/>
    <n v="30"/>
    <d v="2025-04-03T06:00:00"/>
    <s v="Apr"/>
    <n v="4"/>
    <s v="Q2"/>
    <x v="0"/>
    <x v="0"/>
    <x v="0"/>
    <x v="0"/>
  </r>
  <r>
    <x v="1265"/>
    <x v="53"/>
    <s v="CUST0097"/>
    <x v="8"/>
    <x v="6"/>
    <x v="0"/>
    <x v="6"/>
    <n v="3"/>
    <n v="15565.29"/>
    <n v="0.2"/>
    <n v="12452.23"/>
    <n v="9648.4"/>
    <n v="2803.83"/>
    <x v="0"/>
    <n v="18"/>
    <d v="2025-09-21T18:00:00"/>
    <s v="Sep"/>
    <n v="9"/>
    <s v="Q3"/>
    <x v="0"/>
    <x v="0"/>
    <x v="0"/>
    <x v="0"/>
  </r>
  <r>
    <x v="1266"/>
    <x v="337"/>
    <s v="CUST0046"/>
    <x v="0"/>
    <x v="1"/>
    <x v="3"/>
    <x v="20"/>
    <n v="3"/>
    <n v="20659.8"/>
    <n v="0.1"/>
    <n v="18593.82"/>
    <n v="13499.49"/>
    <n v="5094.33"/>
    <x v="3"/>
    <n v="22"/>
    <d v="2025-10-18T22:00:00"/>
    <s v="Oct"/>
    <n v="10"/>
    <s v="Q4"/>
    <x v="1"/>
    <x v="1"/>
    <x v="0"/>
    <x v="0"/>
  </r>
  <r>
    <x v="1267"/>
    <x v="119"/>
    <s v="CUST0001"/>
    <x v="1"/>
    <x v="6"/>
    <x v="0"/>
    <x v="6"/>
    <n v="5"/>
    <n v="7301.3"/>
    <n v="0"/>
    <n v="7301.3"/>
    <n v="5255.13"/>
    <n v="2046.17"/>
    <x v="0"/>
    <n v="46"/>
    <d v="2025-04-07T22:00:00"/>
    <s v="Apr"/>
    <n v="4"/>
    <s v="Q2"/>
    <x v="0"/>
    <x v="0"/>
    <x v="0"/>
    <x v="0"/>
  </r>
  <r>
    <x v="1268"/>
    <x v="10"/>
    <s v="CUST0166"/>
    <x v="2"/>
    <x v="0"/>
    <x v="4"/>
    <x v="13"/>
    <n v="4"/>
    <n v="1101.76"/>
    <n v="0"/>
    <n v="1101.76"/>
    <n v="699.32"/>
    <n v="402.44"/>
    <x v="0"/>
    <n v="8"/>
    <d v="2025-03-29T08:00:00"/>
    <s v="Mar"/>
    <n v="3"/>
    <s v="Q1"/>
    <x v="0"/>
    <x v="0"/>
    <x v="0"/>
    <x v="0"/>
  </r>
  <r>
    <x v="1269"/>
    <x v="316"/>
    <s v="CUST0245"/>
    <x v="9"/>
    <x v="5"/>
    <x v="1"/>
    <x v="5"/>
    <n v="4"/>
    <n v="11044.64"/>
    <n v="0"/>
    <n v="11044.64"/>
    <n v="6201.68"/>
    <n v="4842.96"/>
    <x v="0"/>
    <n v="19"/>
    <d v="2025-03-19T19:00:00"/>
    <s v="Mar"/>
    <n v="3"/>
    <s v="Q1"/>
    <x v="0"/>
    <x v="0"/>
    <x v="0"/>
    <x v="0"/>
  </r>
  <r>
    <x v="1270"/>
    <x v="215"/>
    <s v="CUST0219"/>
    <x v="7"/>
    <x v="6"/>
    <x v="4"/>
    <x v="22"/>
    <n v="1"/>
    <n v="5061"/>
    <n v="0.1"/>
    <n v="4554.8999999999996"/>
    <n v="3121.88"/>
    <n v="1433.02"/>
    <x v="0"/>
    <n v="18"/>
    <d v="2025-10-15T18:00:00"/>
    <s v="Oct"/>
    <n v="10"/>
    <s v="Q4"/>
    <x v="0"/>
    <x v="0"/>
    <x v="0"/>
    <x v="0"/>
  </r>
  <r>
    <x v="1271"/>
    <x v="183"/>
    <s v="CUST0102"/>
    <x v="7"/>
    <x v="3"/>
    <x v="0"/>
    <x v="0"/>
    <n v="5"/>
    <n v="6523.3"/>
    <n v="0"/>
    <n v="6523.3"/>
    <n v="3817.2"/>
    <n v="2706.1"/>
    <x v="3"/>
    <n v="24"/>
    <d v="2025-05-01T00:00:00"/>
    <s v="Apr"/>
    <n v="4"/>
    <s v="Q2"/>
    <x v="1"/>
    <x v="1"/>
    <x v="0"/>
    <x v="0"/>
  </r>
  <r>
    <x v="1272"/>
    <x v="204"/>
    <s v="CUST0291"/>
    <x v="9"/>
    <x v="2"/>
    <x v="3"/>
    <x v="16"/>
    <n v="1"/>
    <n v="3708.12"/>
    <n v="0.05"/>
    <n v="3522.71"/>
    <n v="2990.7"/>
    <n v="532.01"/>
    <x v="3"/>
    <n v="23"/>
    <d v="2025-10-29T23:00:00"/>
    <s v="Oct"/>
    <n v="10"/>
    <s v="Q4"/>
    <x v="1"/>
    <x v="1"/>
    <x v="0"/>
    <x v="0"/>
  </r>
  <r>
    <x v="1273"/>
    <x v="146"/>
    <s v="CUST0204"/>
    <x v="8"/>
    <x v="0"/>
    <x v="3"/>
    <x v="12"/>
    <n v="5"/>
    <n v="23809.4"/>
    <n v="0"/>
    <n v="23809.4"/>
    <n v="13419.28"/>
    <n v="10390.120000000001"/>
    <x v="1"/>
    <n v="9"/>
    <d v="2025-06-14T09:00:00"/>
    <s v="Jun"/>
    <n v="6"/>
    <s v="Q2"/>
    <x v="1"/>
    <x v="0"/>
    <x v="0"/>
    <x v="1"/>
  </r>
  <r>
    <x v="1274"/>
    <x v="298"/>
    <s v="CUST0202"/>
    <x v="1"/>
    <x v="3"/>
    <x v="0"/>
    <x v="19"/>
    <n v="1"/>
    <n v="5150.67"/>
    <n v="0.15"/>
    <n v="4378.07"/>
    <n v="3031.57"/>
    <n v="1346.5"/>
    <x v="0"/>
    <n v="11"/>
    <d v="2025-07-01T11:00:00"/>
    <s v="Jul"/>
    <n v="7"/>
    <s v="Q3"/>
    <x v="0"/>
    <x v="0"/>
    <x v="0"/>
    <x v="0"/>
  </r>
  <r>
    <x v="1275"/>
    <x v="211"/>
    <s v="CUST0054"/>
    <x v="1"/>
    <x v="6"/>
    <x v="3"/>
    <x v="12"/>
    <n v="2"/>
    <n v="4882.68"/>
    <n v="0.15"/>
    <n v="4150.28"/>
    <n v="2354.21"/>
    <n v="1796.07"/>
    <x v="0"/>
    <n v="13"/>
    <d v="2025-08-11T13:00:00"/>
    <s v="Aug"/>
    <n v="8"/>
    <s v="Q3"/>
    <x v="0"/>
    <x v="0"/>
    <x v="0"/>
    <x v="0"/>
  </r>
  <r>
    <x v="1276"/>
    <x v="239"/>
    <s v="CUST0280"/>
    <x v="4"/>
    <x v="3"/>
    <x v="2"/>
    <x v="15"/>
    <n v="7"/>
    <n v="24431.75"/>
    <n v="0.15"/>
    <n v="20766.990000000002"/>
    <n v="12076.62"/>
    <n v="8690.3700000000008"/>
    <x v="0"/>
    <n v="8"/>
    <d v="2025-11-07T08:00:00"/>
    <s v="Nov"/>
    <n v="11"/>
    <s v="Q4"/>
    <x v="0"/>
    <x v="0"/>
    <x v="0"/>
    <x v="0"/>
  </r>
  <r>
    <x v="1277"/>
    <x v="293"/>
    <s v="CUST0278"/>
    <x v="2"/>
    <x v="6"/>
    <x v="1"/>
    <x v="4"/>
    <n v="3"/>
    <n v="19947.39"/>
    <n v="0"/>
    <n v="19947.39"/>
    <n v="15308.15"/>
    <n v="4639.24"/>
    <x v="0"/>
    <n v="29"/>
    <d v="2025-01-08T05:00:00"/>
    <s v="Jan"/>
    <n v="1"/>
    <s v="Q1"/>
    <x v="0"/>
    <x v="0"/>
    <x v="0"/>
    <x v="0"/>
  </r>
  <r>
    <x v="1278"/>
    <x v="269"/>
    <s v="CUST0016"/>
    <x v="5"/>
    <x v="7"/>
    <x v="1"/>
    <x v="8"/>
    <n v="3"/>
    <n v="24027.42"/>
    <n v="0.2"/>
    <n v="19221.939999999999"/>
    <n v="14676.85"/>
    <n v="4545.09"/>
    <x v="3"/>
    <n v="4"/>
    <d v="2025-11-26T04:00:00"/>
    <s v="Nov"/>
    <n v="11"/>
    <s v="Q4"/>
    <x v="1"/>
    <x v="1"/>
    <x v="0"/>
    <x v="0"/>
  </r>
  <r>
    <x v="1279"/>
    <x v="177"/>
    <s v="CUST0013"/>
    <x v="3"/>
    <x v="6"/>
    <x v="1"/>
    <x v="10"/>
    <n v="6"/>
    <n v="44080.2"/>
    <n v="0.1"/>
    <n v="39672.18"/>
    <n v="22252.41"/>
    <n v="17419.77"/>
    <x v="0"/>
    <n v="47"/>
    <d v="2025-09-21T23:00:00"/>
    <s v="Sep"/>
    <n v="9"/>
    <s v="Q3"/>
    <x v="0"/>
    <x v="0"/>
    <x v="0"/>
    <x v="0"/>
  </r>
  <r>
    <x v="1280"/>
    <x v="22"/>
    <s v="CUST0087"/>
    <x v="8"/>
    <x v="4"/>
    <x v="3"/>
    <x v="7"/>
    <n v="7"/>
    <n v="34032.39"/>
    <n v="0.2"/>
    <n v="27225.91"/>
    <n v="14984.42"/>
    <n v="12241.49"/>
    <x v="1"/>
    <n v="6"/>
    <d v="2025-06-10T06:00:00"/>
    <s v="Jun"/>
    <n v="6"/>
    <s v="Q2"/>
    <x v="1"/>
    <x v="0"/>
    <x v="0"/>
    <x v="1"/>
  </r>
  <r>
    <x v="1281"/>
    <x v="175"/>
    <s v="CUST0078"/>
    <x v="3"/>
    <x v="3"/>
    <x v="3"/>
    <x v="16"/>
    <n v="4"/>
    <n v="14303.76"/>
    <n v="0.05"/>
    <n v="13588.57"/>
    <n v="7827.15"/>
    <n v="5761.42"/>
    <x v="0"/>
    <n v="16"/>
    <d v="2025-05-31T16:00:00"/>
    <s v="May"/>
    <n v="5"/>
    <s v="Q2"/>
    <x v="0"/>
    <x v="0"/>
    <x v="0"/>
    <x v="0"/>
  </r>
  <r>
    <x v="1282"/>
    <x v="315"/>
    <s v="CUST0067"/>
    <x v="3"/>
    <x v="5"/>
    <x v="4"/>
    <x v="9"/>
    <n v="6"/>
    <n v="17581.14"/>
    <n v="0.05"/>
    <n v="16702.080000000002"/>
    <n v="13391.55"/>
    <n v="3310.53"/>
    <x v="0"/>
    <n v="12"/>
    <d v="2025-03-26T12:00:00"/>
    <s v="Mar"/>
    <n v="3"/>
    <s v="Q1"/>
    <x v="0"/>
    <x v="0"/>
    <x v="0"/>
    <x v="0"/>
  </r>
  <r>
    <x v="1283"/>
    <x v="170"/>
    <s v="CUST0211"/>
    <x v="9"/>
    <x v="2"/>
    <x v="4"/>
    <x v="23"/>
    <n v="2"/>
    <n v="2386.7800000000002"/>
    <n v="0.15"/>
    <n v="2028.76"/>
    <n v="1507.19"/>
    <n v="521.57000000000005"/>
    <x v="2"/>
    <n v="88"/>
    <d v="2025-05-30T16:00:00"/>
    <s v="May"/>
    <n v="5"/>
    <s v="Q2"/>
    <x v="1"/>
    <x v="0"/>
    <x v="1"/>
    <x v="0"/>
  </r>
  <r>
    <x v="1284"/>
    <x v="178"/>
    <s v="CUST0214"/>
    <x v="7"/>
    <x v="3"/>
    <x v="1"/>
    <x v="1"/>
    <n v="6"/>
    <n v="6238.2"/>
    <n v="0"/>
    <n v="6238.2"/>
    <n v="3509.48"/>
    <n v="2728.72"/>
    <x v="0"/>
    <n v="31"/>
    <d v="2025-04-23T07:00:00"/>
    <s v="Apr"/>
    <n v="4"/>
    <s v="Q2"/>
    <x v="0"/>
    <x v="0"/>
    <x v="0"/>
    <x v="0"/>
  </r>
  <r>
    <x v="1285"/>
    <x v="124"/>
    <s v="CUST0185"/>
    <x v="7"/>
    <x v="1"/>
    <x v="2"/>
    <x v="3"/>
    <n v="3"/>
    <n v="17693.37"/>
    <n v="0.1"/>
    <n v="15924.03"/>
    <n v="11323.13"/>
    <n v="4600.8999999999996"/>
    <x v="3"/>
    <n v="17"/>
    <d v="2025-02-05T17:00:00"/>
    <s v="Feb"/>
    <n v="2"/>
    <s v="Q1"/>
    <x v="1"/>
    <x v="1"/>
    <x v="0"/>
    <x v="0"/>
  </r>
  <r>
    <x v="1286"/>
    <x v="257"/>
    <s v="CUST0033"/>
    <x v="5"/>
    <x v="2"/>
    <x v="4"/>
    <x v="9"/>
    <n v="4"/>
    <n v="9277.1200000000008"/>
    <n v="0.15"/>
    <n v="7885.55"/>
    <n v="6189.92"/>
    <n v="1695.63"/>
    <x v="0"/>
    <n v="40"/>
    <d v="2025-10-13T16:00:00"/>
    <s v="Oct"/>
    <n v="10"/>
    <s v="Q4"/>
    <x v="0"/>
    <x v="0"/>
    <x v="0"/>
    <x v="0"/>
  </r>
  <r>
    <x v="1287"/>
    <x v="31"/>
    <s v="CUST0115"/>
    <x v="9"/>
    <x v="2"/>
    <x v="4"/>
    <x v="9"/>
    <n v="2"/>
    <n v="4552.8599999999997"/>
    <n v="0.15"/>
    <n v="3869.93"/>
    <n v="3238.18"/>
    <n v="631.75"/>
    <x v="1"/>
    <n v="2"/>
    <d v="2025-07-07T02:00:00"/>
    <s v="Jul"/>
    <n v="7"/>
    <s v="Q3"/>
    <x v="1"/>
    <x v="0"/>
    <x v="0"/>
    <x v="1"/>
  </r>
  <r>
    <x v="1288"/>
    <x v="309"/>
    <s v="CUST0275"/>
    <x v="3"/>
    <x v="1"/>
    <x v="3"/>
    <x v="18"/>
    <n v="3"/>
    <n v="25454.79"/>
    <n v="0.25"/>
    <n v="19091.09"/>
    <n v="16384.59"/>
    <n v="2706.5"/>
    <x v="0"/>
    <n v="47"/>
    <d v="2025-03-24T23:00:00"/>
    <s v="Mar"/>
    <n v="3"/>
    <s v="Q1"/>
    <x v="0"/>
    <x v="0"/>
    <x v="0"/>
    <x v="0"/>
  </r>
  <r>
    <x v="1289"/>
    <x v="58"/>
    <s v="CUST0198"/>
    <x v="6"/>
    <x v="4"/>
    <x v="2"/>
    <x v="3"/>
    <n v="7"/>
    <n v="12034.26"/>
    <n v="0.1"/>
    <n v="10830.83"/>
    <n v="7127.29"/>
    <n v="3703.54"/>
    <x v="0"/>
    <n v="36"/>
    <d v="2025-01-03T12:00:00"/>
    <s v="Jan"/>
    <n v="1"/>
    <s v="Q1"/>
    <x v="0"/>
    <x v="0"/>
    <x v="0"/>
    <x v="0"/>
  </r>
  <r>
    <x v="1290"/>
    <x v="301"/>
    <s v="CUST0143"/>
    <x v="7"/>
    <x v="3"/>
    <x v="1"/>
    <x v="1"/>
    <n v="1"/>
    <n v="1386.3"/>
    <n v="0.05"/>
    <n v="1316.98"/>
    <n v="783.37"/>
    <n v="533.61"/>
    <x v="0"/>
    <n v="23"/>
    <d v="2025-10-30T23:00:00"/>
    <s v="Oct"/>
    <n v="10"/>
    <s v="Q4"/>
    <x v="0"/>
    <x v="0"/>
    <x v="0"/>
    <x v="0"/>
  </r>
  <r>
    <x v="1291"/>
    <x v="310"/>
    <s v="CUST0228"/>
    <x v="8"/>
    <x v="2"/>
    <x v="4"/>
    <x v="9"/>
    <n v="5"/>
    <n v="4870.1000000000004"/>
    <n v="0"/>
    <n v="4870.1000000000004"/>
    <n v="3059.33"/>
    <n v="1810.77"/>
    <x v="0"/>
    <n v="33"/>
    <d v="2025-07-17T09:00:00"/>
    <s v="Jul"/>
    <n v="7"/>
    <s v="Q3"/>
    <x v="0"/>
    <x v="0"/>
    <x v="0"/>
    <x v="0"/>
  </r>
  <r>
    <x v="1292"/>
    <x v="341"/>
    <s v="CUST0120"/>
    <x v="8"/>
    <x v="3"/>
    <x v="2"/>
    <x v="2"/>
    <n v="2"/>
    <n v="9982.74"/>
    <n v="0.1"/>
    <n v="8984.4699999999993"/>
    <n v="7242.71"/>
    <n v="1741.76"/>
    <x v="3"/>
    <n v="12"/>
    <d v="2025-01-11T12:00:00"/>
    <s v="Jan"/>
    <n v="1"/>
    <s v="Q1"/>
    <x v="1"/>
    <x v="1"/>
    <x v="0"/>
    <x v="0"/>
  </r>
  <r>
    <x v="1293"/>
    <x v="147"/>
    <s v="CUST0024"/>
    <x v="4"/>
    <x v="2"/>
    <x v="2"/>
    <x v="24"/>
    <n v="4"/>
    <n v="21570.639999999999"/>
    <n v="0.1"/>
    <n v="19413.580000000002"/>
    <n v="16901.259999999998"/>
    <n v="2512.3200000000002"/>
    <x v="0"/>
    <n v="12"/>
    <d v="2025-08-22T12:00:00"/>
    <s v="Aug"/>
    <n v="8"/>
    <s v="Q3"/>
    <x v="0"/>
    <x v="0"/>
    <x v="0"/>
    <x v="0"/>
  </r>
  <r>
    <x v="1294"/>
    <x v="190"/>
    <s v="CUST0027"/>
    <x v="0"/>
    <x v="1"/>
    <x v="1"/>
    <x v="5"/>
    <n v="6"/>
    <n v="19197.900000000001"/>
    <n v="0.05"/>
    <n v="18238"/>
    <n v="12837.91"/>
    <n v="5400.09"/>
    <x v="0"/>
    <n v="48"/>
    <d v="2025-07-16T00:00:00"/>
    <s v="Jul"/>
    <n v="7"/>
    <s v="Q3"/>
    <x v="0"/>
    <x v="0"/>
    <x v="0"/>
    <x v="0"/>
  </r>
  <r>
    <x v="1295"/>
    <x v="312"/>
    <s v="CUST0075"/>
    <x v="6"/>
    <x v="1"/>
    <x v="2"/>
    <x v="15"/>
    <n v="7"/>
    <n v="32344.9"/>
    <n v="0"/>
    <n v="32344.9"/>
    <n v="21048.98"/>
    <n v="11295.92"/>
    <x v="1"/>
    <n v="19"/>
    <d v="2025-04-29T19:00:00"/>
    <s v="Apr"/>
    <n v="4"/>
    <s v="Q2"/>
    <x v="1"/>
    <x v="0"/>
    <x v="0"/>
    <x v="1"/>
  </r>
  <r>
    <x v="1296"/>
    <x v="227"/>
    <s v="CUST0241"/>
    <x v="7"/>
    <x v="6"/>
    <x v="2"/>
    <x v="24"/>
    <n v="6"/>
    <n v="40398.839999999997"/>
    <n v="0.1"/>
    <n v="36358.959999999999"/>
    <n v="25147.05"/>
    <n v="11211.91"/>
    <x v="0"/>
    <n v="39"/>
    <d v="2025-01-21T15:00:00"/>
    <s v="Jan"/>
    <n v="1"/>
    <s v="Q1"/>
    <x v="0"/>
    <x v="0"/>
    <x v="0"/>
    <x v="0"/>
  </r>
  <r>
    <x v="1297"/>
    <x v="92"/>
    <s v="CUST0023"/>
    <x v="1"/>
    <x v="0"/>
    <x v="2"/>
    <x v="15"/>
    <n v="2"/>
    <n v="13962.34"/>
    <n v="0.15"/>
    <n v="11867.99"/>
    <n v="7721.18"/>
    <n v="4146.8100000000004"/>
    <x v="3"/>
    <n v="16"/>
    <d v="2025-09-18T16:00:00"/>
    <s v="Sep"/>
    <n v="9"/>
    <s v="Q3"/>
    <x v="1"/>
    <x v="1"/>
    <x v="0"/>
    <x v="0"/>
  </r>
  <r>
    <x v="1298"/>
    <x v="102"/>
    <s v="CUST0161"/>
    <x v="7"/>
    <x v="3"/>
    <x v="4"/>
    <x v="13"/>
    <n v="7"/>
    <n v="57039.99"/>
    <n v="0.25"/>
    <n v="42779.99"/>
    <n v="27149.93"/>
    <n v="15630.06"/>
    <x v="3"/>
    <n v="1"/>
    <d v="2025-10-20T01:00:00"/>
    <s v="Oct"/>
    <n v="10"/>
    <s v="Q4"/>
    <x v="1"/>
    <x v="1"/>
    <x v="0"/>
    <x v="0"/>
  </r>
  <r>
    <x v="1299"/>
    <x v="207"/>
    <s v="CUST0041"/>
    <x v="4"/>
    <x v="3"/>
    <x v="1"/>
    <x v="5"/>
    <n v="4"/>
    <n v="28130.560000000001"/>
    <n v="0.15"/>
    <n v="23910.98"/>
    <n v="17836.099999999999"/>
    <n v="6074.88"/>
    <x v="1"/>
    <n v="2"/>
    <d v="2025-09-13T02:00:00"/>
    <s v="Sep"/>
    <n v="9"/>
    <s v="Q3"/>
    <x v="1"/>
    <x v="0"/>
    <x v="0"/>
    <x v="1"/>
  </r>
  <r>
    <x v="1300"/>
    <x v="120"/>
    <s v="CUST0238"/>
    <x v="8"/>
    <x v="2"/>
    <x v="2"/>
    <x v="15"/>
    <n v="2"/>
    <n v="9732.86"/>
    <n v="0.15"/>
    <n v="8272.93"/>
    <n v="4593.07"/>
    <n v="3679.86"/>
    <x v="0"/>
    <n v="6"/>
    <d v="2025-08-10T06:00:00"/>
    <s v="Aug"/>
    <n v="8"/>
    <s v="Q3"/>
    <x v="0"/>
    <x v="0"/>
    <x v="0"/>
    <x v="0"/>
  </r>
  <r>
    <x v="1301"/>
    <x v="198"/>
    <s v="CUST0239"/>
    <x v="3"/>
    <x v="6"/>
    <x v="2"/>
    <x v="24"/>
    <n v="4"/>
    <n v="6600.56"/>
    <n v="0.1"/>
    <n v="5940.5"/>
    <n v="3776.09"/>
    <n v="2164.41"/>
    <x v="3"/>
    <n v="5"/>
    <d v="2025-08-14T05:00:00"/>
    <s v="Aug"/>
    <n v="8"/>
    <s v="Q3"/>
    <x v="1"/>
    <x v="1"/>
    <x v="0"/>
    <x v="0"/>
  </r>
  <r>
    <x v="1302"/>
    <x v="50"/>
    <s v="CUST0056"/>
    <x v="1"/>
    <x v="5"/>
    <x v="4"/>
    <x v="21"/>
    <n v="6"/>
    <n v="5898.18"/>
    <n v="0.25"/>
    <n v="4423.6400000000003"/>
    <n v="3398.49"/>
    <n v="1025.1500000000001"/>
    <x v="3"/>
    <n v="9"/>
    <d v="2025-02-22T09:00:00"/>
    <s v="Feb"/>
    <n v="2"/>
    <s v="Q1"/>
    <x v="1"/>
    <x v="1"/>
    <x v="0"/>
    <x v="0"/>
  </r>
  <r>
    <x v="1303"/>
    <x v="223"/>
    <s v="CUST0098"/>
    <x v="9"/>
    <x v="3"/>
    <x v="1"/>
    <x v="5"/>
    <n v="3"/>
    <n v="1815.51"/>
    <n v="0.1"/>
    <n v="1633.96"/>
    <n v="915.97"/>
    <n v="717.99"/>
    <x v="0"/>
    <n v="35"/>
    <d v="2025-12-22T11:00:00"/>
    <s v="Dec"/>
    <n v="12"/>
    <s v="Q4"/>
    <x v="0"/>
    <x v="0"/>
    <x v="0"/>
    <x v="0"/>
  </r>
  <r>
    <x v="1304"/>
    <x v="216"/>
    <s v="CUST0146"/>
    <x v="2"/>
    <x v="2"/>
    <x v="3"/>
    <x v="7"/>
    <n v="7"/>
    <n v="40008.43"/>
    <n v="0.2"/>
    <n v="32006.74"/>
    <n v="18482.5"/>
    <n v="13524.24"/>
    <x v="1"/>
    <n v="21"/>
    <d v="2025-12-08T21:00:00"/>
    <s v="Dec"/>
    <n v="12"/>
    <s v="Q4"/>
    <x v="1"/>
    <x v="0"/>
    <x v="0"/>
    <x v="1"/>
  </r>
  <r>
    <x v="1305"/>
    <x v="35"/>
    <s v="CUST0262"/>
    <x v="3"/>
    <x v="4"/>
    <x v="4"/>
    <x v="21"/>
    <n v="1"/>
    <n v="6892.93"/>
    <n v="0.2"/>
    <n v="5514.34"/>
    <n v="3566.79"/>
    <n v="1947.55"/>
    <x v="3"/>
    <n v="17"/>
    <d v="2025-12-30T17:00:00"/>
    <s v="Dec"/>
    <n v="12"/>
    <s v="Q4"/>
    <x v="1"/>
    <x v="1"/>
    <x v="0"/>
    <x v="0"/>
  </r>
  <r>
    <x v="1306"/>
    <x v="77"/>
    <s v="CUST0040"/>
    <x v="2"/>
    <x v="1"/>
    <x v="1"/>
    <x v="10"/>
    <n v="3"/>
    <n v="13192.53"/>
    <n v="0.2"/>
    <n v="10554.02"/>
    <n v="8861.9500000000007"/>
    <n v="1692.07"/>
    <x v="3"/>
    <n v="17"/>
    <d v="2025-10-07T17:00:00"/>
    <s v="Oct"/>
    <n v="10"/>
    <s v="Q4"/>
    <x v="1"/>
    <x v="1"/>
    <x v="0"/>
    <x v="0"/>
  </r>
  <r>
    <x v="1307"/>
    <x v="56"/>
    <s v="CUST0193"/>
    <x v="6"/>
    <x v="1"/>
    <x v="2"/>
    <x v="11"/>
    <n v="1"/>
    <n v="606.86"/>
    <n v="0.05"/>
    <n v="576.52"/>
    <n v="462.61"/>
    <n v="113.91"/>
    <x v="0"/>
    <n v="29"/>
    <d v="2025-03-23T05:00:00"/>
    <s v="Mar"/>
    <n v="3"/>
    <s v="Q1"/>
    <x v="0"/>
    <x v="0"/>
    <x v="0"/>
    <x v="0"/>
  </r>
  <r>
    <x v="1308"/>
    <x v="67"/>
    <s v="CUST0239"/>
    <x v="0"/>
    <x v="0"/>
    <x v="1"/>
    <x v="10"/>
    <n v="6"/>
    <n v="27727.08"/>
    <n v="0"/>
    <n v="27727.08"/>
    <n v="15452.63"/>
    <n v="12274.45"/>
    <x v="3"/>
    <n v="15"/>
    <d v="2025-07-21T15:00:00"/>
    <s v="Jul"/>
    <n v="7"/>
    <s v="Q3"/>
    <x v="1"/>
    <x v="1"/>
    <x v="0"/>
    <x v="0"/>
  </r>
  <r>
    <x v="1309"/>
    <x v="193"/>
    <s v="CUST0042"/>
    <x v="1"/>
    <x v="1"/>
    <x v="1"/>
    <x v="8"/>
    <n v="7"/>
    <n v="55744.57"/>
    <n v="0"/>
    <n v="55744.57"/>
    <n v="39888.879999999997"/>
    <n v="15855.69"/>
    <x v="0"/>
    <n v="20"/>
    <d v="2025-06-07T20:00:00"/>
    <s v="Jun"/>
    <n v="6"/>
    <s v="Q2"/>
    <x v="0"/>
    <x v="0"/>
    <x v="0"/>
    <x v="0"/>
  </r>
  <r>
    <x v="1310"/>
    <x v="183"/>
    <s v="CUST0222"/>
    <x v="5"/>
    <x v="7"/>
    <x v="1"/>
    <x v="10"/>
    <n v="3"/>
    <n v="15420.21"/>
    <n v="0"/>
    <n v="15420.21"/>
    <n v="9878.91"/>
    <n v="5541.3"/>
    <x v="0"/>
    <n v="20"/>
    <d v="2025-04-30T20:00:00"/>
    <s v="Apr"/>
    <n v="4"/>
    <s v="Q2"/>
    <x v="0"/>
    <x v="0"/>
    <x v="0"/>
    <x v="0"/>
  </r>
  <r>
    <x v="1311"/>
    <x v="29"/>
    <s v="CUST0196"/>
    <x v="1"/>
    <x v="4"/>
    <x v="3"/>
    <x v="18"/>
    <n v="3"/>
    <n v="20726.16"/>
    <n v="0"/>
    <n v="20726.16"/>
    <n v="15835.89"/>
    <n v="4890.2700000000004"/>
    <x v="0"/>
    <n v="31"/>
    <d v="2025-03-01T07:00:00"/>
    <s v="Feb"/>
    <n v="2"/>
    <s v="Q1"/>
    <x v="0"/>
    <x v="0"/>
    <x v="0"/>
    <x v="0"/>
  </r>
  <r>
    <x v="1312"/>
    <x v="8"/>
    <s v="CUST0288"/>
    <x v="7"/>
    <x v="4"/>
    <x v="1"/>
    <x v="8"/>
    <n v="2"/>
    <n v="13662.54"/>
    <n v="0"/>
    <n v="13662.54"/>
    <n v="10767.62"/>
    <n v="2894.92"/>
    <x v="2"/>
    <n v="94"/>
    <d v="2025-08-06T22:00:00"/>
    <s v="Aug"/>
    <n v="8"/>
    <s v="Q3"/>
    <x v="1"/>
    <x v="0"/>
    <x v="1"/>
    <x v="0"/>
  </r>
  <r>
    <x v="1313"/>
    <x v="136"/>
    <s v="CUST0010"/>
    <x v="8"/>
    <x v="6"/>
    <x v="3"/>
    <x v="16"/>
    <n v="5"/>
    <n v="39666.400000000001"/>
    <n v="0.05"/>
    <n v="37683.08"/>
    <n v="31455.75"/>
    <n v="6227.33"/>
    <x v="0"/>
    <n v="43"/>
    <d v="2025-05-09T19:00:00"/>
    <s v="May"/>
    <n v="5"/>
    <s v="Q2"/>
    <x v="0"/>
    <x v="0"/>
    <x v="0"/>
    <x v="0"/>
  </r>
  <r>
    <x v="1314"/>
    <x v="155"/>
    <s v="CUST0235"/>
    <x v="7"/>
    <x v="7"/>
    <x v="2"/>
    <x v="2"/>
    <n v="6"/>
    <n v="39488.46"/>
    <n v="0.1"/>
    <n v="35539.61"/>
    <n v="25122.5"/>
    <n v="10417.11"/>
    <x v="0"/>
    <n v="26"/>
    <d v="2025-08-13T02:00:00"/>
    <s v="Aug"/>
    <n v="8"/>
    <s v="Q3"/>
    <x v="0"/>
    <x v="0"/>
    <x v="0"/>
    <x v="0"/>
  </r>
  <r>
    <x v="1315"/>
    <x v="351"/>
    <s v="CUST0265"/>
    <x v="7"/>
    <x v="3"/>
    <x v="3"/>
    <x v="16"/>
    <n v="4"/>
    <n v="25573.200000000001"/>
    <n v="0.15"/>
    <n v="21737.22"/>
    <n v="19088.939999999999"/>
    <n v="2648.28"/>
    <x v="3"/>
    <n v="0"/>
    <d v="2025-07-28T00:00:00"/>
    <s v="Jul"/>
    <n v="7"/>
    <s v="Q3"/>
    <x v="1"/>
    <x v="1"/>
    <x v="0"/>
    <x v="0"/>
  </r>
  <r>
    <x v="1316"/>
    <x v="275"/>
    <s v="CUST0069"/>
    <x v="6"/>
    <x v="0"/>
    <x v="2"/>
    <x v="15"/>
    <n v="6"/>
    <n v="12628.56"/>
    <n v="0.05"/>
    <n v="11997.13"/>
    <n v="10478.24"/>
    <n v="1518.89"/>
    <x v="0"/>
    <n v="32"/>
    <d v="2025-04-26T08:00:00"/>
    <s v="Apr"/>
    <n v="4"/>
    <s v="Q2"/>
    <x v="0"/>
    <x v="0"/>
    <x v="0"/>
    <x v="0"/>
  </r>
  <r>
    <x v="1317"/>
    <x v="351"/>
    <s v="CUST0139"/>
    <x v="3"/>
    <x v="4"/>
    <x v="2"/>
    <x v="15"/>
    <n v="4"/>
    <n v="2601.52"/>
    <n v="0.1"/>
    <n v="2341.37"/>
    <n v="1969.36"/>
    <n v="372.01"/>
    <x v="1"/>
    <n v="16"/>
    <d v="2025-07-28T16:00:00"/>
    <s v="Jul"/>
    <n v="7"/>
    <s v="Q3"/>
    <x v="1"/>
    <x v="0"/>
    <x v="0"/>
    <x v="1"/>
  </r>
  <r>
    <x v="1318"/>
    <x v="46"/>
    <s v="CUST0219"/>
    <x v="5"/>
    <x v="7"/>
    <x v="3"/>
    <x v="12"/>
    <n v="7"/>
    <n v="31303.72"/>
    <n v="0.15"/>
    <n v="26608.16"/>
    <n v="19682.240000000002"/>
    <n v="6925.92"/>
    <x v="0"/>
    <n v="41"/>
    <d v="2025-01-15T17:00:00"/>
    <s v="Jan"/>
    <n v="1"/>
    <s v="Q1"/>
    <x v="0"/>
    <x v="0"/>
    <x v="0"/>
    <x v="0"/>
  </r>
  <r>
    <x v="1319"/>
    <x v="85"/>
    <s v="CUST0196"/>
    <x v="5"/>
    <x v="7"/>
    <x v="4"/>
    <x v="13"/>
    <n v="4"/>
    <n v="4756.12"/>
    <n v="0.1"/>
    <n v="4280.51"/>
    <n v="2916.49"/>
    <n v="1364.02"/>
    <x v="0"/>
    <n v="32"/>
    <d v="2025-01-10T08:00:00"/>
    <s v="Jan"/>
    <n v="1"/>
    <s v="Q1"/>
    <x v="0"/>
    <x v="0"/>
    <x v="0"/>
    <x v="0"/>
  </r>
  <r>
    <x v="1320"/>
    <x v="333"/>
    <s v="CUST0074"/>
    <x v="7"/>
    <x v="2"/>
    <x v="0"/>
    <x v="19"/>
    <n v="1"/>
    <n v="8184.34"/>
    <n v="0.2"/>
    <n v="6547.47"/>
    <n v="4388.43"/>
    <n v="2159.04"/>
    <x v="0"/>
    <n v="22"/>
    <d v="2025-02-09T22:00:00"/>
    <s v="Feb"/>
    <n v="2"/>
    <s v="Q1"/>
    <x v="0"/>
    <x v="0"/>
    <x v="0"/>
    <x v="0"/>
  </r>
  <r>
    <x v="1321"/>
    <x v="75"/>
    <s v="CUST0103"/>
    <x v="2"/>
    <x v="4"/>
    <x v="1"/>
    <x v="5"/>
    <n v="4"/>
    <n v="10283.48"/>
    <n v="0"/>
    <n v="10283.48"/>
    <n v="5697.06"/>
    <n v="4586.42"/>
    <x v="0"/>
    <n v="30"/>
    <d v="2025-08-26T06:00:00"/>
    <s v="Aug"/>
    <n v="8"/>
    <s v="Q3"/>
    <x v="0"/>
    <x v="0"/>
    <x v="0"/>
    <x v="0"/>
  </r>
  <r>
    <x v="1322"/>
    <x v="210"/>
    <s v="CUST0225"/>
    <x v="6"/>
    <x v="5"/>
    <x v="0"/>
    <x v="19"/>
    <n v="4"/>
    <n v="29088.32"/>
    <n v="0"/>
    <n v="29088.32"/>
    <n v="18390.439999999999"/>
    <n v="10697.88"/>
    <x v="1"/>
    <n v="24"/>
    <d v="2025-10-09T00:00:00"/>
    <s v="Oct"/>
    <n v="10"/>
    <s v="Q4"/>
    <x v="1"/>
    <x v="0"/>
    <x v="0"/>
    <x v="1"/>
  </r>
  <r>
    <x v="1323"/>
    <x v="111"/>
    <s v="CUST0123"/>
    <x v="7"/>
    <x v="2"/>
    <x v="1"/>
    <x v="10"/>
    <n v="2"/>
    <n v="6773.34"/>
    <n v="0.05"/>
    <n v="6434.67"/>
    <n v="5065.42"/>
    <n v="1369.25"/>
    <x v="3"/>
    <n v="1"/>
    <d v="2025-12-25T01:00:00"/>
    <s v="Dec"/>
    <n v="12"/>
    <s v="Q4"/>
    <x v="1"/>
    <x v="1"/>
    <x v="0"/>
    <x v="0"/>
  </r>
  <r>
    <x v="1324"/>
    <x v="95"/>
    <s v="CUST0102"/>
    <x v="0"/>
    <x v="6"/>
    <x v="1"/>
    <x v="4"/>
    <n v="3"/>
    <n v="8546.01"/>
    <n v="0"/>
    <n v="8546.01"/>
    <n v="6402.66"/>
    <n v="2143.35"/>
    <x v="3"/>
    <n v="22"/>
    <d v="2025-07-20T22:00:00"/>
    <s v="Jul"/>
    <n v="7"/>
    <s v="Q3"/>
    <x v="1"/>
    <x v="1"/>
    <x v="0"/>
    <x v="0"/>
  </r>
  <r>
    <x v="1325"/>
    <x v="221"/>
    <s v="CUST0264"/>
    <x v="8"/>
    <x v="7"/>
    <x v="2"/>
    <x v="3"/>
    <n v="6"/>
    <n v="47751.42"/>
    <n v="0.1"/>
    <n v="42976.28"/>
    <n v="36633.81"/>
    <n v="6342.47"/>
    <x v="2"/>
    <n v="67"/>
    <d v="2025-09-05T19:00:00"/>
    <s v="Sep"/>
    <n v="9"/>
    <s v="Q3"/>
    <x v="1"/>
    <x v="0"/>
    <x v="1"/>
    <x v="0"/>
  </r>
  <r>
    <x v="1326"/>
    <x v="253"/>
    <s v="CUST0161"/>
    <x v="3"/>
    <x v="1"/>
    <x v="1"/>
    <x v="10"/>
    <n v="6"/>
    <n v="19102.439999999999"/>
    <n v="0.05"/>
    <n v="18147.32"/>
    <n v="10280.59"/>
    <n v="7866.73"/>
    <x v="0"/>
    <n v="26"/>
    <d v="2025-10-06T02:00:00"/>
    <s v="Oct"/>
    <n v="10"/>
    <s v="Q4"/>
    <x v="0"/>
    <x v="0"/>
    <x v="0"/>
    <x v="0"/>
  </r>
  <r>
    <x v="1327"/>
    <x v="290"/>
    <s v="CUST0233"/>
    <x v="9"/>
    <x v="7"/>
    <x v="1"/>
    <x v="1"/>
    <n v="7"/>
    <n v="23862.3"/>
    <n v="0.05"/>
    <n v="22669.18"/>
    <n v="13629.65"/>
    <n v="9039.5300000000007"/>
    <x v="0"/>
    <n v="42"/>
    <d v="2025-08-24T18:00:00"/>
    <s v="Aug"/>
    <n v="8"/>
    <s v="Q3"/>
    <x v="0"/>
    <x v="0"/>
    <x v="0"/>
    <x v="0"/>
  </r>
  <r>
    <x v="1328"/>
    <x v="200"/>
    <s v="CUST0275"/>
    <x v="0"/>
    <x v="3"/>
    <x v="3"/>
    <x v="7"/>
    <n v="7"/>
    <n v="7251.09"/>
    <n v="0"/>
    <n v="7251.09"/>
    <n v="5876.65"/>
    <n v="1374.44"/>
    <x v="1"/>
    <n v="17"/>
    <d v="2025-01-04T17:00:00"/>
    <s v="Jan"/>
    <n v="1"/>
    <s v="Q1"/>
    <x v="1"/>
    <x v="0"/>
    <x v="0"/>
    <x v="1"/>
  </r>
  <r>
    <x v="1329"/>
    <x v="255"/>
    <s v="CUST0258"/>
    <x v="2"/>
    <x v="4"/>
    <x v="0"/>
    <x v="6"/>
    <n v="4"/>
    <n v="22992.92"/>
    <n v="0.05"/>
    <n v="21843.27"/>
    <n v="14598.02"/>
    <n v="7245.25"/>
    <x v="1"/>
    <n v="19"/>
    <d v="2025-06-03T19:00:00"/>
    <s v="Jun"/>
    <n v="6"/>
    <s v="Q2"/>
    <x v="1"/>
    <x v="0"/>
    <x v="0"/>
    <x v="1"/>
  </r>
  <r>
    <x v="1330"/>
    <x v="123"/>
    <s v="CUST0139"/>
    <x v="1"/>
    <x v="5"/>
    <x v="3"/>
    <x v="12"/>
    <n v="5"/>
    <n v="12809.05"/>
    <n v="0.1"/>
    <n v="11528.14"/>
    <n v="6790.7"/>
    <n v="4737.4399999999996"/>
    <x v="2"/>
    <n v="76"/>
    <d v="2025-02-01T04:00:00"/>
    <s v="Jan"/>
    <n v="1"/>
    <s v="Q1"/>
    <x v="1"/>
    <x v="0"/>
    <x v="1"/>
    <x v="0"/>
  </r>
  <r>
    <x v="1331"/>
    <x v="287"/>
    <s v="CUST0227"/>
    <x v="1"/>
    <x v="3"/>
    <x v="1"/>
    <x v="10"/>
    <n v="6"/>
    <n v="30238.74"/>
    <n v="0.1"/>
    <n v="27214.87"/>
    <n v="23917.21"/>
    <n v="3297.66"/>
    <x v="2"/>
    <n v="51"/>
    <d v="2025-04-21T03:00:00"/>
    <s v="Apr"/>
    <n v="4"/>
    <s v="Q2"/>
    <x v="1"/>
    <x v="0"/>
    <x v="1"/>
    <x v="0"/>
  </r>
  <r>
    <x v="1332"/>
    <x v="163"/>
    <s v="CUST0273"/>
    <x v="0"/>
    <x v="6"/>
    <x v="2"/>
    <x v="11"/>
    <n v="7"/>
    <n v="35614.53"/>
    <n v="0"/>
    <n v="35614.53"/>
    <n v="28840.38"/>
    <n v="6774.15"/>
    <x v="3"/>
    <n v="17"/>
    <d v="2025-04-08T17:00:00"/>
    <s v="Apr"/>
    <n v="4"/>
    <s v="Q2"/>
    <x v="1"/>
    <x v="1"/>
    <x v="0"/>
    <x v="0"/>
  </r>
  <r>
    <x v="1333"/>
    <x v="8"/>
    <s v="CUST0086"/>
    <x v="7"/>
    <x v="0"/>
    <x v="3"/>
    <x v="16"/>
    <n v="4"/>
    <n v="24621.279999999999"/>
    <n v="0"/>
    <n v="24621.279999999999"/>
    <n v="16862.73"/>
    <n v="7758.55"/>
    <x v="0"/>
    <n v="24"/>
    <d v="2025-08-04T00:00:00"/>
    <s v="Aug"/>
    <n v="8"/>
    <s v="Q3"/>
    <x v="0"/>
    <x v="0"/>
    <x v="0"/>
    <x v="0"/>
  </r>
  <r>
    <x v="1334"/>
    <x v="102"/>
    <s v="CUST0291"/>
    <x v="9"/>
    <x v="1"/>
    <x v="3"/>
    <x v="7"/>
    <n v="7"/>
    <n v="44609.39"/>
    <n v="0"/>
    <n v="44609.39"/>
    <n v="36655.74"/>
    <n v="7953.65"/>
    <x v="3"/>
    <n v="1"/>
    <d v="2025-10-20T01:00:00"/>
    <s v="Oct"/>
    <n v="10"/>
    <s v="Q4"/>
    <x v="1"/>
    <x v="1"/>
    <x v="0"/>
    <x v="0"/>
  </r>
  <r>
    <x v="1335"/>
    <x v="184"/>
    <s v="CUST0217"/>
    <x v="4"/>
    <x v="4"/>
    <x v="4"/>
    <x v="22"/>
    <n v="1"/>
    <n v="4445.68"/>
    <n v="0"/>
    <n v="4445.68"/>
    <n v="3443.62"/>
    <n v="1002.06"/>
    <x v="0"/>
    <n v="39"/>
    <d v="2025-03-17T15:00:00"/>
    <s v="Mar"/>
    <n v="3"/>
    <s v="Q1"/>
    <x v="0"/>
    <x v="0"/>
    <x v="0"/>
    <x v="0"/>
  </r>
  <r>
    <x v="1336"/>
    <x v="168"/>
    <s v="CUST0066"/>
    <x v="4"/>
    <x v="7"/>
    <x v="1"/>
    <x v="1"/>
    <n v="1"/>
    <n v="2913.78"/>
    <n v="0.2"/>
    <n v="2331.02"/>
    <n v="1889.74"/>
    <n v="441.28"/>
    <x v="0"/>
    <n v="41"/>
    <d v="2025-11-23T17:00:00"/>
    <s v="Nov"/>
    <n v="11"/>
    <s v="Q4"/>
    <x v="0"/>
    <x v="0"/>
    <x v="0"/>
    <x v="0"/>
  </r>
  <r>
    <x v="1337"/>
    <x v="291"/>
    <s v="CUST0257"/>
    <x v="2"/>
    <x v="1"/>
    <x v="2"/>
    <x v="2"/>
    <n v="7"/>
    <n v="49998.97"/>
    <n v="0"/>
    <n v="49998.97"/>
    <n v="40950.06"/>
    <n v="9048.91"/>
    <x v="1"/>
    <n v="24"/>
    <d v="2025-05-27T00:00:00"/>
    <s v="May"/>
    <n v="5"/>
    <s v="Q2"/>
    <x v="1"/>
    <x v="0"/>
    <x v="0"/>
    <x v="1"/>
  </r>
  <r>
    <x v="1338"/>
    <x v="136"/>
    <s v="CUST0135"/>
    <x v="7"/>
    <x v="7"/>
    <x v="3"/>
    <x v="18"/>
    <n v="1"/>
    <n v="2737.38"/>
    <n v="0.15"/>
    <n v="2326.77"/>
    <n v="1344.78"/>
    <n v="981.99"/>
    <x v="2"/>
    <n v="57"/>
    <d v="2025-05-10T09:00:00"/>
    <s v="May"/>
    <n v="5"/>
    <s v="Q2"/>
    <x v="1"/>
    <x v="0"/>
    <x v="1"/>
    <x v="0"/>
  </r>
  <r>
    <x v="1339"/>
    <x v="260"/>
    <s v="CUST0055"/>
    <x v="5"/>
    <x v="6"/>
    <x v="3"/>
    <x v="16"/>
    <n v="7"/>
    <n v="30713.9"/>
    <n v="0.2"/>
    <n v="24571.119999999999"/>
    <n v="18565.47"/>
    <n v="6005.65"/>
    <x v="0"/>
    <n v="26"/>
    <d v="2025-12-08T02:00:00"/>
    <s v="Dec"/>
    <n v="12"/>
    <s v="Q4"/>
    <x v="0"/>
    <x v="0"/>
    <x v="0"/>
    <x v="0"/>
  </r>
  <r>
    <x v="1340"/>
    <x v="114"/>
    <s v="CUST0243"/>
    <x v="5"/>
    <x v="0"/>
    <x v="2"/>
    <x v="3"/>
    <n v="4"/>
    <n v="14001.84"/>
    <n v="0"/>
    <n v="14001.84"/>
    <n v="7732.37"/>
    <n v="6269.47"/>
    <x v="3"/>
    <n v="14"/>
    <d v="2025-02-11T14:00:00"/>
    <s v="Feb"/>
    <n v="2"/>
    <s v="Q1"/>
    <x v="1"/>
    <x v="1"/>
    <x v="0"/>
    <x v="0"/>
  </r>
  <r>
    <x v="1341"/>
    <x v="334"/>
    <s v="CUST0252"/>
    <x v="3"/>
    <x v="5"/>
    <x v="1"/>
    <x v="5"/>
    <n v="2"/>
    <n v="14579.8"/>
    <n v="0.05"/>
    <n v="13850.81"/>
    <n v="7816.57"/>
    <n v="6034.24"/>
    <x v="0"/>
    <n v="16"/>
    <d v="2025-12-22T16:00:00"/>
    <s v="Dec"/>
    <n v="12"/>
    <s v="Q4"/>
    <x v="0"/>
    <x v="0"/>
    <x v="0"/>
    <x v="0"/>
  </r>
  <r>
    <x v="1342"/>
    <x v="79"/>
    <s v="CUST0021"/>
    <x v="9"/>
    <x v="5"/>
    <x v="4"/>
    <x v="9"/>
    <n v="5"/>
    <n v="18782.599999999999"/>
    <n v="0.25"/>
    <n v="14086.95"/>
    <n v="11950.15"/>
    <n v="2136.8000000000002"/>
    <x v="0"/>
    <n v="40"/>
    <d v="2025-02-11T16:00:00"/>
    <s v="Feb"/>
    <n v="2"/>
    <s v="Q1"/>
    <x v="0"/>
    <x v="0"/>
    <x v="0"/>
    <x v="0"/>
  </r>
  <r>
    <x v="1343"/>
    <x v="318"/>
    <s v="CUST0163"/>
    <x v="9"/>
    <x v="4"/>
    <x v="3"/>
    <x v="12"/>
    <n v="4"/>
    <n v="13495.72"/>
    <n v="0.15"/>
    <n v="11471.36"/>
    <n v="8306.3700000000008"/>
    <n v="3164.99"/>
    <x v="0"/>
    <n v="29"/>
    <d v="2025-02-04T05:00:00"/>
    <s v="Feb"/>
    <n v="2"/>
    <s v="Q1"/>
    <x v="0"/>
    <x v="0"/>
    <x v="0"/>
    <x v="0"/>
  </r>
  <r>
    <x v="1344"/>
    <x v="201"/>
    <s v="CUST0264"/>
    <x v="1"/>
    <x v="6"/>
    <x v="4"/>
    <x v="22"/>
    <n v="2"/>
    <n v="11820.06"/>
    <n v="0.1"/>
    <n v="10638.05"/>
    <n v="8434.35"/>
    <n v="2203.6999999999998"/>
    <x v="0"/>
    <n v="43"/>
    <d v="2025-01-18T19:00:00"/>
    <s v="Jan"/>
    <n v="1"/>
    <s v="Q1"/>
    <x v="0"/>
    <x v="0"/>
    <x v="0"/>
    <x v="0"/>
  </r>
  <r>
    <x v="1345"/>
    <x v="146"/>
    <s v="CUST0068"/>
    <x v="6"/>
    <x v="6"/>
    <x v="0"/>
    <x v="19"/>
    <n v="2"/>
    <n v="10360.76"/>
    <n v="0.15"/>
    <n v="8806.65"/>
    <n v="7280.5"/>
    <n v="1526.15"/>
    <x v="0"/>
    <n v="10"/>
    <d v="2025-06-14T10:00:00"/>
    <s v="Jun"/>
    <n v="6"/>
    <s v="Q2"/>
    <x v="0"/>
    <x v="0"/>
    <x v="0"/>
    <x v="0"/>
  </r>
  <r>
    <x v="1346"/>
    <x v="186"/>
    <s v="CUST0107"/>
    <x v="2"/>
    <x v="0"/>
    <x v="1"/>
    <x v="10"/>
    <n v="6"/>
    <n v="6273.06"/>
    <n v="0.15"/>
    <n v="5332.1"/>
    <n v="4603.54"/>
    <n v="728.56"/>
    <x v="1"/>
    <n v="10"/>
    <d v="2025-06-02T10:00:00"/>
    <s v="Jun"/>
    <n v="6"/>
    <s v="Q2"/>
    <x v="1"/>
    <x v="0"/>
    <x v="0"/>
    <x v="1"/>
  </r>
  <r>
    <x v="1347"/>
    <x v="254"/>
    <s v="CUST0067"/>
    <x v="4"/>
    <x v="6"/>
    <x v="0"/>
    <x v="0"/>
    <n v="4"/>
    <n v="17572.84"/>
    <n v="0.05"/>
    <n v="16694.2"/>
    <n v="13971.15"/>
    <n v="2723.05"/>
    <x v="0"/>
    <n v="25"/>
    <d v="2025-03-18T01:00:00"/>
    <s v="Mar"/>
    <n v="3"/>
    <s v="Q1"/>
    <x v="0"/>
    <x v="0"/>
    <x v="0"/>
    <x v="0"/>
  </r>
  <r>
    <x v="1348"/>
    <x v="350"/>
    <s v="CUST0199"/>
    <x v="2"/>
    <x v="6"/>
    <x v="0"/>
    <x v="14"/>
    <n v="4"/>
    <n v="25164.959999999999"/>
    <n v="0.2"/>
    <n v="20131.97"/>
    <n v="14283.49"/>
    <n v="5848.48"/>
    <x v="0"/>
    <n v="42"/>
    <d v="2025-03-29T18:00:00"/>
    <s v="Mar"/>
    <n v="3"/>
    <s v="Q1"/>
    <x v="0"/>
    <x v="0"/>
    <x v="0"/>
    <x v="0"/>
  </r>
  <r>
    <x v="1349"/>
    <x v="245"/>
    <s v="CUST0192"/>
    <x v="5"/>
    <x v="7"/>
    <x v="0"/>
    <x v="19"/>
    <n v="7"/>
    <n v="59036.74"/>
    <n v="0.1"/>
    <n v="53133.07"/>
    <n v="35114.06"/>
    <n v="18019.009999999998"/>
    <x v="1"/>
    <n v="7"/>
    <d v="2025-04-27T07:00:00"/>
    <s v="Apr"/>
    <n v="4"/>
    <s v="Q2"/>
    <x v="1"/>
    <x v="0"/>
    <x v="0"/>
    <x v="1"/>
  </r>
  <r>
    <x v="1350"/>
    <x v="352"/>
    <s v="CUST0002"/>
    <x v="5"/>
    <x v="2"/>
    <x v="1"/>
    <x v="10"/>
    <n v="2"/>
    <n v="10806.76"/>
    <n v="0.1"/>
    <n v="9726.08"/>
    <n v="5845.21"/>
    <n v="3880.87"/>
    <x v="0"/>
    <n v="33"/>
    <d v="2025-12-29T09:00:00"/>
    <s v="Dec"/>
    <n v="12"/>
    <s v="Q4"/>
    <x v="0"/>
    <x v="0"/>
    <x v="0"/>
    <x v="0"/>
  </r>
  <r>
    <x v="1351"/>
    <x v="216"/>
    <s v="CUST0257"/>
    <x v="0"/>
    <x v="3"/>
    <x v="1"/>
    <x v="8"/>
    <n v="2"/>
    <n v="6483.9"/>
    <n v="0.25"/>
    <n v="4862.92"/>
    <n v="3317.03"/>
    <n v="1545.89"/>
    <x v="0"/>
    <n v="21"/>
    <d v="2025-12-08T21:00:00"/>
    <s v="Dec"/>
    <n v="12"/>
    <s v="Q4"/>
    <x v="0"/>
    <x v="0"/>
    <x v="0"/>
    <x v="0"/>
  </r>
  <r>
    <x v="1352"/>
    <x v="197"/>
    <s v="CUST0001"/>
    <x v="3"/>
    <x v="7"/>
    <x v="2"/>
    <x v="11"/>
    <n v="2"/>
    <n v="4076.74"/>
    <n v="0.15"/>
    <n v="3465.23"/>
    <n v="2324.9699999999998"/>
    <n v="1140.26"/>
    <x v="0"/>
    <n v="45"/>
    <d v="2025-01-28T21:00:00"/>
    <s v="Jan"/>
    <n v="1"/>
    <s v="Q1"/>
    <x v="0"/>
    <x v="0"/>
    <x v="0"/>
    <x v="0"/>
  </r>
  <r>
    <x v="1353"/>
    <x v="225"/>
    <s v="CUST0115"/>
    <x v="9"/>
    <x v="5"/>
    <x v="4"/>
    <x v="13"/>
    <n v="7"/>
    <n v="52066.91"/>
    <n v="0.05"/>
    <n v="49463.56"/>
    <n v="36338.879999999997"/>
    <n v="13124.68"/>
    <x v="3"/>
    <n v="15"/>
    <d v="2025-11-09T15:00:00"/>
    <s v="Nov"/>
    <n v="11"/>
    <s v="Q4"/>
    <x v="1"/>
    <x v="1"/>
    <x v="0"/>
    <x v="0"/>
  </r>
  <r>
    <x v="1354"/>
    <x v="344"/>
    <s v="CUST0088"/>
    <x v="8"/>
    <x v="0"/>
    <x v="4"/>
    <x v="13"/>
    <n v="6"/>
    <n v="41709.72"/>
    <n v="0"/>
    <n v="41709.72"/>
    <n v="32100.560000000001"/>
    <n v="9609.16"/>
    <x v="0"/>
    <n v="13"/>
    <d v="2025-10-14T13:00:00"/>
    <s v="Oct"/>
    <n v="10"/>
    <s v="Q4"/>
    <x v="0"/>
    <x v="0"/>
    <x v="0"/>
    <x v="0"/>
  </r>
  <r>
    <x v="1355"/>
    <x v="133"/>
    <s v="CUST0197"/>
    <x v="2"/>
    <x v="1"/>
    <x v="2"/>
    <x v="24"/>
    <n v="4"/>
    <n v="8413.0400000000009"/>
    <n v="0.1"/>
    <n v="7571.74"/>
    <n v="6608.97"/>
    <n v="962.77"/>
    <x v="1"/>
    <n v="8"/>
    <d v="2025-05-14T08:00:00"/>
    <s v="May"/>
    <n v="5"/>
    <s v="Q2"/>
    <x v="1"/>
    <x v="0"/>
    <x v="0"/>
    <x v="1"/>
  </r>
  <r>
    <x v="1356"/>
    <x v="353"/>
    <s v="CUST0092"/>
    <x v="5"/>
    <x v="0"/>
    <x v="2"/>
    <x v="15"/>
    <n v="2"/>
    <n v="3650.56"/>
    <n v="0.15"/>
    <n v="3102.98"/>
    <n v="2452.4899999999998"/>
    <n v="650.49"/>
    <x v="3"/>
    <n v="15"/>
    <d v="2025-08-07T15:00:00"/>
    <s v="Aug"/>
    <n v="8"/>
    <s v="Q3"/>
    <x v="1"/>
    <x v="1"/>
    <x v="0"/>
    <x v="0"/>
  </r>
  <r>
    <x v="1357"/>
    <x v="268"/>
    <s v="CUST0274"/>
    <x v="6"/>
    <x v="0"/>
    <x v="0"/>
    <x v="6"/>
    <n v="1"/>
    <n v="6121.39"/>
    <n v="0.1"/>
    <n v="5509.25"/>
    <n v="4200.46"/>
    <n v="1308.79"/>
    <x v="2"/>
    <n v="79"/>
    <d v="2025-06-20T07:00:00"/>
    <s v="Jun"/>
    <n v="6"/>
    <s v="Q2"/>
    <x v="1"/>
    <x v="0"/>
    <x v="1"/>
    <x v="0"/>
  </r>
  <r>
    <x v="1358"/>
    <x v="163"/>
    <s v="CUST0160"/>
    <x v="1"/>
    <x v="0"/>
    <x v="2"/>
    <x v="15"/>
    <n v="4"/>
    <n v="11119.4"/>
    <n v="0.25"/>
    <n v="8339.5499999999993"/>
    <n v="5508.94"/>
    <n v="2830.61"/>
    <x v="0"/>
    <n v="10"/>
    <d v="2025-04-08T10:00:00"/>
    <s v="Apr"/>
    <n v="4"/>
    <s v="Q2"/>
    <x v="0"/>
    <x v="0"/>
    <x v="0"/>
    <x v="0"/>
  </r>
  <r>
    <x v="1359"/>
    <x v="97"/>
    <s v="CUST0173"/>
    <x v="4"/>
    <x v="0"/>
    <x v="3"/>
    <x v="18"/>
    <n v="7"/>
    <n v="18959.009999999998"/>
    <n v="0.2"/>
    <n v="15167.21"/>
    <n v="8514.66"/>
    <n v="6652.55"/>
    <x v="3"/>
    <n v="9"/>
    <d v="2025-09-25T09:00:00"/>
    <s v="Sep"/>
    <n v="9"/>
    <s v="Q3"/>
    <x v="1"/>
    <x v="1"/>
    <x v="0"/>
    <x v="0"/>
  </r>
  <r>
    <x v="1360"/>
    <x v="75"/>
    <s v="CUST0033"/>
    <x v="3"/>
    <x v="6"/>
    <x v="4"/>
    <x v="22"/>
    <n v="6"/>
    <n v="8529.7199999999993"/>
    <n v="0.05"/>
    <n v="8103.23"/>
    <n v="5227.24"/>
    <n v="2875.99"/>
    <x v="3"/>
    <n v="18"/>
    <d v="2025-08-25T18:00:00"/>
    <s v="Aug"/>
    <n v="8"/>
    <s v="Q3"/>
    <x v="1"/>
    <x v="1"/>
    <x v="0"/>
    <x v="0"/>
  </r>
  <r>
    <x v="1361"/>
    <x v="16"/>
    <s v="CUST0073"/>
    <x v="6"/>
    <x v="0"/>
    <x v="2"/>
    <x v="2"/>
    <n v="1"/>
    <n v="2354.1999999999998"/>
    <n v="0"/>
    <n v="2354.1999999999998"/>
    <n v="1891.81"/>
    <n v="462.39"/>
    <x v="0"/>
    <n v="4"/>
    <d v="2025-11-05T04:00:00"/>
    <s v="Nov"/>
    <n v="11"/>
    <s v="Q4"/>
    <x v="0"/>
    <x v="0"/>
    <x v="0"/>
    <x v="0"/>
  </r>
  <r>
    <x v="1362"/>
    <x v="226"/>
    <s v="CUST0196"/>
    <x v="3"/>
    <x v="1"/>
    <x v="3"/>
    <x v="18"/>
    <n v="7"/>
    <n v="26037.83"/>
    <n v="0.1"/>
    <n v="23434.05"/>
    <n v="14476.14"/>
    <n v="8957.91"/>
    <x v="0"/>
    <n v="21"/>
    <d v="2025-06-22T21:00:00"/>
    <s v="Jun"/>
    <n v="6"/>
    <s v="Q2"/>
    <x v="0"/>
    <x v="0"/>
    <x v="0"/>
    <x v="0"/>
  </r>
  <r>
    <x v="1363"/>
    <x v="32"/>
    <s v="CUST0284"/>
    <x v="0"/>
    <x v="0"/>
    <x v="3"/>
    <x v="18"/>
    <n v="3"/>
    <n v="18807.599999999999"/>
    <n v="0.1"/>
    <n v="16926.84"/>
    <n v="13287.94"/>
    <n v="3638.9"/>
    <x v="3"/>
    <n v="14"/>
    <d v="2025-07-09T14:00:00"/>
    <s v="Jul"/>
    <n v="7"/>
    <s v="Q3"/>
    <x v="1"/>
    <x v="1"/>
    <x v="0"/>
    <x v="0"/>
  </r>
  <r>
    <x v="1364"/>
    <x v="7"/>
    <s v="CUST0087"/>
    <x v="8"/>
    <x v="7"/>
    <x v="3"/>
    <x v="16"/>
    <n v="4"/>
    <n v="11832.68"/>
    <n v="0.1"/>
    <n v="10649.41"/>
    <n v="7894.7"/>
    <n v="2754.71"/>
    <x v="0"/>
    <n v="28"/>
    <d v="2025-05-03T04:00:00"/>
    <s v="May"/>
    <n v="5"/>
    <s v="Q2"/>
    <x v="0"/>
    <x v="0"/>
    <x v="0"/>
    <x v="0"/>
  </r>
  <r>
    <x v="1365"/>
    <x v="202"/>
    <s v="CUST0224"/>
    <x v="5"/>
    <x v="6"/>
    <x v="3"/>
    <x v="20"/>
    <n v="3"/>
    <n v="8681.5499999999993"/>
    <n v="0.1"/>
    <n v="7813.4"/>
    <n v="4740.49"/>
    <n v="3072.91"/>
    <x v="0"/>
    <n v="43"/>
    <d v="2025-02-16T19:00:00"/>
    <s v="Feb"/>
    <n v="2"/>
    <s v="Q1"/>
    <x v="0"/>
    <x v="0"/>
    <x v="0"/>
    <x v="0"/>
  </r>
  <r>
    <x v="1366"/>
    <x v="354"/>
    <s v="CUST0044"/>
    <x v="1"/>
    <x v="5"/>
    <x v="0"/>
    <x v="14"/>
    <n v="7"/>
    <n v="17703.21"/>
    <n v="0.1"/>
    <n v="15932.89"/>
    <n v="10138.67"/>
    <n v="5794.22"/>
    <x v="0"/>
    <n v="11"/>
    <d v="2025-03-05T11:00:00"/>
    <s v="Mar"/>
    <n v="3"/>
    <s v="Q1"/>
    <x v="0"/>
    <x v="0"/>
    <x v="0"/>
    <x v="0"/>
  </r>
  <r>
    <x v="1367"/>
    <x v="152"/>
    <s v="CUST0138"/>
    <x v="6"/>
    <x v="7"/>
    <x v="3"/>
    <x v="20"/>
    <n v="7"/>
    <n v="29005.69"/>
    <n v="0.05"/>
    <n v="27555.41"/>
    <n v="19668.509999999998"/>
    <n v="7886.9"/>
    <x v="1"/>
    <n v="15"/>
    <d v="2025-05-10T15:00:00"/>
    <s v="May"/>
    <n v="5"/>
    <s v="Q2"/>
    <x v="1"/>
    <x v="0"/>
    <x v="0"/>
    <x v="1"/>
  </r>
  <r>
    <x v="1368"/>
    <x v="62"/>
    <s v="CUST0270"/>
    <x v="3"/>
    <x v="5"/>
    <x v="0"/>
    <x v="17"/>
    <n v="7"/>
    <n v="11608.24"/>
    <n v="0.05"/>
    <n v="11027.83"/>
    <n v="7587.85"/>
    <n v="3439.98"/>
    <x v="1"/>
    <n v="20"/>
    <d v="2025-11-06T20:00:00"/>
    <s v="Nov"/>
    <n v="11"/>
    <s v="Q4"/>
    <x v="1"/>
    <x v="0"/>
    <x v="0"/>
    <x v="1"/>
  </r>
  <r>
    <x v="1369"/>
    <x v="329"/>
    <s v="CUST0036"/>
    <x v="9"/>
    <x v="6"/>
    <x v="0"/>
    <x v="6"/>
    <n v="2"/>
    <n v="8410.0400000000009"/>
    <n v="0.1"/>
    <n v="7569.04"/>
    <n v="6107.66"/>
    <n v="1461.38"/>
    <x v="2"/>
    <n v="88"/>
    <d v="2026-01-01T16:00:00"/>
    <s v="Dec"/>
    <n v="12"/>
    <s v="Q4"/>
    <x v="1"/>
    <x v="0"/>
    <x v="1"/>
    <x v="0"/>
  </r>
  <r>
    <x v="1370"/>
    <x v="355"/>
    <s v="CUST0034"/>
    <x v="0"/>
    <x v="7"/>
    <x v="3"/>
    <x v="16"/>
    <n v="6"/>
    <n v="36179.22"/>
    <n v="0"/>
    <n v="36179.22"/>
    <n v="28666.73"/>
    <n v="7512.49"/>
    <x v="0"/>
    <n v="41"/>
    <d v="2025-07-13T17:00:00"/>
    <s v="Jul"/>
    <n v="7"/>
    <s v="Q3"/>
    <x v="0"/>
    <x v="0"/>
    <x v="0"/>
    <x v="0"/>
  </r>
  <r>
    <x v="1371"/>
    <x v="39"/>
    <s v="CUST0088"/>
    <x v="9"/>
    <x v="5"/>
    <x v="4"/>
    <x v="21"/>
    <n v="2"/>
    <n v="797.5"/>
    <n v="0.05"/>
    <n v="757.62"/>
    <n v="560.34"/>
    <n v="197.28"/>
    <x v="1"/>
    <n v="1"/>
    <d v="2025-11-03T01:00:00"/>
    <s v="Nov"/>
    <n v="11"/>
    <s v="Q4"/>
    <x v="1"/>
    <x v="0"/>
    <x v="0"/>
    <x v="1"/>
  </r>
  <r>
    <x v="1372"/>
    <x v="205"/>
    <s v="CUST0146"/>
    <x v="1"/>
    <x v="4"/>
    <x v="3"/>
    <x v="16"/>
    <n v="6"/>
    <n v="1389.96"/>
    <n v="0.05"/>
    <n v="1320.46"/>
    <n v="1084.56"/>
    <n v="235.9"/>
    <x v="3"/>
    <n v="13"/>
    <d v="2025-06-30T13:00:00"/>
    <s v="Jun"/>
    <n v="6"/>
    <s v="Q2"/>
    <x v="1"/>
    <x v="1"/>
    <x v="0"/>
    <x v="0"/>
  </r>
  <r>
    <x v="1373"/>
    <x v="296"/>
    <s v="CUST0016"/>
    <x v="6"/>
    <x v="3"/>
    <x v="3"/>
    <x v="7"/>
    <n v="5"/>
    <n v="3886.4"/>
    <n v="0.1"/>
    <n v="3497.76"/>
    <n v="2573.2399999999998"/>
    <n v="924.52"/>
    <x v="0"/>
    <n v="43"/>
    <d v="2025-10-20T19:00:00"/>
    <s v="Oct"/>
    <n v="10"/>
    <s v="Q4"/>
    <x v="0"/>
    <x v="0"/>
    <x v="0"/>
    <x v="0"/>
  </r>
  <r>
    <x v="1374"/>
    <x v="313"/>
    <s v="CUST0233"/>
    <x v="0"/>
    <x v="3"/>
    <x v="3"/>
    <x v="16"/>
    <n v="2"/>
    <n v="9245.52"/>
    <n v="0"/>
    <n v="9245.52"/>
    <n v="8027.41"/>
    <n v="1218.1099999999999"/>
    <x v="1"/>
    <n v="21"/>
    <d v="2025-10-09T21:00:00"/>
    <s v="Oct"/>
    <n v="10"/>
    <s v="Q4"/>
    <x v="1"/>
    <x v="0"/>
    <x v="0"/>
    <x v="1"/>
  </r>
  <r>
    <x v="1375"/>
    <x v="123"/>
    <s v="CUST0041"/>
    <x v="6"/>
    <x v="6"/>
    <x v="4"/>
    <x v="13"/>
    <n v="3"/>
    <n v="21854.1"/>
    <n v="0.15"/>
    <n v="18575.98"/>
    <n v="11548.39"/>
    <n v="7027.59"/>
    <x v="0"/>
    <n v="18"/>
    <d v="2025-01-29T18:00:00"/>
    <s v="Jan"/>
    <n v="1"/>
    <s v="Q1"/>
    <x v="0"/>
    <x v="0"/>
    <x v="0"/>
    <x v="0"/>
  </r>
  <r>
    <x v="1376"/>
    <x v="302"/>
    <s v="CUST0255"/>
    <x v="5"/>
    <x v="4"/>
    <x v="1"/>
    <x v="1"/>
    <n v="6"/>
    <n v="1144.74"/>
    <n v="0.1"/>
    <n v="1030.27"/>
    <n v="809.45"/>
    <n v="220.82"/>
    <x v="3"/>
    <n v="3"/>
    <d v="2025-05-29T03:00:00"/>
    <s v="May"/>
    <n v="5"/>
    <s v="Q2"/>
    <x v="1"/>
    <x v="1"/>
    <x v="0"/>
    <x v="0"/>
  </r>
  <r>
    <x v="1377"/>
    <x v="174"/>
    <s v="CUST0281"/>
    <x v="7"/>
    <x v="1"/>
    <x v="1"/>
    <x v="10"/>
    <n v="2"/>
    <n v="15942.24"/>
    <n v="0.1"/>
    <n v="14348.02"/>
    <n v="9643.0400000000009"/>
    <n v="4704.9799999999996"/>
    <x v="1"/>
    <n v="0"/>
    <d v="2025-09-24T00:00:00"/>
    <s v="Sep"/>
    <n v="9"/>
    <s v="Q3"/>
    <x v="1"/>
    <x v="0"/>
    <x v="0"/>
    <x v="1"/>
  </r>
  <r>
    <x v="1378"/>
    <x v="72"/>
    <s v="CUST0126"/>
    <x v="0"/>
    <x v="4"/>
    <x v="0"/>
    <x v="19"/>
    <n v="4"/>
    <n v="4149.72"/>
    <n v="0.15"/>
    <n v="3527.26"/>
    <n v="2264.71"/>
    <n v="1262.55"/>
    <x v="0"/>
    <n v="33"/>
    <d v="2025-10-24T09:00:00"/>
    <s v="Oct"/>
    <n v="10"/>
    <s v="Q4"/>
    <x v="0"/>
    <x v="0"/>
    <x v="0"/>
    <x v="0"/>
  </r>
  <r>
    <x v="1379"/>
    <x v="341"/>
    <s v="CUST0008"/>
    <x v="9"/>
    <x v="2"/>
    <x v="0"/>
    <x v="0"/>
    <n v="7"/>
    <n v="50263.92"/>
    <n v="0.05"/>
    <n v="47750.720000000001"/>
    <n v="29105.39"/>
    <n v="18645.330000000002"/>
    <x v="0"/>
    <n v="11"/>
    <d v="2025-01-11T11:00:00"/>
    <s v="Jan"/>
    <n v="1"/>
    <s v="Q1"/>
    <x v="0"/>
    <x v="0"/>
    <x v="0"/>
    <x v="0"/>
  </r>
  <r>
    <x v="1380"/>
    <x v="278"/>
    <s v="CUST0176"/>
    <x v="1"/>
    <x v="6"/>
    <x v="4"/>
    <x v="21"/>
    <n v="6"/>
    <n v="25091.040000000001"/>
    <n v="0.1"/>
    <n v="22581.94"/>
    <n v="16537.349999999999"/>
    <n v="6044.59"/>
    <x v="2"/>
    <n v="75"/>
    <d v="2025-06-16T03:00:00"/>
    <s v="Jun"/>
    <n v="6"/>
    <s v="Q2"/>
    <x v="1"/>
    <x v="0"/>
    <x v="1"/>
    <x v="0"/>
  </r>
  <r>
    <x v="1381"/>
    <x v="150"/>
    <s v="CUST0228"/>
    <x v="8"/>
    <x v="4"/>
    <x v="2"/>
    <x v="15"/>
    <n v="6"/>
    <n v="33933.78"/>
    <n v="0.25"/>
    <n v="25450.34"/>
    <n v="15807.33"/>
    <n v="9643.01"/>
    <x v="2"/>
    <n v="57"/>
    <d v="2025-04-25T09:00:00"/>
    <s v="Apr"/>
    <n v="4"/>
    <s v="Q2"/>
    <x v="1"/>
    <x v="0"/>
    <x v="1"/>
    <x v="0"/>
  </r>
  <r>
    <x v="1382"/>
    <x v="127"/>
    <s v="CUST0018"/>
    <x v="5"/>
    <x v="1"/>
    <x v="1"/>
    <x v="5"/>
    <n v="2"/>
    <n v="8828.4"/>
    <n v="0.15"/>
    <n v="7504.14"/>
    <n v="4623.42"/>
    <n v="2880.72"/>
    <x v="2"/>
    <n v="81"/>
    <d v="2025-07-09T09:00:00"/>
    <s v="Jul"/>
    <n v="7"/>
    <s v="Q3"/>
    <x v="1"/>
    <x v="0"/>
    <x v="1"/>
    <x v="0"/>
  </r>
  <r>
    <x v="1383"/>
    <x v="151"/>
    <s v="CUST0056"/>
    <x v="7"/>
    <x v="6"/>
    <x v="0"/>
    <x v="17"/>
    <n v="5"/>
    <n v="20666.75"/>
    <n v="0.25"/>
    <n v="15500.06"/>
    <n v="13591.62"/>
    <n v="1908.44"/>
    <x v="0"/>
    <n v="18"/>
    <d v="2025-10-22T18:00:00"/>
    <s v="Oct"/>
    <n v="10"/>
    <s v="Q4"/>
    <x v="0"/>
    <x v="0"/>
    <x v="0"/>
    <x v="0"/>
  </r>
  <r>
    <x v="1384"/>
    <x v="356"/>
    <s v="CUST0035"/>
    <x v="8"/>
    <x v="3"/>
    <x v="1"/>
    <x v="8"/>
    <n v="2"/>
    <n v="14242.82"/>
    <n v="0.15"/>
    <n v="12106.4"/>
    <n v="9861.59"/>
    <n v="2244.81"/>
    <x v="2"/>
    <n v="74"/>
    <d v="2025-08-23T02:00:00"/>
    <s v="Aug"/>
    <n v="8"/>
    <s v="Q3"/>
    <x v="1"/>
    <x v="0"/>
    <x v="1"/>
    <x v="0"/>
  </r>
  <r>
    <x v="1385"/>
    <x v="106"/>
    <s v="CUST0118"/>
    <x v="4"/>
    <x v="0"/>
    <x v="4"/>
    <x v="13"/>
    <n v="3"/>
    <n v="19384.95"/>
    <n v="0"/>
    <n v="19384.95"/>
    <n v="15448.47"/>
    <n v="3936.48"/>
    <x v="0"/>
    <n v="16"/>
    <d v="2025-08-15T16:00:00"/>
    <s v="Aug"/>
    <n v="8"/>
    <s v="Q3"/>
    <x v="0"/>
    <x v="0"/>
    <x v="0"/>
    <x v="0"/>
  </r>
  <r>
    <x v="1386"/>
    <x v="62"/>
    <s v="CUST0282"/>
    <x v="5"/>
    <x v="4"/>
    <x v="4"/>
    <x v="23"/>
    <n v="3"/>
    <n v="12559.23"/>
    <n v="0"/>
    <n v="12559.23"/>
    <n v="10198.6"/>
    <n v="2360.63"/>
    <x v="0"/>
    <n v="27"/>
    <d v="2025-11-07T03:00:00"/>
    <s v="Nov"/>
    <n v="11"/>
    <s v="Q4"/>
    <x v="0"/>
    <x v="0"/>
    <x v="0"/>
    <x v="0"/>
  </r>
  <r>
    <x v="1387"/>
    <x v="163"/>
    <s v="CUST0254"/>
    <x v="1"/>
    <x v="3"/>
    <x v="2"/>
    <x v="15"/>
    <n v="6"/>
    <n v="6492.96"/>
    <n v="0.1"/>
    <n v="5843.66"/>
    <n v="5082.49"/>
    <n v="761.17"/>
    <x v="0"/>
    <n v="43"/>
    <d v="2025-04-09T19:00:00"/>
    <s v="Apr"/>
    <n v="4"/>
    <s v="Q2"/>
    <x v="0"/>
    <x v="0"/>
    <x v="0"/>
    <x v="0"/>
  </r>
  <r>
    <x v="1388"/>
    <x v="36"/>
    <s v="CUST0213"/>
    <x v="3"/>
    <x v="3"/>
    <x v="2"/>
    <x v="11"/>
    <n v="6"/>
    <n v="6681.66"/>
    <n v="0.05"/>
    <n v="6347.58"/>
    <n v="4692.01"/>
    <n v="1655.57"/>
    <x v="1"/>
    <n v="18"/>
    <d v="2025-02-24T18:00:00"/>
    <s v="Feb"/>
    <n v="2"/>
    <s v="Q1"/>
    <x v="1"/>
    <x v="0"/>
    <x v="0"/>
    <x v="1"/>
  </r>
  <r>
    <x v="1389"/>
    <x v="324"/>
    <s v="CUST0061"/>
    <x v="0"/>
    <x v="7"/>
    <x v="4"/>
    <x v="13"/>
    <n v="2"/>
    <n v="13685.7"/>
    <n v="0.05"/>
    <n v="13001.42"/>
    <n v="8095.73"/>
    <n v="4905.6899999999996"/>
    <x v="0"/>
    <n v="31"/>
    <d v="2025-04-22T07:00:00"/>
    <s v="Apr"/>
    <n v="4"/>
    <s v="Q2"/>
    <x v="0"/>
    <x v="0"/>
    <x v="0"/>
    <x v="0"/>
  </r>
  <r>
    <x v="1390"/>
    <x v="13"/>
    <s v="CUST0088"/>
    <x v="6"/>
    <x v="1"/>
    <x v="0"/>
    <x v="6"/>
    <n v="3"/>
    <n v="13711.23"/>
    <n v="0.15"/>
    <n v="11654.55"/>
    <n v="9726.06"/>
    <n v="1928.49"/>
    <x v="0"/>
    <n v="14"/>
    <d v="2025-06-01T14:00:00"/>
    <s v="Jun"/>
    <n v="6"/>
    <s v="Q2"/>
    <x v="0"/>
    <x v="0"/>
    <x v="0"/>
    <x v="0"/>
  </r>
  <r>
    <x v="1391"/>
    <x v="221"/>
    <s v="CUST0271"/>
    <x v="1"/>
    <x v="2"/>
    <x v="1"/>
    <x v="8"/>
    <n v="3"/>
    <n v="12513.81"/>
    <n v="0.05"/>
    <n v="11888.12"/>
    <n v="9452.26"/>
    <n v="2435.86"/>
    <x v="0"/>
    <n v="9"/>
    <d v="2025-09-03T09:00:00"/>
    <s v="Sep"/>
    <n v="9"/>
    <s v="Q3"/>
    <x v="0"/>
    <x v="0"/>
    <x v="0"/>
    <x v="0"/>
  </r>
  <r>
    <x v="1392"/>
    <x v="252"/>
    <s v="CUST0032"/>
    <x v="0"/>
    <x v="0"/>
    <x v="3"/>
    <x v="7"/>
    <n v="5"/>
    <n v="29163.65"/>
    <n v="0.05"/>
    <n v="27705.47"/>
    <n v="19025.95"/>
    <n v="8679.52"/>
    <x v="3"/>
    <n v="11"/>
    <d v="2025-03-10T11:00:00"/>
    <s v="Mar"/>
    <n v="3"/>
    <s v="Q1"/>
    <x v="1"/>
    <x v="1"/>
    <x v="0"/>
    <x v="0"/>
  </r>
  <r>
    <x v="1393"/>
    <x v="300"/>
    <s v="CUST0133"/>
    <x v="8"/>
    <x v="4"/>
    <x v="2"/>
    <x v="24"/>
    <n v="4"/>
    <n v="29285.32"/>
    <n v="0.15"/>
    <n v="24892.52"/>
    <n v="17581.04"/>
    <n v="7311.48"/>
    <x v="0"/>
    <n v="4"/>
    <d v="2025-11-08T04:00:00"/>
    <s v="Nov"/>
    <n v="11"/>
    <s v="Q4"/>
    <x v="0"/>
    <x v="0"/>
    <x v="0"/>
    <x v="0"/>
  </r>
  <r>
    <x v="1394"/>
    <x v="91"/>
    <s v="CUST0064"/>
    <x v="6"/>
    <x v="3"/>
    <x v="3"/>
    <x v="12"/>
    <n v="5"/>
    <n v="27005.45"/>
    <n v="0.15"/>
    <n v="22954.63"/>
    <n v="15740.29"/>
    <n v="7214.34"/>
    <x v="0"/>
    <n v="28"/>
    <d v="2025-10-17T04:00:00"/>
    <s v="Oct"/>
    <n v="10"/>
    <s v="Q4"/>
    <x v="0"/>
    <x v="0"/>
    <x v="0"/>
    <x v="0"/>
  </r>
  <r>
    <x v="1395"/>
    <x v="263"/>
    <s v="CUST0199"/>
    <x v="2"/>
    <x v="3"/>
    <x v="0"/>
    <x v="0"/>
    <n v="1"/>
    <n v="6519.78"/>
    <n v="0.05"/>
    <n v="6193.79"/>
    <n v="5307.34"/>
    <n v="886.45"/>
    <x v="0"/>
    <n v="5"/>
    <d v="2025-09-07T05:00:00"/>
    <s v="Sep"/>
    <n v="9"/>
    <s v="Q3"/>
    <x v="0"/>
    <x v="0"/>
    <x v="0"/>
    <x v="0"/>
  </r>
  <r>
    <x v="1396"/>
    <x v="124"/>
    <s v="CUST0256"/>
    <x v="9"/>
    <x v="2"/>
    <x v="2"/>
    <x v="15"/>
    <n v="7"/>
    <n v="45780.07"/>
    <n v="0.15"/>
    <n v="38913.06"/>
    <n v="25813.58"/>
    <n v="13099.48"/>
    <x v="0"/>
    <n v="35"/>
    <d v="2025-02-06T11:00:00"/>
    <s v="Feb"/>
    <n v="2"/>
    <s v="Q1"/>
    <x v="0"/>
    <x v="0"/>
    <x v="0"/>
    <x v="0"/>
  </r>
  <r>
    <x v="1397"/>
    <x v="248"/>
    <s v="CUST0155"/>
    <x v="4"/>
    <x v="1"/>
    <x v="3"/>
    <x v="12"/>
    <n v="5"/>
    <n v="15623.9"/>
    <n v="0.2"/>
    <n v="12499.12"/>
    <n v="10848.61"/>
    <n v="1650.51"/>
    <x v="0"/>
    <n v="16"/>
    <d v="2025-08-27T16:00:00"/>
    <s v="Aug"/>
    <n v="8"/>
    <s v="Q3"/>
    <x v="0"/>
    <x v="0"/>
    <x v="0"/>
    <x v="0"/>
  </r>
  <r>
    <x v="1398"/>
    <x v="169"/>
    <s v="CUST0231"/>
    <x v="5"/>
    <x v="0"/>
    <x v="0"/>
    <x v="19"/>
    <n v="2"/>
    <n v="4877.18"/>
    <n v="0.05"/>
    <n v="4633.32"/>
    <n v="3940.13"/>
    <n v="693.19"/>
    <x v="1"/>
    <n v="18"/>
    <d v="2025-05-28T18:00:00"/>
    <s v="May"/>
    <n v="5"/>
    <s v="Q2"/>
    <x v="1"/>
    <x v="0"/>
    <x v="0"/>
    <x v="1"/>
  </r>
  <r>
    <x v="1399"/>
    <x v="106"/>
    <s v="CUST0035"/>
    <x v="1"/>
    <x v="5"/>
    <x v="1"/>
    <x v="5"/>
    <n v="4"/>
    <n v="27358.880000000001"/>
    <n v="0"/>
    <n v="27358.880000000001"/>
    <n v="20740"/>
    <n v="6618.88"/>
    <x v="3"/>
    <n v="6"/>
    <d v="2025-08-15T06:00:00"/>
    <s v="Aug"/>
    <n v="8"/>
    <s v="Q3"/>
    <x v="1"/>
    <x v="1"/>
    <x v="0"/>
    <x v="0"/>
  </r>
  <r>
    <x v="1400"/>
    <x v="37"/>
    <s v="CUST0026"/>
    <x v="4"/>
    <x v="0"/>
    <x v="0"/>
    <x v="6"/>
    <n v="2"/>
    <n v="6598.88"/>
    <n v="0"/>
    <n v="6598.88"/>
    <n v="4892.0200000000004"/>
    <n v="1706.86"/>
    <x v="1"/>
    <n v="4"/>
    <d v="2025-09-01T04:00:00"/>
    <s v="Sep"/>
    <n v="9"/>
    <s v="Q3"/>
    <x v="1"/>
    <x v="0"/>
    <x v="0"/>
    <x v="1"/>
  </r>
  <r>
    <x v="1401"/>
    <x v="272"/>
    <s v="CUST0023"/>
    <x v="3"/>
    <x v="2"/>
    <x v="2"/>
    <x v="3"/>
    <n v="7"/>
    <n v="53850.02"/>
    <n v="0.1"/>
    <n v="48465.02"/>
    <n v="32574.77"/>
    <n v="15890.25"/>
    <x v="2"/>
    <n v="63"/>
    <d v="2025-12-05T15:00:00"/>
    <s v="Dec"/>
    <n v="12"/>
    <s v="Q4"/>
    <x v="1"/>
    <x v="0"/>
    <x v="1"/>
    <x v="0"/>
  </r>
  <r>
    <x v="1402"/>
    <x v="196"/>
    <s v="CUST0141"/>
    <x v="0"/>
    <x v="3"/>
    <x v="4"/>
    <x v="23"/>
    <n v="1"/>
    <n v="731.92"/>
    <n v="0.05"/>
    <n v="695.32"/>
    <n v="386.63"/>
    <n v="308.69"/>
    <x v="0"/>
    <n v="7"/>
    <d v="2025-12-31T07:00:00"/>
    <s v="Dec"/>
    <n v="12"/>
    <s v="Q4"/>
    <x v="0"/>
    <x v="0"/>
    <x v="0"/>
    <x v="0"/>
  </r>
  <r>
    <x v="1403"/>
    <x v="95"/>
    <s v="CUST0285"/>
    <x v="0"/>
    <x v="3"/>
    <x v="1"/>
    <x v="1"/>
    <n v="4"/>
    <n v="2544.48"/>
    <n v="0.25"/>
    <n v="1908.36"/>
    <n v="1129.97"/>
    <n v="778.39"/>
    <x v="0"/>
    <n v="27"/>
    <d v="2025-07-21T03:00:00"/>
    <s v="Jul"/>
    <n v="7"/>
    <s v="Q3"/>
    <x v="0"/>
    <x v="0"/>
    <x v="0"/>
    <x v="0"/>
  </r>
  <r>
    <x v="1404"/>
    <x v="255"/>
    <s v="CUST0156"/>
    <x v="1"/>
    <x v="3"/>
    <x v="3"/>
    <x v="7"/>
    <n v="6"/>
    <n v="47342.879999999997"/>
    <n v="0.15"/>
    <n v="40241.449999999997"/>
    <n v="32148.75"/>
    <n v="8092.7"/>
    <x v="2"/>
    <n v="50"/>
    <d v="2025-06-05T02:00:00"/>
    <s v="Jun"/>
    <n v="6"/>
    <s v="Q2"/>
    <x v="1"/>
    <x v="0"/>
    <x v="1"/>
    <x v="0"/>
  </r>
  <r>
    <x v="1405"/>
    <x v="326"/>
    <s v="CUST0113"/>
    <x v="7"/>
    <x v="3"/>
    <x v="2"/>
    <x v="11"/>
    <n v="3"/>
    <n v="16693.8"/>
    <n v="0.15"/>
    <n v="14189.73"/>
    <n v="10012.39"/>
    <n v="4177.34"/>
    <x v="3"/>
    <n v="18"/>
    <d v="2025-03-14T18:00:00"/>
    <s v="Mar"/>
    <n v="3"/>
    <s v="Q1"/>
    <x v="1"/>
    <x v="1"/>
    <x v="0"/>
    <x v="0"/>
  </r>
  <r>
    <x v="1406"/>
    <x v="95"/>
    <s v="CUST0139"/>
    <x v="7"/>
    <x v="5"/>
    <x v="4"/>
    <x v="23"/>
    <n v="5"/>
    <n v="16598.25"/>
    <n v="0.25"/>
    <n v="12448.69"/>
    <n v="7462.32"/>
    <n v="4986.37"/>
    <x v="3"/>
    <n v="24"/>
    <d v="2025-07-21T00:00:00"/>
    <s v="Jul"/>
    <n v="7"/>
    <s v="Q3"/>
    <x v="1"/>
    <x v="1"/>
    <x v="0"/>
    <x v="0"/>
  </r>
  <r>
    <x v="1407"/>
    <x v="72"/>
    <s v="CUST0209"/>
    <x v="2"/>
    <x v="7"/>
    <x v="0"/>
    <x v="14"/>
    <n v="2"/>
    <n v="12909.5"/>
    <n v="0.2"/>
    <n v="10327.6"/>
    <n v="6579.79"/>
    <n v="3747.81"/>
    <x v="0"/>
    <n v="24"/>
    <d v="2025-10-24T00:00:00"/>
    <s v="Oct"/>
    <n v="10"/>
    <s v="Q4"/>
    <x v="0"/>
    <x v="0"/>
    <x v="0"/>
    <x v="0"/>
  </r>
  <r>
    <x v="1408"/>
    <x v="201"/>
    <s v="CUST0086"/>
    <x v="9"/>
    <x v="7"/>
    <x v="4"/>
    <x v="21"/>
    <n v="1"/>
    <n v="5763.93"/>
    <n v="0.05"/>
    <n v="5475.73"/>
    <n v="4724.38"/>
    <n v="751.35"/>
    <x v="0"/>
    <n v="33"/>
    <d v="2025-01-18T09:00:00"/>
    <s v="Jan"/>
    <n v="1"/>
    <s v="Q1"/>
    <x v="0"/>
    <x v="0"/>
    <x v="0"/>
    <x v="0"/>
  </r>
  <r>
    <x v="1409"/>
    <x v="86"/>
    <s v="CUST0285"/>
    <x v="6"/>
    <x v="2"/>
    <x v="2"/>
    <x v="24"/>
    <n v="3"/>
    <n v="13756.59"/>
    <n v="0"/>
    <n v="13756.59"/>
    <n v="9232.7900000000009"/>
    <n v="4523.8"/>
    <x v="0"/>
    <n v="29"/>
    <d v="2025-05-10T05:00:00"/>
    <s v="May"/>
    <n v="5"/>
    <s v="Q2"/>
    <x v="0"/>
    <x v="0"/>
    <x v="0"/>
    <x v="0"/>
  </r>
  <r>
    <x v="1410"/>
    <x v="78"/>
    <s v="CUST0060"/>
    <x v="3"/>
    <x v="0"/>
    <x v="2"/>
    <x v="11"/>
    <n v="5"/>
    <n v="4877.95"/>
    <n v="0.15"/>
    <n v="4146.26"/>
    <n v="3522.39"/>
    <n v="623.87"/>
    <x v="0"/>
    <n v="23"/>
    <d v="2025-08-05T23:00:00"/>
    <s v="Aug"/>
    <n v="8"/>
    <s v="Q3"/>
    <x v="0"/>
    <x v="0"/>
    <x v="0"/>
    <x v="0"/>
  </r>
  <r>
    <x v="1411"/>
    <x v="325"/>
    <s v="CUST0054"/>
    <x v="4"/>
    <x v="6"/>
    <x v="4"/>
    <x v="13"/>
    <n v="3"/>
    <n v="20795.099999999999"/>
    <n v="0.05"/>
    <n v="19755.34"/>
    <n v="12851.44"/>
    <n v="6903.9"/>
    <x v="0"/>
    <n v="19"/>
    <d v="2025-03-02T19:00:00"/>
    <s v="Mar"/>
    <n v="3"/>
    <s v="Q1"/>
    <x v="0"/>
    <x v="0"/>
    <x v="0"/>
    <x v="0"/>
  </r>
  <r>
    <x v="1412"/>
    <x v="185"/>
    <s v="CUST0093"/>
    <x v="7"/>
    <x v="5"/>
    <x v="0"/>
    <x v="17"/>
    <n v="5"/>
    <n v="36906.449999999997"/>
    <n v="0.1"/>
    <n v="33215.800000000003"/>
    <n v="24223.040000000001"/>
    <n v="8992.76"/>
    <x v="0"/>
    <n v="6"/>
    <d v="2025-04-14T06:00:00"/>
    <s v="Apr"/>
    <n v="4"/>
    <s v="Q2"/>
    <x v="0"/>
    <x v="0"/>
    <x v="0"/>
    <x v="0"/>
  </r>
  <r>
    <x v="1413"/>
    <x v="114"/>
    <s v="CUST0265"/>
    <x v="2"/>
    <x v="5"/>
    <x v="4"/>
    <x v="23"/>
    <n v="6"/>
    <n v="9525.66"/>
    <n v="0.1"/>
    <n v="8573.09"/>
    <n v="4773.13"/>
    <n v="3799.96"/>
    <x v="0"/>
    <n v="40"/>
    <d v="2025-02-12T16:00:00"/>
    <s v="Feb"/>
    <n v="2"/>
    <s v="Q1"/>
    <x v="0"/>
    <x v="0"/>
    <x v="0"/>
    <x v="0"/>
  </r>
  <r>
    <x v="1414"/>
    <x v="285"/>
    <s v="CUST0213"/>
    <x v="2"/>
    <x v="4"/>
    <x v="2"/>
    <x v="15"/>
    <n v="4"/>
    <n v="29007.08"/>
    <n v="0.2"/>
    <n v="23205.66"/>
    <n v="16759.560000000001"/>
    <n v="6446.1"/>
    <x v="0"/>
    <n v="43"/>
    <d v="2025-01-26T19:00:00"/>
    <s v="Jan"/>
    <n v="1"/>
    <s v="Q1"/>
    <x v="0"/>
    <x v="0"/>
    <x v="0"/>
    <x v="0"/>
  </r>
  <r>
    <x v="1415"/>
    <x v="173"/>
    <s v="CUST0010"/>
    <x v="1"/>
    <x v="1"/>
    <x v="2"/>
    <x v="3"/>
    <n v="3"/>
    <n v="22440.09"/>
    <n v="0.05"/>
    <n v="21318.09"/>
    <n v="16205.82"/>
    <n v="5112.2700000000004"/>
    <x v="0"/>
    <n v="47"/>
    <d v="2025-02-09T23:00:00"/>
    <s v="Feb"/>
    <n v="2"/>
    <s v="Q1"/>
    <x v="0"/>
    <x v="0"/>
    <x v="0"/>
    <x v="0"/>
  </r>
  <r>
    <x v="1416"/>
    <x v="337"/>
    <s v="CUST0203"/>
    <x v="3"/>
    <x v="6"/>
    <x v="3"/>
    <x v="12"/>
    <n v="3"/>
    <n v="14213.19"/>
    <n v="0.15"/>
    <n v="12081.21"/>
    <n v="7578.79"/>
    <n v="4502.42"/>
    <x v="0"/>
    <n v="28"/>
    <d v="2025-10-19T04:00:00"/>
    <s v="Oct"/>
    <n v="10"/>
    <s v="Q4"/>
    <x v="0"/>
    <x v="0"/>
    <x v="0"/>
    <x v="0"/>
  </r>
  <r>
    <x v="1417"/>
    <x v="14"/>
    <s v="CUST0196"/>
    <x v="8"/>
    <x v="7"/>
    <x v="3"/>
    <x v="7"/>
    <n v="3"/>
    <n v="16887.27"/>
    <n v="0.05"/>
    <n v="16042.91"/>
    <n v="11888.59"/>
    <n v="4154.32"/>
    <x v="0"/>
    <n v="26"/>
    <d v="2025-05-12T02:00:00"/>
    <s v="May"/>
    <n v="5"/>
    <s v="Q2"/>
    <x v="0"/>
    <x v="0"/>
    <x v="0"/>
    <x v="0"/>
  </r>
  <r>
    <x v="1418"/>
    <x v="244"/>
    <s v="CUST0058"/>
    <x v="6"/>
    <x v="7"/>
    <x v="1"/>
    <x v="10"/>
    <n v="4"/>
    <n v="13366.72"/>
    <n v="0.1"/>
    <n v="12030.05"/>
    <n v="9185.73"/>
    <n v="2844.32"/>
    <x v="1"/>
    <n v="19"/>
    <d v="2025-08-17T19:00:00"/>
    <s v="Aug"/>
    <n v="8"/>
    <s v="Q3"/>
    <x v="1"/>
    <x v="0"/>
    <x v="0"/>
    <x v="1"/>
  </r>
  <r>
    <x v="1419"/>
    <x v="134"/>
    <s v="CUST0256"/>
    <x v="9"/>
    <x v="7"/>
    <x v="2"/>
    <x v="3"/>
    <n v="1"/>
    <n v="2502.96"/>
    <n v="0"/>
    <n v="2502.96"/>
    <n v="1943.98"/>
    <n v="558.98"/>
    <x v="0"/>
    <n v="4"/>
    <d v="2025-04-18T04:00:00"/>
    <s v="Apr"/>
    <n v="4"/>
    <s v="Q2"/>
    <x v="0"/>
    <x v="0"/>
    <x v="0"/>
    <x v="0"/>
  </r>
  <r>
    <x v="1420"/>
    <x v="104"/>
    <s v="CUST0223"/>
    <x v="5"/>
    <x v="6"/>
    <x v="3"/>
    <x v="20"/>
    <n v="5"/>
    <n v="30892.799999999999"/>
    <n v="0.2"/>
    <n v="24714.240000000002"/>
    <n v="19924.939999999999"/>
    <n v="4789.3"/>
    <x v="0"/>
    <n v="36"/>
    <d v="2025-06-22T12:00:00"/>
    <s v="Jun"/>
    <n v="6"/>
    <s v="Q2"/>
    <x v="0"/>
    <x v="0"/>
    <x v="0"/>
    <x v="0"/>
  </r>
  <r>
    <x v="1421"/>
    <x v="357"/>
    <s v="CUST0180"/>
    <x v="1"/>
    <x v="5"/>
    <x v="4"/>
    <x v="21"/>
    <n v="6"/>
    <n v="44079.96"/>
    <n v="0"/>
    <n v="44079.96"/>
    <n v="28772.84"/>
    <n v="15307.12"/>
    <x v="0"/>
    <n v="18"/>
    <d v="2025-04-12T18:00:00"/>
    <s v="Apr"/>
    <n v="4"/>
    <s v="Q2"/>
    <x v="0"/>
    <x v="0"/>
    <x v="0"/>
    <x v="0"/>
  </r>
  <r>
    <x v="1422"/>
    <x v="230"/>
    <s v="CUST0035"/>
    <x v="6"/>
    <x v="7"/>
    <x v="0"/>
    <x v="0"/>
    <n v="3"/>
    <n v="16834.650000000001"/>
    <n v="0.15"/>
    <n v="14309.45"/>
    <n v="10551.31"/>
    <n v="3758.14"/>
    <x v="0"/>
    <n v="20"/>
    <d v="2025-12-20T20:00:00"/>
    <s v="Dec"/>
    <n v="12"/>
    <s v="Q4"/>
    <x v="0"/>
    <x v="0"/>
    <x v="0"/>
    <x v="0"/>
  </r>
  <r>
    <x v="1423"/>
    <x v="271"/>
    <s v="CUST0103"/>
    <x v="5"/>
    <x v="6"/>
    <x v="4"/>
    <x v="23"/>
    <n v="7"/>
    <n v="30952.46"/>
    <n v="0"/>
    <n v="30952.46"/>
    <n v="27050.01"/>
    <n v="3902.45"/>
    <x v="3"/>
    <n v="3"/>
    <d v="2025-01-12T03:00:00"/>
    <s v="Jan"/>
    <n v="1"/>
    <s v="Q1"/>
    <x v="1"/>
    <x v="1"/>
    <x v="0"/>
    <x v="0"/>
  </r>
  <r>
    <x v="1424"/>
    <x v="243"/>
    <s v="CUST0161"/>
    <x v="5"/>
    <x v="7"/>
    <x v="0"/>
    <x v="14"/>
    <n v="4"/>
    <n v="5908.08"/>
    <n v="0.05"/>
    <n v="5612.68"/>
    <n v="4750.5"/>
    <n v="862.18"/>
    <x v="0"/>
    <n v="20"/>
    <d v="2025-10-02T20:00:00"/>
    <s v="Oct"/>
    <n v="10"/>
    <s v="Q4"/>
    <x v="0"/>
    <x v="0"/>
    <x v="0"/>
    <x v="0"/>
  </r>
  <r>
    <x v="1425"/>
    <x v="107"/>
    <s v="CUST0200"/>
    <x v="3"/>
    <x v="3"/>
    <x v="3"/>
    <x v="16"/>
    <n v="1"/>
    <n v="596.38"/>
    <n v="0.1"/>
    <n v="536.74"/>
    <n v="463.95"/>
    <n v="72.790000000000006"/>
    <x v="1"/>
    <n v="10"/>
    <d v="2025-04-11T10:00:00"/>
    <s v="Apr"/>
    <n v="4"/>
    <s v="Q2"/>
    <x v="1"/>
    <x v="0"/>
    <x v="0"/>
    <x v="1"/>
  </r>
  <r>
    <x v="1426"/>
    <x v="65"/>
    <s v="CUST0160"/>
    <x v="3"/>
    <x v="5"/>
    <x v="1"/>
    <x v="5"/>
    <n v="5"/>
    <n v="19357.650000000001"/>
    <n v="0.05"/>
    <n v="18389.77"/>
    <n v="12457.69"/>
    <n v="5932.08"/>
    <x v="3"/>
    <n v="4"/>
    <d v="2025-02-13T04:00:00"/>
    <s v="Feb"/>
    <n v="2"/>
    <s v="Q1"/>
    <x v="1"/>
    <x v="1"/>
    <x v="0"/>
    <x v="0"/>
  </r>
  <r>
    <x v="1427"/>
    <x v="234"/>
    <s v="CUST0183"/>
    <x v="4"/>
    <x v="3"/>
    <x v="4"/>
    <x v="13"/>
    <n v="4"/>
    <n v="2248.2800000000002"/>
    <n v="0"/>
    <n v="2248.2800000000002"/>
    <n v="1820.4"/>
    <n v="427.88"/>
    <x v="0"/>
    <n v="7"/>
    <d v="2025-11-01T07:00:00"/>
    <s v="Nov"/>
    <n v="11"/>
    <s v="Q4"/>
    <x v="0"/>
    <x v="0"/>
    <x v="0"/>
    <x v="0"/>
  </r>
  <r>
    <x v="1428"/>
    <x v="201"/>
    <s v="CUST0136"/>
    <x v="2"/>
    <x v="4"/>
    <x v="4"/>
    <x v="21"/>
    <n v="6"/>
    <n v="29423.64"/>
    <n v="0.05"/>
    <n v="27952.46"/>
    <n v="21091.98"/>
    <n v="6860.48"/>
    <x v="1"/>
    <n v="9"/>
    <d v="2025-01-17T09:00:00"/>
    <s v="Jan"/>
    <n v="1"/>
    <s v="Q1"/>
    <x v="1"/>
    <x v="0"/>
    <x v="0"/>
    <x v="1"/>
  </r>
  <r>
    <x v="1429"/>
    <x v="269"/>
    <s v="CUST0226"/>
    <x v="6"/>
    <x v="5"/>
    <x v="4"/>
    <x v="13"/>
    <n v="6"/>
    <n v="20074.740000000002"/>
    <n v="0.15"/>
    <n v="17063.53"/>
    <n v="9850.82"/>
    <n v="7212.71"/>
    <x v="2"/>
    <n v="58"/>
    <d v="2025-11-28T10:00:00"/>
    <s v="Nov"/>
    <n v="11"/>
    <s v="Q4"/>
    <x v="1"/>
    <x v="0"/>
    <x v="1"/>
    <x v="0"/>
  </r>
  <r>
    <x v="1430"/>
    <x v="286"/>
    <s v="CUST0243"/>
    <x v="1"/>
    <x v="7"/>
    <x v="0"/>
    <x v="19"/>
    <n v="5"/>
    <n v="32362.65"/>
    <n v="0.1"/>
    <n v="29126.38"/>
    <n v="23939.37"/>
    <n v="5187.01"/>
    <x v="3"/>
    <n v="22"/>
    <d v="2025-02-26T22:00:00"/>
    <s v="Feb"/>
    <n v="2"/>
    <s v="Q1"/>
    <x v="1"/>
    <x v="1"/>
    <x v="0"/>
    <x v="0"/>
  </r>
  <r>
    <x v="1431"/>
    <x v="239"/>
    <s v="CUST0106"/>
    <x v="0"/>
    <x v="2"/>
    <x v="3"/>
    <x v="18"/>
    <n v="3"/>
    <n v="8106.48"/>
    <n v="0"/>
    <n v="8106.48"/>
    <n v="6269.9"/>
    <n v="1836.58"/>
    <x v="2"/>
    <n v="92"/>
    <d v="2025-11-10T20:00:00"/>
    <s v="Nov"/>
    <n v="11"/>
    <s v="Q4"/>
    <x v="1"/>
    <x v="0"/>
    <x v="1"/>
    <x v="0"/>
  </r>
  <r>
    <x v="1432"/>
    <x v="301"/>
    <s v="CUST0071"/>
    <x v="1"/>
    <x v="4"/>
    <x v="4"/>
    <x v="9"/>
    <n v="6"/>
    <n v="30608.46"/>
    <n v="0.15"/>
    <n v="26017.19"/>
    <n v="16017.29"/>
    <n v="9999.9"/>
    <x v="0"/>
    <n v="26"/>
    <d v="2025-10-31T02:00:00"/>
    <s v="Oct"/>
    <n v="10"/>
    <s v="Q4"/>
    <x v="0"/>
    <x v="0"/>
    <x v="0"/>
    <x v="0"/>
  </r>
  <r>
    <x v="1433"/>
    <x v="271"/>
    <s v="CUST0077"/>
    <x v="4"/>
    <x v="6"/>
    <x v="4"/>
    <x v="13"/>
    <n v="1"/>
    <n v="4639.66"/>
    <n v="0"/>
    <n v="4639.66"/>
    <n v="2673.9"/>
    <n v="1965.76"/>
    <x v="3"/>
    <n v="4"/>
    <d v="2025-01-12T04:00:00"/>
    <s v="Jan"/>
    <n v="1"/>
    <s v="Q1"/>
    <x v="1"/>
    <x v="1"/>
    <x v="0"/>
    <x v="0"/>
  </r>
  <r>
    <x v="1434"/>
    <x v="145"/>
    <s v="CUST0054"/>
    <x v="9"/>
    <x v="4"/>
    <x v="1"/>
    <x v="4"/>
    <n v="4"/>
    <n v="757.4"/>
    <n v="0.1"/>
    <n v="681.66"/>
    <n v="563.20000000000005"/>
    <n v="118.46"/>
    <x v="3"/>
    <n v="11"/>
    <d v="2025-11-14T11:00:00"/>
    <s v="Nov"/>
    <n v="11"/>
    <s v="Q4"/>
    <x v="1"/>
    <x v="1"/>
    <x v="0"/>
    <x v="0"/>
  </r>
  <r>
    <x v="1435"/>
    <x v="303"/>
    <s v="CUST0277"/>
    <x v="2"/>
    <x v="7"/>
    <x v="1"/>
    <x v="1"/>
    <n v="1"/>
    <n v="754.45"/>
    <n v="0.05"/>
    <n v="716.73"/>
    <n v="412.86"/>
    <n v="303.87"/>
    <x v="0"/>
    <n v="23"/>
    <d v="2025-03-21T23:00:00"/>
    <s v="Mar"/>
    <n v="3"/>
    <s v="Q1"/>
    <x v="0"/>
    <x v="0"/>
    <x v="0"/>
    <x v="0"/>
  </r>
  <r>
    <x v="1436"/>
    <x v="101"/>
    <s v="CUST0111"/>
    <x v="0"/>
    <x v="6"/>
    <x v="3"/>
    <x v="7"/>
    <n v="3"/>
    <n v="7723.71"/>
    <n v="0.1"/>
    <n v="6951.34"/>
    <n v="4032.8"/>
    <n v="2918.54"/>
    <x v="1"/>
    <n v="21"/>
    <d v="2025-08-04T21:00:00"/>
    <s v="Aug"/>
    <n v="8"/>
    <s v="Q3"/>
    <x v="1"/>
    <x v="0"/>
    <x v="0"/>
    <x v="1"/>
  </r>
  <r>
    <x v="1437"/>
    <x v="284"/>
    <s v="CUST0224"/>
    <x v="7"/>
    <x v="2"/>
    <x v="3"/>
    <x v="12"/>
    <n v="1"/>
    <n v="7516.66"/>
    <n v="0.05"/>
    <n v="7140.83"/>
    <n v="4934.63"/>
    <n v="2206.1999999999998"/>
    <x v="1"/>
    <n v="7"/>
    <d v="2025-12-05T07:00:00"/>
    <s v="Dec"/>
    <n v="12"/>
    <s v="Q4"/>
    <x v="1"/>
    <x v="0"/>
    <x v="0"/>
    <x v="1"/>
  </r>
  <r>
    <x v="1438"/>
    <x v="53"/>
    <s v="CUST0075"/>
    <x v="9"/>
    <x v="6"/>
    <x v="2"/>
    <x v="2"/>
    <n v="1"/>
    <n v="1377.57"/>
    <n v="0.25"/>
    <n v="1033.18"/>
    <n v="614.21"/>
    <n v="418.97"/>
    <x v="0"/>
    <n v="45"/>
    <d v="2025-09-22T21:00:00"/>
    <s v="Sep"/>
    <n v="9"/>
    <s v="Q3"/>
    <x v="0"/>
    <x v="0"/>
    <x v="0"/>
    <x v="0"/>
  </r>
  <r>
    <x v="1439"/>
    <x v="302"/>
    <s v="CUST0014"/>
    <x v="3"/>
    <x v="3"/>
    <x v="1"/>
    <x v="1"/>
    <n v="2"/>
    <n v="12171.94"/>
    <n v="0.05"/>
    <n v="11563.34"/>
    <n v="9846.31"/>
    <n v="1717.03"/>
    <x v="2"/>
    <n v="73"/>
    <d v="2025-06-01T01:00:00"/>
    <s v="May"/>
    <n v="5"/>
    <s v="Q2"/>
    <x v="1"/>
    <x v="0"/>
    <x v="1"/>
    <x v="0"/>
  </r>
  <r>
    <x v="1440"/>
    <x v="56"/>
    <s v="CUST0258"/>
    <x v="5"/>
    <x v="6"/>
    <x v="2"/>
    <x v="2"/>
    <n v="1"/>
    <n v="8277.61"/>
    <n v="0.05"/>
    <n v="7863.73"/>
    <n v="5545.45"/>
    <n v="2318.2800000000002"/>
    <x v="2"/>
    <n v="96"/>
    <d v="2025-03-26T00:00:00"/>
    <s v="Mar"/>
    <n v="3"/>
    <s v="Q1"/>
    <x v="1"/>
    <x v="0"/>
    <x v="1"/>
    <x v="0"/>
  </r>
  <r>
    <x v="1441"/>
    <x v="8"/>
    <s v="CUST0189"/>
    <x v="7"/>
    <x v="6"/>
    <x v="0"/>
    <x v="0"/>
    <n v="5"/>
    <n v="33756.199999999997"/>
    <n v="0.05"/>
    <n v="32068.39"/>
    <n v="23660.69"/>
    <n v="8407.7000000000007"/>
    <x v="1"/>
    <n v="21"/>
    <d v="2025-08-03T21:00:00"/>
    <s v="Aug"/>
    <n v="8"/>
    <s v="Q3"/>
    <x v="1"/>
    <x v="0"/>
    <x v="0"/>
    <x v="1"/>
  </r>
  <r>
    <x v="1442"/>
    <x v="143"/>
    <s v="CUST0239"/>
    <x v="1"/>
    <x v="4"/>
    <x v="2"/>
    <x v="11"/>
    <n v="4"/>
    <n v="8714.36"/>
    <n v="0.2"/>
    <n v="6971.49"/>
    <n v="5969.51"/>
    <n v="1001.98"/>
    <x v="1"/>
    <n v="5"/>
    <d v="2025-07-17T05:00:00"/>
    <s v="Jul"/>
    <n v="7"/>
    <s v="Q3"/>
    <x v="1"/>
    <x v="0"/>
    <x v="0"/>
    <x v="1"/>
  </r>
  <r>
    <x v="1443"/>
    <x v="342"/>
    <s v="CUST0091"/>
    <x v="1"/>
    <x v="2"/>
    <x v="4"/>
    <x v="22"/>
    <n v="2"/>
    <n v="15469.7"/>
    <n v="0.1"/>
    <n v="13922.73"/>
    <n v="10093.799999999999"/>
    <n v="3828.93"/>
    <x v="3"/>
    <n v="10"/>
    <d v="2025-07-19T10:00:00"/>
    <s v="Jul"/>
    <n v="7"/>
    <s v="Q3"/>
    <x v="1"/>
    <x v="1"/>
    <x v="0"/>
    <x v="0"/>
  </r>
  <r>
    <x v="1444"/>
    <x v="285"/>
    <s v="CUST0184"/>
    <x v="3"/>
    <x v="0"/>
    <x v="2"/>
    <x v="11"/>
    <n v="4"/>
    <n v="3709.76"/>
    <n v="0.15"/>
    <n v="3153.3"/>
    <n v="2102.2600000000002"/>
    <n v="1051.04"/>
    <x v="2"/>
    <n v="96"/>
    <d v="2025-01-29T00:00:00"/>
    <s v="Jan"/>
    <n v="1"/>
    <s v="Q1"/>
    <x v="1"/>
    <x v="0"/>
    <x v="1"/>
    <x v="0"/>
  </r>
  <r>
    <x v="1445"/>
    <x v="44"/>
    <s v="CUST0017"/>
    <x v="4"/>
    <x v="6"/>
    <x v="3"/>
    <x v="12"/>
    <n v="4"/>
    <n v="16235.96"/>
    <n v="0.2"/>
    <n v="12988.77"/>
    <n v="10560.66"/>
    <n v="2428.11"/>
    <x v="0"/>
    <n v="28"/>
    <d v="2025-03-31T04:00:00"/>
    <s v="Mar"/>
    <n v="3"/>
    <s v="Q1"/>
    <x v="0"/>
    <x v="0"/>
    <x v="0"/>
    <x v="0"/>
  </r>
  <r>
    <x v="1446"/>
    <x v="97"/>
    <s v="CUST0012"/>
    <x v="6"/>
    <x v="1"/>
    <x v="0"/>
    <x v="0"/>
    <n v="3"/>
    <n v="22682.91"/>
    <n v="0.2"/>
    <n v="18146.330000000002"/>
    <n v="12632.4"/>
    <n v="5513.93"/>
    <x v="0"/>
    <n v="12"/>
    <d v="2025-09-25T12:00:00"/>
    <s v="Sep"/>
    <n v="9"/>
    <s v="Q3"/>
    <x v="0"/>
    <x v="0"/>
    <x v="0"/>
    <x v="0"/>
  </r>
  <r>
    <x v="1447"/>
    <x v="121"/>
    <s v="CUST0166"/>
    <x v="7"/>
    <x v="0"/>
    <x v="4"/>
    <x v="9"/>
    <n v="3"/>
    <n v="16513.71"/>
    <n v="0.15"/>
    <n v="14036.65"/>
    <n v="9195.34"/>
    <n v="4841.3100000000004"/>
    <x v="0"/>
    <n v="20"/>
    <d v="2025-05-23T20:00:00"/>
    <s v="May"/>
    <n v="5"/>
    <s v="Q2"/>
    <x v="0"/>
    <x v="0"/>
    <x v="0"/>
    <x v="0"/>
  </r>
  <r>
    <x v="1448"/>
    <x v="29"/>
    <s v="CUST0146"/>
    <x v="7"/>
    <x v="3"/>
    <x v="2"/>
    <x v="11"/>
    <n v="2"/>
    <n v="7207.86"/>
    <n v="0"/>
    <n v="7207.86"/>
    <n v="5684.59"/>
    <n v="1523.27"/>
    <x v="0"/>
    <n v="24"/>
    <d v="2025-03-01T00:00:00"/>
    <s v="Feb"/>
    <n v="2"/>
    <s v="Q1"/>
    <x v="0"/>
    <x v="0"/>
    <x v="0"/>
    <x v="0"/>
  </r>
  <r>
    <x v="1449"/>
    <x v="196"/>
    <s v="CUST0282"/>
    <x v="8"/>
    <x v="2"/>
    <x v="0"/>
    <x v="19"/>
    <n v="6"/>
    <n v="15569.94"/>
    <n v="0.15"/>
    <n v="13234.45"/>
    <n v="10779.85"/>
    <n v="2454.6"/>
    <x v="0"/>
    <n v="16"/>
    <d v="2025-12-31T16:00:00"/>
    <s v="Dec"/>
    <n v="12"/>
    <s v="Q4"/>
    <x v="0"/>
    <x v="0"/>
    <x v="0"/>
    <x v="0"/>
  </r>
  <r>
    <x v="1450"/>
    <x v="222"/>
    <s v="CUST0037"/>
    <x v="9"/>
    <x v="2"/>
    <x v="0"/>
    <x v="0"/>
    <n v="7"/>
    <n v="22974.560000000001"/>
    <n v="0.05"/>
    <n v="21825.83"/>
    <n v="17706.560000000001"/>
    <n v="4119.2700000000004"/>
    <x v="0"/>
    <n v="6"/>
    <d v="2025-01-26T06:00:00"/>
    <s v="Jan"/>
    <n v="1"/>
    <s v="Q1"/>
    <x v="0"/>
    <x v="0"/>
    <x v="0"/>
    <x v="0"/>
  </r>
  <r>
    <x v="1451"/>
    <x v="238"/>
    <s v="CUST0070"/>
    <x v="2"/>
    <x v="5"/>
    <x v="4"/>
    <x v="22"/>
    <n v="3"/>
    <n v="13198.98"/>
    <n v="0.15"/>
    <n v="11219.13"/>
    <n v="9790.18"/>
    <n v="1428.95"/>
    <x v="3"/>
    <n v="21"/>
    <d v="2025-02-16T21:00:00"/>
    <s v="Feb"/>
    <n v="2"/>
    <s v="Q1"/>
    <x v="1"/>
    <x v="1"/>
    <x v="0"/>
    <x v="0"/>
  </r>
  <r>
    <x v="1452"/>
    <x v="215"/>
    <s v="CUST0169"/>
    <x v="9"/>
    <x v="3"/>
    <x v="2"/>
    <x v="2"/>
    <n v="7"/>
    <n v="19698.14"/>
    <n v="0.1"/>
    <n v="17728.330000000002"/>
    <n v="14352.86"/>
    <n v="3375.47"/>
    <x v="1"/>
    <n v="2"/>
    <d v="2025-10-15T02:00:00"/>
    <s v="Oct"/>
    <n v="10"/>
    <s v="Q4"/>
    <x v="1"/>
    <x v="0"/>
    <x v="0"/>
    <x v="1"/>
  </r>
  <r>
    <x v="1453"/>
    <x v="349"/>
    <s v="CUST0170"/>
    <x v="6"/>
    <x v="6"/>
    <x v="0"/>
    <x v="14"/>
    <n v="3"/>
    <n v="24722.639999999999"/>
    <n v="0.15"/>
    <n v="21014.240000000002"/>
    <n v="16897.09"/>
    <n v="4117.1499999999996"/>
    <x v="1"/>
    <n v="18"/>
    <d v="2025-09-23T18:00:00"/>
    <s v="Sep"/>
    <n v="9"/>
    <s v="Q3"/>
    <x v="1"/>
    <x v="0"/>
    <x v="0"/>
    <x v="1"/>
  </r>
  <r>
    <x v="1454"/>
    <x v="265"/>
    <s v="CUST0253"/>
    <x v="1"/>
    <x v="4"/>
    <x v="0"/>
    <x v="17"/>
    <n v="3"/>
    <n v="23823.599999999999"/>
    <n v="0.1"/>
    <n v="21441.24"/>
    <n v="17859.91"/>
    <n v="3581.33"/>
    <x v="0"/>
    <n v="31"/>
    <d v="2025-01-17T07:00:00"/>
    <s v="Jan"/>
    <n v="1"/>
    <s v="Q1"/>
    <x v="0"/>
    <x v="0"/>
    <x v="0"/>
    <x v="0"/>
  </r>
  <r>
    <x v="1455"/>
    <x v="171"/>
    <s v="CUST0297"/>
    <x v="1"/>
    <x v="0"/>
    <x v="1"/>
    <x v="1"/>
    <n v="4"/>
    <n v="29680.44"/>
    <n v="0.1"/>
    <n v="26712.400000000001"/>
    <n v="14693.45"/>
    <n v="12018.95"/>
    <x v="2"/>
    <n v="63"/>
    <d v="2025-07-20T15:00:00"/>
    <s v="Jul"/>
    <n v="7"/>
    <s v="Q3"/>
    <x v="1"/>
    <x v="0"/>
    <x v="1"/>
    <x v="0"/>
  </r>
  <r>
    <x v="1456"/>
    <x v="313"/>
    <s v="CUST0142"/>
    <x v="1"/>
    <x v="5"/>
    <x v="0"/>
    <x v="19"/>
    <n v="2"/>
    <n v="7344.56"/>
    <n v="0.25"/>
    <n v="5508.42"/>
    <n v="3688.45"/>
    <n v="1819.97"/>
    <x v="2"/>
    <n v="77"/>
    <d v="2025-10-12T05:00:00"/>
    <s v="Oct"/>
    <n v="10"/>
    <s v="Q4"/>
    <x v="1"/>
    <x v="0"/>
    <x v="1"/>
    <x v="0"/>
  </r>
  <r>
    <x v="1457"/>
    <x v="129"/>
    <s v="CUST0273"/>
    <x v="8"/>
    <x v="3"/>
    <x v="1"/>
    <x v="8"/>
    <n v="4"/>
    <n v="23689.48"/>
    <n v="0"/>
    <n v="23689.48"/>
    <n v="18795.45"/>
    <n v="4894.03"/>
    <x v="0"/>
    <n v="14"/>
    <d v="2025-03-27T14:00:00"/>
    <s v="Mar"/>
    <n v="3"/>
    <s v="Q1"/>
    <x v="0"/>
    <x v="0"/>
    <x v="0"/>
    <x v="0"/>
  </r>
  <r>
    <x v="1458"/>
    <x v="263"/>
    <s v="CUST0225"/>
    <x v="1"/>
    <x v="3"/>
    <x v="2"/>
    <x v="24"/>
    <n v="5"/>
    <n v="38443.1"/>
    <n v="0.05"/>
    <n v="36520.94"/>
    <n v="27314.28"/>
    <n v="9206.66"/>
    <x v="0"/>
    <n v="27"/>
    <d v="2025-09-08T03:00:00"/>
    <s v="Sep"/>
    <n v="9"/>
    <s v="Q3"/>
    <x v="0"/>
    <x v="0"/>
    <x v="0"/>
    <x v="0"/>
  </r>
  <r>
    <x v="1459"/>
    <x v="68"/>
    <s v="CUST0183"/>
    <x v="6"/>
    <x v="1"/>
    <x v="2"/>
    <x v="15"/>
    <n v="4"/>
    <n v="29004.36"/>
    <n v="0.1"/>
    <n v="26103.919999999998"/>
    <n v="15886.81"/>
    <n v="10217.11"/>
    <x v="0"/>
    <n v="46"/>
    <d v="2025-09-28T22:00:00"/>
    <s v="Sep"/>
    <n v="9"/>
    <s v="Q3"/>
    <x v="0"/>
    <x v="0"/>
    <x v="0"/>
    <x v="0"/>
  </r>
  <r>
    <x v="1460"/>
    <x v="319"/>
    <s v="CUST0221"/>
    <x v="3"/>
    <x v="6"/>
    <x v="2"/>
    <x v="15"/>
    <n v="7"/>
    <n v="25267.41"/>
    <n v="0.25"/>
    <n v="18950.560000000001"/>
    <n v="12322.26"/>
    <n v="6628.3"/>
    <x v="2"/>
    <n v="62"/>
    <d v="2025-12-03T14:00:00"/>
    <s v="Dec"/>
    <n v="12"/>
    <s v="Q4"/>
    <x v="1"/>
    <x v="0"/>
    <x v="1"/>
    <x v="0"/>
  </r>
  <r>
    <x v="1461"/>
    <x v="245"/>
    <s v="CUST0053"/>
    <x v="2"/>
    <x v="5"/>
    <x v="3"/>
    <x v="12"/>
    <n v="7"/>
    <n v="7618.94"/>
    <n v="0"/>
    <n v="7618.94"/>
    <n v="5037.2"/>
    <n v="2581.7399999999998"/>
    <x v="1"/>
    <n v="15"/>
    <d v="2025-04-27T15:00:00"/>
    <s v="Apr"/>
    <n v="4"/>
    <s v="Q2"/>
    <x v="1"/>
    <x v="0"/>
    <x v="0"/>
    <x v="1"/>
  </r>
  <r>
    <x v="1462"/>
    <x v="293"/>
    <s v="CUST0118"/>
    <x v="6"/>
    <x v="0"/>
    <x v="2"/>
    <x v="3"/>
    <n v="5"/>
    <n v="3907.55"/>
    <n v="0"/>
    <n v="3907.55"/>
    <n v="2881.36"/>
    <n v="1026.19"/>
    <x v="2"/>
    <n v="71"/>
    <d v="2025-01-09T23:00:00"/>
    <s v="Jan"/>
    <n v="1"/>
    <s v="Q1"/>
    <x v="1"/>
    <x v="0"/>
    <x v="1"/>
    <x v="0"/>
  </r>
  <r>
    <x v="1463"/>
    <x v="144"/>
    <s v="CUST0159"/>
    <x v="2"/>
    <x v="3"/>
    <x v="0"/>
    <x v="14"/>
    <n v="1"/>
    <n v="4968.4799999999996"/>
    <n v="0"/>
    <n v="4968.4799999999996"/>
    <n v="4096.1499999999996"/>
    <n v="872.33"/>
    <x v="0"/>
    <n v="47"/>
    <d v="2025-05-18T23:00:00"/>
    <s v="May"/>
    <n v="5"/>
    <s v="Q2"/>
    <x v="0"/>
    <x v="0"/>
    <x v="0"/>
    <x v="0"/>
  </r>
  <r>
    <x v="1464"/>
    <x v="191"/>
    <s v="CUST0136"/>
    <x v="6"/>
    <x v="2"/>
    <x v="4"/>
    <x v="21"/>
    <n v="1"/>
    <n v="5515.94"/>
    <n v="0"/>
    <n v="5515.94"/>
    <n v="4731.1400000000003"/>
    <n v="784.8"/>
    <x v="3"/>
    <n v="5"/>
    <d v="2025-06-25T05:00:00"/>
    <s v="Jun"/>
    <n v="6"/>
    <s v="Q2"/>
    <x v="1"/>
    <x v="1"/>
    <x v="0"/>
    <x v="0"/>
  </r>
  <r>
    <x v="1465"/>
    <x v="96"/>
    <s v="CUST0077"/>
    <x v="1"/>
    <x v="3"/>
    <x v="1"/>
    <x v="10"/>
    <n v="5"/>
    <n v="36230.949999999997"/>
    <n v="0.2"/>
    <n v="28984.76"/>
    <n v="23116.23"/>
    <n v="5868.53"/>
    <x v="0"/>
    <n v="42"/>
    <d v="2025-11-25T18:00:00"/>
    <s v="Nov"/>
    <n v="11"/>
    <s v="Q4"/>
    <x v="0"/>
    <x v="0"/>
    <x v="0"/>
    <x v="0"/>
  </r>
  <r>
    <x v="1466"/>
    <x v="148"/>
    <s v="CUST0045"/>
    <x v="3"/>
    <x v="3"/>
    <x v="3"/>
    <x v="18"/>
    <n v="5"/>
    <n v="12962.5"/>
    <n v="0.15"/>
    <n v="11018.12"/>
    <n v="9124.92"/>
    <n v="1893.2"/>
    <x v="1"/>
    <n v="9"/>
    <d v="2025-11-11T09:00:00"/>
    <s v="Nov"/>
    <n v="11"/>
    <s v="Q4"/>
    <x v="1"/>
    <x v="0"/>
    <x v="0"/>
    <x v="1"/>
  </r>
  <r>
    <x v="1467"/>
    <x v="8"/>
    <s v="CUST0018"/>
    <x v="7"/>
    <x v="3"/>
    <x v="2"/>
    <x v="15"/>
    <n v="4"/>
    <n v="6193.52"/>
    <n v="0.1"/>
    <n v="5574.17"/>
    <n v="3930.52"/>
    <n v="1643.65"/>
    <x v="3"/>
    <n v="19"/>
    <d v="2025-08-03T19:00:00"/>
    <s v="Aug"/>
    <n v="8"/>
    <s v="Q3"/>
    <x v="1"/>
    <x v="1"/>
    <x v="0"/>
    <x v="0"/>
  </r>
  <r>
    <x v="1468"/>
    <x v="309"/>
    <s v="CUST0205"/>
    <x v="9"/>
    <x v="5"/>
    <x v="2"/>
    <x v="24"/>
    <n v="5"/>
    <n v="16573.5"/>
    <n v="0.1"/>
    <n v="14916.15"/>
    <n v="10122.49"/>
    <n v="4793.66"/>
    <x v="0"/>
    <n v="15"/>
    <d v="2025-03-23T15:00:00"/>
    <s v="Mar"/>
    <n v="3"/>
    <s v="Q1"/>
    <x v="0"/>
    <x v="0"/>
    <x v="0"/>
    <x v="0"/>
  </r>
  <r>
    <x v="1469"/>
    <x v="211"/>
    <s v="CUST0083"/>
    <x v="5"/>
    <x v="4"/>
    <x v="4"/>
    <x v="22"/>
    <n v="2"/>
    <n v="6204.7"/>
    <n v="0.15"/>
    <n v="5274"/>
    <n v="3584.18"/>
    <n v="1689.82"/>
    <x v="3"/>
    <n v="13"/>
    <d v="2025-08-11T13:00:00"/>
    <s v="Aug"/>
    <n v="8"/>
    <s v="Q3"/>
    <x v="1"/>
    <x v="1"/>
    <x v="0"/>
    <x v="0"/>
  </r>
  <r>
    <x v="1470"/>
    <x v="0"/>
    <s v="CUST0050"/>
    <x v="3"/>
    <x v="7"/>
    <x v="4"/>
    <x v="9"/>
    <n v="1"/>
    <n v="1256.1199999999999"/>
    <n v="0"/>
    <n v="1256.1199999999999"/>
    <n v="946.23"/>
    <n v="309.89"/>
    <x v="3"/>
    <n v="16"/>
    <d v="2025-04-13T16:00:00"/>
    <s v="Apr"/>
    <n v="4"/>
    <s v="Q2"/>
    <x v="1"/>
    <x v="1"/>
    <x v="0"/>
    <x v="0"/>
  </r>
  <r>
    <x v="1471"/>
    <x v="219"/>
    <s v="CUST0281"/>
    <x v="7"/>
    <x v="1"/>
    <x v="3"/>
    <x v="18"/>
    <n v="1"/>
    <n v="5763.56"/>
    <n v="0.05"/>
    <n v="5475.38"/>
    <n v="3235.94"/>
    <n v="2239.44"/>
    <x v="0"/>
    <n v="33"/>
    <d v="2025-10-01T09:00:00"/>
    <s v="Sep"/>
    <n v="9"/>
    <s v="Q3"/>
    <x v="0"/>
    <x v="0"/>
    <x v="0"/>
    <x v="0"/>
  </r>
  <r>
    <x v="1472"/>
    <x v="46"/>
    <s v="CUST0166"/>
    <x v="4"/>
    <x v="2"/>
    <x v="1"/>
    <x v="4"/>
    <n v="6"/>
    <n v="26385.48"/>
    <n v="0.1"/>
    <n v="23746.93"/>
    <n v="17602.009999999998"/>
    <n v="6144.92"/>
    <x v="3"/>
    <n v="15"/>
    <d v="2025-01-14T15:00:00"/>
    <s v="Jan"/>
    <n v="1"/>
    <s v="Q1"/>
    <x v="1"/>
    <x v="1"/>
    <x v="0"/>
    <x v="0"/>
  </r>
  <r>
    <x v="1473"/>
    <x v="339"/>
    <s v="CUST0243"/>
    <x v="6"/>
    <x v="4"/>
    <x v="2"/>
    <x v="3"/>
    <n v="5"/>
    <n v="30856.9"/>
    <n v="0"/>
    <n v="30856.9"/>
    <n v="23744.19"/>
    <n v="7112.71"/>
    <x v="0"/>
    <n v="32"/>
    <d v="2025-06-09T08:00:00"/>
    <s v="Jun"/>
    <n v="6"/>
    <s v="Q2"/>
    <x v="0"/>
    <x v="0"/>
    <x v="0"/>
    <x v="0"/>
  </r>
  <r>
    <x v="1474"/>
    <x v="13"/>
    <s v="CUST0164"/>
    <x v="4"/>
    <x v="1"/>
    <x v="3"/>
    <x v="20"/>
    <n v="3"/>
    <n v="9284.91"/>
    <n v="0.05"/>
    <n v="8820.66"/>
    <n v="6128.95"/>
    <n v="2691.71"/>
    <x v="1"/>
    <n v="1"/>
    <d v="2025-06-01T01:00:00"/>
    <s v="Jun"/>
    <n v="6"/>
    <s v="Q2"/>
    <x v="1"/>
    <x v="0"/>
    <x v="0"/>
    <x v="1"/>
  </r>
  <r>
    <x v="1475"/>
    <x v="134"/>
    <s v="CUST0056"/>
    <x v="7"/>
    <x v="3"/>
    <x v="0"/>
    <x v="19"/>
    <n v="3"/>
    <n v="8608.83"/>
    <n v="0.05"/>
    <n v="8178.39"/>
    <n v="7070.59"/>
    <n v="1107.8"/>
    <x v="0"/>
    <n v="14"/>
    <d v="2025-04-18T14:00:00"/>
    <s v="Apr"/>
    <n v="4"/>
    <s v="Q2"/>
    <x v="0"/>
    <x v="0"/>
    <x v="0"/>
    <x v="0"/>
  </r>
  <r>
    <x v="1476"/>
    <x v="31"/>
    <s v="CUST0039"/>
    <x v="3"/>
    <x v="5"/>
    <x v="0"/>
    <x v="19"/>
    <n v="5"/>
    <n v="20480.05"/>
    <n v="0"/>
    <n v="20480.05"/>
    <n v="15374.59"/>
    <n v="5105.46"/>
    <x v="2"/>
    <n v="76"/>
    <d v="2025-07-10T04:00:00"/>
    <s v="Jul"/>
    <n v="7"/>
    <s v="Q3"/>
    <x v="1"/>
    <x v="0"/>
    <x v="1"/>
    <x v="0"/>
  </r>
  <r>
    <x v="1477"/>
    <x v="82"/>
    <s v="CUST0128"/>
    <x v="6"/>
    <x v="1"/>
    <x v="3"/>
    <x v="7"/>
    <n v="2"/>
    <n v="14952.7"/>
    <n v="0"/>
    <n v="14952.7"/>
    <n v="9309.5499999999993"/>
    <n v="5643.15"/>
    <x v="0"/>
    <n v="21"/>
    <d v="2025-10-28T21:00:00"/>
    <s v="Oct"/>
    <n v="10"/>
    <s v="Q4"/>
    <x v="0"/>
    <x v="0"/>
    <x v="0"/>
    <x v="0"/>
  </r>
  <r>
    <x v="1478"/>
    <x v="163"/>
    <s v="CUST0122"/>
    <x v="5"/>
    <x v="6"/>
    <x v="2"/>
    <x v="2"/>
    <n v="3"/>
    <n v="1459.05"/>
    <n v="0.15"/>
    <n v="1240.19"/>
    <n v="878.23"/>
    <n v="361.96"/>
    <x v="1"/>
    <n v="22"/>
    <d v="2025-04-08T22:00:00"/>
    <s v="Apr"/>
    <n v="4"/>
    <s v="Q2"/>
    <x v="1"/>
    <x v="0"/>
    <x v="0"/>
    <x v="1"/>
  </r>
  <r>
    <x v="1479"/>
    <x v="14"/>
    <s v="CUST0247"/>
    <x v="1"/>
    <x v="6"/>
    <x v="3"/>
    <x v="18"/>
    <n v="6"/>
    <n v="41222.1"/>
    <n v="0"/>
    <n v="41222.1"/>
    <n v="31859.88"/>
    <n v="9362.2199999999993"/>
    <x v="0"/>
    <n v="30"/>
    <d v="2025-05-12T06:00:00"/>
    <s v="May"/>
    <n v="5"/>
    <s v="Q2"/>
    <x v="0"/>
    <x v="0"/>
    <x v="0"/>
    <x v="0"/>
  </r>
  <r>
    <x v="1480"/>
    <x v="102"/>
    <s v="CUST0186"/>
    <x v="6"/>
    <x v="7"/>
    <x v="2"/>
    <x v="15"/>
    <n v="7"/>
    <n v="22617.35"/>
    <n v="0.2"/>
    <n v="18093.88"/>
    <n v="11884.02"/>
    <n v="6209.86"/>
    <x v="0"/>
    <n v="40"/>
    <d v="2025-10-21T16:00:00"/>
    <s v="Oct"/>
    <n v="10"/>
    <s v="Q4"/>
    <x v="0"/>
    <x v="0"/>
    <x v="0"/>
    <x v="0"/>
  </r>
  <r>
    <x v="1481"/>
    <x v="122"/>
    <s v="CUST0208"/>
    <x v="6"/>
    <x v="7"/>
    <x v="4"/>
    <x v="9"/>
    <n v="5"/>
    <n v="36430.35"/>
    <n v="0"/>
    <n v="36430.35"/>
    <n v="20994.15"/>
    <n v="15436.2"/>
    <x v="0"/>
    <n v="15"/>
    <d v="2025-06-20T15:00:00"/>
    <s v="Jun"/>
    <n v="6"/>
    <s v="Q2"/>
    <x v="0"/>
    <x v="0"/>
    <x v="0"/>
    <x v="0"/>
  </r>
  <r>
    <x v="1482"/>
    <x v="280"/>
    <s v="CUST0239"/>
    <x v="3"/>
    <x v="1"/>
    <x v="3"/>
    <x v="12"/>
    <n v="2"/>
    <n v="13696.8"/>
    <n v="0.15"/>
    <n v="11642.28"/>
    <n v="8644.7900000000009"/>
    <n v="2997.49"/>
    <x v="0"/>
    <n v="26"/>
    <d v="2025-07-03T02:00:00"/>
    <s v="Jul"/>
    <n v="7"/>
    <s v="Q3"/>
    <x v="0"/>
    <x v="0"/>
    <x v="0"/>
    <x v="0"/>
  </r>
  <r>
    <x v="1483"/>
    <x v="35"/>
    <s v="CUST0215"/>
    <x v="3"/>
    <x v="4"/>
    <x v="2"/>
    <x v="11"/>
    <n v="2"/>
    <n v="6124.32"/>
    <n v="0.2"/>
    <n v="4899.46"/>
    <n v="4227.24"/>
    <n v="672.22"/>
    <x v="0"/>
    <n v="37"/>
    <d v="2025-12-31T13:00:00"/>
    <s v="Dec"/>
    <n v="12"/>
    <s v="Q4"/>
    <x v="0"/>
    <x v="0"/>
    <x v="0"/>
    <x v="0"/>
  </r>
  <r>
    <x v="1484"/>
    <x v="173"/>
    <s v="CUST0292"/>
    <x v="7"/>
    <x v="4"/>
    <x v="3"/>
    <x v="12"/>
    <n v="4"/>
    <n v="23775.48"/>
    <n v="0.2"/>
    <n v="19020.38"/>
    <n v="13505.87"/>
    <n v="5514.51"/>
    <x v="0"/>
    <n v="41"/>
    <d v="2025-02-09T17:00:00"/>
    <s v="Feb"/>
    <n v="2"/>
    <s v="Q1"/>
    <x v="0"/>
    <x v="0"/>
    <x v="0"/>
    <x v="0"/>
  </r>
  <r>
    <x v="1485"/>
    <x v="81"/>
    <s v="CUST0224"/>
    <x v="0"/>
    <x v="3"/>
    <x v="3"/>
    <x v="16"/>
    <n v="2"/>
    <n v="2965.86"/>
    <n v="0.2"/>
    <n v="2372.69"/>
    <n v="2014.45"/>
    <n v="358.24"/>
    <x v="0"/>
    <n v="26"/>
    <d v="2025-01-16T02:00:00"/>
    <s v="Jan"/>
    <n v="1"/>
    <s v="Q1"/>
    <x v="0"/>
    <x v="0"/>
    <x v="0"/>
    <x v="0"/>
  </r>
  <r>
    <x v="1486"/>
    <x v="200"/>
    <s v="CUST0088"/>
    <x v="6"/>
    <x v="4"/>
    <x v="2"/>
    <x v="15"/>
    <n v="3"/>
    <n v="22901.85"/>
    <n v="0.05"/>
    <n v="21756.76"/>
    <n v="17961.46"/>
    <n v="3795.3"/>
    <x v="2"/>
    <n v="73"/>
    <d v="2025-01-07T01:00:00"/>
    <s v="Jan"/>
    <n v="1"/>
    <s v="Q1"/>
    <x v="1"/>
    <x v="0"/>
    <x v="1"/>
    <x v="0"/>
  </r>
  <r>
    <x v="1487"/>
    <x v="1"/>
    <s v="CUST0025"/>
    <x v="9"/>
    <x v="7"/>
    <x v="2"/>
    <x v="24"/>
    <n v="7"/>
    <n v="24692.5"/>
    <n v="0.05"/>
    <n v="23457.88"/>
    <n v="14042.97"/>
    <n v="9414.91"/>
    <x v="0"/>
    <n v="7"/>
    <d v="2025-12-15T07:00:00"/>
    <s v="Dec"/>
    <n v="12"/>
    <s v="Q4"/>
    <x v="0"/>
    <x v="0"/>
    <x v="0"/>
    <x v="0"/>
  </r>
  <r>
    <x v="1488"/>
    <x v="343"/>
    <s v="CUST0220"/>
    <x v="6"/>
    <x v="4"/>
    <x v="1"/>
    <x v="5"/>
    <n v="3"/>
    <n v="11863.41"/>
    <n v="0.05"/>
    <n v="11270.24"/>
    <n v="8832.44"/>
    <n v="2437.8000000000002"/>
    <x v="0"/>
    <n v="33"/>
    <d v="2025-07-30T09:00:00"/>
    <s v="Jul"/>
    <n v="7"/>
    <s v="Q3"/>
    <x v="0"/>
    <x v="0"/>
    <x v="0"/>
    <x v="0"/>
  </r>
  <r>
    <x v="1489"/>
    <x v="22"/>
    <s v="CUST0275"/>
    <x v="7"/>
    <x v="3"/>
    <x v="3"/>
    <x v="20"/>
    <n v="5"/>
    <n v="30215.45"/>
    <n v="0"/>
    <n v="30215.45"/>
    <n v="20960.57"/>
    <n v="9254.8799999999992"/>
    <x v="0"/>
    <n v="33"/>
    <d v="2025-06-11T09:00:00"/>
    <s v="Jun"/>
    <n v="6"/>
    <s v="Q2"/>
    <x v="0"/>
    <x v="0"/>
    <x v="0"/>
    <x v="0"/>
  </r>
  <r>
    <x v="1490"/>
    <x v="265"/>
    <s v="CUST0135"/>
    <x v="2"/>
    <x v="6"/>
    <x v="0"/>
    <x v="19"/>
    <n v="7"/>
    <n v="49028.14"/>
    <n v="0"/>
    <n v="49028.14"/>
    <n v="31014.28"/>
    <n v="18013.86"/>
    <x v="0"/>
    <n v="16"/>
    <d v="2025-01-16T16:00:00"/>
    <s v="Jan"/>
    <n v="1"/>
    <s v="Q1"/>
    <x v="0"/>
    <x v="0"/>
    <x v="0"/>
    <x v="0"/>
  </r>
  <r>
    <x v="1491"/>
    <x v="134"/>
    <s v="CUST0233"/>
    <x v="4"/>
    <x v="4"/>
    <x v="3"/>
    <x v="12"/>
    <n v="5"/>
    <n v="10617.3"/>
    <n v="0.2"/>
    <n v="8493.84"/>
    <n v="6597.08"/>
    <n v="1896.76"/>
    <x v="3"/>
    <n v="24"/>
    <d v="2025-04-19T00:00:00"/>
    <s v="Apr"/>
    <n v="4"/>
    <s v="Q2"/>
    <x v="1"/>
    <x v="1"/>
    <x v="0"/>
    <x v="0"/>
  </r>
  <r>
    <x v="1492"/>
    <x v="239"/>
    <s v="CUST0066"/>
    <x v="1"/>
    <x v="4"/>
    <x v="3"/>
    <x v="12"/>
    <n v="2"/>
    <n v="11344.54"/>
    <n v="0.1"/>
    <n v="10210.09"/>
    <n v="8117.82"/>
    <n v="2092.27"/>
    <x v="1"/>
    <n v="18"/>
    <d v="2025-11-07T18:00:00"/>
    <s v="Nov"/>
    <n v="11"/>
    <s v="Q4"/>
    <x v="1"/>
    <x v="0"/>
    <x v="0"/>
    <x v="1"/>
  </r>
  <r>
    <x v="1493"/>
    <x v="106"/>
    <s v="CUST0080"/>
    <x v="0"/>
    <x v="7"/>
    <x v="2"/>
    <x v="15"/>
    <n v="6"/>
    <n v="20539.080000000002"/>
    <n v="0.1"/>
    <n v="18485.169999999998"/>
    <n v="11264.23"/>
    <n v="7220.94"/>
    <x v="0"/>
    <n v="11"/>
    <d v="2025-08-15T11:00:00"/>
    <s v="Aug"/>
    <n v="8"/>
    <s v="Q3"/>
    <x v="0"/>
    <x v="0"/>
    <x v="0"/>
    <x v="0"/>
  </r>
  <r>
    <x v="1494"/>
    <x v="30"/>
    <s v="CUST0255"/>
    <x v="5"/>
    <x v="1"/>
    <x v="3"/>
    <x v="12"/>
    <n v="1"/>
    <n v="3228.67"/>
    <n v="0.2"/>
    <n v="2582.94"/>
    <n v="2200.06"/>
    <n v="382.88"/>
    <x v="0"/>
    <n v="27"/>
    <d v="2025-06-20T03:00:00"/>
    <s v="Jun"/>
    <n v="6"/>
    <s v="Q2"/>
    <x v="0"/>
    <x v="0"/>
    <x v="0"/>
    <x v="0"/>
  </r>
  <r>
    <x v="1495"/>
    <x v="318"/>
    <s v="CUST0125"/>
    <x v="5"/>
    <x v="6"/>
    <x v="3"/>
    <x v="16"/>
    <n v="7"/>
    <n v="41382.04"/>
    <n v="0.1"/>
    <n v="37243.839999999997"/>
    <n v="29716.06"/>
    <n v="7527.78"/>
    <x v="0"/>
    <n v="21"/>
    <d v="2025-02-03T21:00:00"/>
    <s v="Feb"/>
    <n v="2"/>
    <s v="Q1"/>
    <x v="0"/>
    <x v="0"/>
    <x v="0"/>
    <x v="0"/>
  </r>
  <r>
    <x v="1496"/>
    <x v="311"/>
    <s v="CUST0146"/>
    <x v="5"/>
    <x v="5"/>
    <x v="0"/>
    <x v="19"/>
    <n v="4"/>
    <n v="13531.92"/>
    <n v="0.1"/>
    <n v="12178.73"/>
    <n v="10449.52"/>
    <n v="1729.21"/>
    <x v="2"/>
    <n v="61"/>
    <d v="2025-09-10T13:00:00"/>
    <s v="Sep"/>
    <n v="9"/>
    <s v="Q3"/>
    <x v="1"/>
    <x v="0"/>
    <x v="1"/>
    <x v="0"/>
  </r>
  <r>
    <x v="1497"/>
    <x v="157"/>
    <s v="CUST0103"/>
    <x v="3"/>
    <x v="1"/>
    <x v="2"/>
    <x v="11"/>
    <n v="1"/>
    <n v="3040.01"/>
    <n v="0.15"/>
    <n v="2584.0100000000002"/>
    <n v="1691.58"/>
    <n v="892.43"/>
    <x v="0"/>
    <n v="28"/>
    <d v="2025-09-05T04:00:00"/>
    <s v="Sep"/>
    <n v="9"/>
    <s v="Q3"/>
    <x v="0"/>
    <x v="0"/>
    <x v="0"/>
    <x v="0"/>
  </r>
  <r>
    <x v="1498"/>
    <x v="240"/>
    <s v="CUST0277"/>
    <x v="5"/>
    <x v="5"/>
    <x v="3"/>
    <x v="16"/>
    <n v="2"/>
    <n v="14259.34"/>
    <n v="0"/>
    <n v="14259.34"/>
    <n v="12262.76"/>
    <n v="1996.58"/>
    <x v="2"/>
    <n v="54"/>
    <d v="2025-09-28T06:00:00"/>
    <s v="Sep"/>
    <n v="9"/>
    <s v="Q3"/>
    <x v="1"/>
    <x v="0"/>
    <x v="1"/>
    <x v="0"/>
  </r>
  <r>
    <x v="1499"/>
    <x v="294"/>
    <s v="CUST0124"/>
    <x v="1"/>
    <x v="3"/>
    <x v="4"/>
    <x v="9"/>
    <n v="2"/>
    <n v="1991.32"/>
    <n v="0.05"/>
    <n v="1891.75"/>
    <n v="1270.52"/>
    <n v="621.23"/>
    <x v="0"/>
    <n v="35"/>
    <d v="2025-05-22T11:00:00"/>
    <s v="May"/>
    <n v="5"/>
    <s v="Q2"/>
    <x v="0"/>
    <x v="0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EE3F4D-B711-440F-BCA9-87D27A779C5D}" name="PivotTable2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Date">
  <location ref="A3:D362" firstHeaderRow="0" firstDataRow="1" firstDataCol="1" rowPageCount="1" colPageCount="1"/>
  <pivotFields count="25">
    <pivotField dataField="1" showAll="0"/>
    <pivotField axis="axisRow" numFmtId="14" showAll="0">
      <items count="359">
        <item x="247"/>
        <item x="58"/>
        <item x="328"/>
        <item x="200"/>
        <item x="109"/>
        <item x="203"/>
        <item x="293"/>
        <item x="306"/>
        <item x="85"/>
        <item x="264"/>
        <item x="341"/>
        <item x="271"/>
        <item x="125"/>
        <item x="46"/>
        <item x="81"/>
        <item x="265"/>
        <item x="201"/>
        <item x="209"/>
        <item x="283"/>
        <item x="227"/>
        <item x="6"/>
        <item x="24"/>
        <item x="262"/>
        <item x="285"/>
        <item x="222"/>
        <item x="197"/>
        <item x="94"/>
        <item x="123"/>
        <item x="322"/>
        <item x="332"/>
        <item x="348"/>
        <item x="98"/>
        <item x="318"/>
        <item x="54"/>
        <item x="124"/>
        <item x="182"/>
        <item x="194"/>
        <item x="173"/>
        <item x="333"/>
        <item x="79"/>
        <item x="114"/>
        <item x="270"/>
        <item x="65"/>
        <item x="132"/>
        <item x="202"/>
        <item x="238"/>
        <item x="99"/>
        <item x="28"/>
        <item x="57"/>
        <item x="34"/>
        <item x="118"/>
        <item x="50"/>
        <item x="59"/>
        <item x="36"/>
        <item x="327"/>
        <item x="286"/>
        <item x="212"/>
        <item x="29"/>
        <item x="179"/>
        <item x="325"/>
        <item x="100"/>
        <item x="88"/>
        <item x="354"/>
        <item x="83"/>
        <item x="131"/>
        <item x="331"/>
        <item x="189"/>
        <item x="252"/>
        <item x="297"/>
        <item x="4"/>
        <item x="326"/>
        <item x="292"/>
        <item x="184"/>
        <item x="254"/>
        <item x="316"/>
        <item x="303"/>
        <item x="56"/>
        <item x="309"/>
        <item x="314"/>
        <item x="282"/>
        <item x="315"/>
        <item x="129"/>
        <item x="350"/>
        <item x="10"/>
        <item x="44"/>
        <item x="273"/>
        <item x="299"/>
        <item x="52"/>
        <item x="274"/>
        <item x="258"/>
        <item x="206"/>
        <item x="119"/>
        <item x="166"/>
        <item x="163"/>
        <item x="103"/>
        <item x="11"/>
        <item x="107"/>
        <item x="357"/>
        <item x="0"/>
        <item x="185"/>
        <item x="276"/>
        <item x="60"/>
        <item x="3"/>
        <item x="134"/>
        <item x="287"/>
        <item x="346"/>
        <item x="324"/>
        <item x="178"/>
        <item x="150"/>
        <item x="214"/>
        <item x="275"/>
        <item x="140"/>
        <item x="245"/>
        <item x="250"/>
        <item x="312"/>
        <item x="183"/>
        <item x="139"/>
        <item x="7"/>
        <item x="161"/>
        <item x="167"/>
        <item x="233"/>
        <item x="156"/>
        <item x="217"/>
        <item x="136"/>
        <item x="86"/>
        <item x="152"/>
        <item x="14"/>
        <item x="295"/>
        <item x="288"/>
        <item x="133"/>
        <item x="40"/>
        <item x="87"/>
        <item x="144"/>
        <item x="323"/>
        <item x="89"/>
        <item x="181"/>
        <item x="294"/>
        <item x="229"/>
        <item x="121"/>
        <item x="165"/>
        <item x="241"/>
        <item x="291"/>
        <item x="170"/>
        <item x="169"/>
        <item x="302"/>
        <item x="15"/>
        <item x="175"/>
        <item x="13"/>
        <item x="186"/>
        <item x="255"/>
        <item x="218"/>
        <item x="305"/>
        <item x="80"/>
        <item x="193"/>
        <item x="339"/>
        <item x="126"/>
        <item x="22"/>
        <item x="66"/>
        <item x="90"/>
        <item x="278"/>
        <item x="146"/>
        <item x="321"/>
        <item x="42"/>
        <item x="268"/>
        <item x="188"/>
        <item x="30"/>
        <item x="122"/>
        <item x="104"/>
        <item x="226"/>
        <item x="213"/>
        <item x="33"/>
        <item x="191"/>
        <item x="279"/>
        <item x="267"/>
        <item x="115"/>
        <item x="149"/>
        <item x="205"/>
        <item x="298"/>
        <item x="280"/>
        <item x="160"/>
        <item x="256"/>
        <item x="232"/>
        <item x="127"/>
        <item x="31"/>
        <item x="5"/>
        <item x="32"/>
        <item x="63"/>
        <item x="20"/>
        <item x="355"/>
        <item x="187"/>
        <item x="190"/>
        <item x="235"/>
        <item x="310"/>
        <item x="143"/>
        <item x="171"/>
        <item x="342"/>
        <item x="95"/>
        <item x="67"/>
        <item x="159"/>
        <item x="259"/>
        <item x="317"/>
        <item x="55"/>
        <item x="113"/>
        <item x="74"/>
        <item x="351"/>
        <item x="343"/>
        <item x="347"/>
        <item x="308"/>
        <item x="73"/>
        <item x="105"/>
        <item x="8"/>
        <item x="101"/>
        <item x="78"/>
        <item x="64"/>
        <item x="353"/>
        <item x="153"/>
        <item x="289"/>
        <item x="120"/>
        <item x="211"/>
        <item x="155"/>
        <item x="138"/>
        <item x="198"/>
        <item x="106"/>
        <item x="307"/>
        <item x="244"/>
        <item x="195"/>
        <item x="93"/>
        <item x="356"/>
        <item x="141"/>
        <item x="147"/>
        <item x="290"/>
        <item x="26"/>
        <item x="75"/>
        <item x="192"/>
        <item x="248"/>
        <item x="164"/>
        <item x="117"/>
        <item x="47"/>
        <item x="128"/>
        <item x="37"/>
        <item x="221"/>
        <item x="157"/>
        <item x="277"/>
        <item x="263"/>
        <item x="311"/>
        <item x="71"/>
        <item x="25"/>
        <item x="180"/>
        <item x="110"/>
        <item x="207"/>
        <item x="108"/>
        <item x="17"/>
        <item x="142"/>
        <item x="61"/>
        <item x="92"/>
        <item x="236"/>
        <item x="177"/>
        <item x="53"/>
        <item x="48"/>
        <item x="349"/>
        <item x="174"/>
        <item x="97"/>
        <item x="240"/>
        <item x="68"/>
        <item x="2"/>
        <item x="251"/>
        <item x="219"/>
        <item x="43"/>
        <item x="243"/>
        <item x="21"/>
        <item x="253"/>
        <item x="246"/>
        <item x="77"/>
        <item x="210"/>
        <item x="313"/>
        <item x="112"/>
        <item x="130"/>
        <item x="257"/>
        <item x="135"/>
        <item x="344"/>
        <item x="215"/>
        <item x="91"/>
        <item x="249"/>
        <item x="337"/>
        <item x="296"/>
        <item x="102"/>
        <item x="19"/>
        <item x="151"/>
        <item x="72"/>
        <item x="345"/>
        <item x="176"/>
        <item x="220"/>
        <item x="330"/>
        <item x="82"/>
        <item x="204"/>
        <item x="301"/>
        <item x="70"/>
        <item x="234"/>
        <item x="224"/>
        <item x="39"/>
        <item x="172"/>
        <item x="16"/>
        <item x="62"/>
        <item x="239"/>
        <item x="300"/>
        <item x="225"/>
        <item x="23"/>
        <item x="148"/>
        <item x="45"/>
        <item x="199"/>
        <item x="145"/>
        <item x="242"/>
        <item x="38"/>
        <item x="228"/>
        <item x="231"/>
        <item x="208"/>
        <item x="158"/>
        <item x="162"/>
        <item x="168"/>
        <item x="84"/>
        <item x="96"/>
        <item x="41"/>
        <item x="269"/>
        <item x="9"/>
        <item x="340"/>
        <item x="335"/>
        <item x="336"/>
        <item x="319"/>
        <item x="266"/>
        <item x="272"/>
        <item x="76"/>
        <item x="284"/>
        <item x="51"/>
        <item x="260"/>
        <item x="216"/>
        <item x="154"/>
        <item x="18"/>
        <item x="27"/>
        <item x="49"/>
        <item x="320"/>
        <item x="137"/>
        <item x="1"/>
        <item x="237"/>
        <item x="69"/>
        <item x="116"/>
        <item x="338"/>
        <item x="230"/>
        <item x="223"/>
        <item x="334"/>
        <item x="261"/>
        <item x="304"/>
        <item x="111"/>
        <item x="12"/>
        <item x="281"/>
        <item x="352"/>
        <item x="329"/>
        <item x="35"/>
        <item x="196"/>
        <item t="default"/>
      </items>
    </pivotField>
    <pivotField showAll="0"/>
    <pivotField showAll="0"/>
    <pivotField showAll="0"/>
    <pivotField showAll="0"/>
    <pivotField showAll="0"/>
    <pivotField numFmtId="1" showAll="0"/>
    <pivotField numFmtId="164" showAll="0"/>
    <pivotField showAll="0"/>
    <pivotField dataField="1" numFmtId="164" showAll="0"/>
    <pivotField numFmtId="164" showAll="0"/>
    <pivotField dataField="1" numFmtId="164" showAll="0"/>
    <pivotField axis="axisPage" multipleItemSelectionAllowed="1" showAll="0">
      <items count="5">
        <item x="1"/>
        <item x="0"/>
        <item x="2"/>
        <item x="3"/>
        <item t="default"/>
      </items>
    </pivotField>
    <pivotField numFmtId="1" showAll="0"/>
    <pivotField numFmtId="22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numFmtId="168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2">
    <field x="23"/>
    <field x="1"/>
  </rowFields>
  <rowItems count="359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3"/>
    </i>
    <i>
      <x v="74"/>
    </i>
    <i>
      <x v="75"/>
    </i>
    <i>
      <x v="76"/>
    </i>
    <i>
      <x v="77"/>
    </i>
    <i>
      <x v="79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7"/>
    </i>
    <i>
      <x v="248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13" hier="-1"/>
  </pageFields>
  <dataFields count="3">
    <dataField name="Orders" fld="0" subtotal="count" baseField="20" baseItem="1"/>
    <dataField name="Sales" fld="10" baseField="19" baseItem="1" numFmtId="166"/>
    <dataField name="Profits" fld="12" baseField="20" baseItem="1" numFmtId="16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3E89F0-FB73-4D9C-97D2-656968F88186}" name="PivotTable3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 rowHeaderCaption="Emp_id">
  <location ref="A2:E13" firstHeaderRow="0" firstDataRow="1" firstDataCol="1"/>
  <pivotFields count="25">
    <pivotField dataField="1" showAll="0"/>
    <pivotField numFmtId="14" showAll="0">
      <items count="359">
        <item x="247"/>
        <item x="58"/>
        <item x="328"/>
        <item x="200"/>
        <item x="109"/>
        <item x="203"/>
        <item x="293"/>
        <item x="306"/>
        <item x="85"/>
        <item x="264"/>
        <item x="341"/>
        <item x="271"/>
        <item x="125"/>
        <item x="46"/>
        <item x="81"/>
        <item x="265"/>
        <item x="201"/>
        <item x="209"/>
        <item x="283"/>
        <item x="227"/>
        <item x="6"/>
        <item x="24"/>
        <item x="262"/>
        <item x="285"/>
        <item x="222"/>
        <item x="197"/>
        <item x="94"/>
        <item x="123"/>
        <item x="322"/>
        <item x="332"/>
        <item x="348"/>
        <item x="98"/>
        <item x="318"/>
        <item x="54"/>
        <item x="124"/>
        <item x="182"/>
        <item x="194"/>
        <item x="173"/>
        <item x="333"/>
        <item x="79"/>
        <item x="114"/>
        <item x="270"/>
        <item x="65"/>
        <item x="132"/>
        <item x="202"/>
        <item x="238"/>
        <item x="99"/>
        <item x="28"/>
        <item x="57"/>
        <item x="34"/>
        <item x="118"/>
        <item x="50"/>
        <item x="59"/>
        <item x="36"/>
        <item x="327"/>
        <item x="286"/>
        <item x="212"/>
        <item x="29"/>
        <item x="179"/>
        <item x="325"/>
        <item x="100"/>
        <item x="88"/>
        <item x="354"/>
        <item x="83"/>
        <item x="131"/>
        <item x="331"/>
        <item x="189"/>
        <item x="252"/>
        <item x="297"/>
        <item x="4"/>
        <item x="326"/>
        <item x="292"/>
        <item x="184"/>
        <item x="254"/>
        <item x="316"/>
        <item x="303"/>
        <item x="56"/>
        <item x="309"/>
        <item x="314"/>
        <item x="282"/>
        <item x="315"/>
        <item x="129"/>
        <item x="350"/>
        <item x="10"/>
        <item x="44"/>
        <item x="273"/>
        <item x="299"/>
        <item x="52"/>
        <item x="274"/>
        <item x="258"/>
        <item x="206"/>
        <item x="119"/>
        <item x="166"/>
        <item x="163"/>
        <item x="103"/>
        <item x="11"/>
        <item x="107"/>
        <item x="357"/>
        <item x="0"/>
        <item x="185"/>
        <item x="276"/>
        <item x="60"/>
        <item x="3"/>
        <item x="134"/>
        <item x="287"/>
        <item x="346"/>
        <item x="324"/>
        <item x="178"/>
        <item x="150"/>
        <item x="214"/>
        <item x="275"/>
        <item x="140"/>
        <item x="245"/>
        <item x="250"/>
        <item x="312"/>
        <item x="183"/>
        <item x="139"/>
        <item x="7"/>
        <item x="161"/>
        <item x="167"/>
        <item x="233"/>
        <item x="156"/>
        <item x="217"/>
        <item x="136"/>
        <item x="86"/>
        <item x="152"/>
        <item x="14"/>
        <item x="295"/>
        <item x="288"/>
        <item x="133"/>
        <item x="40"/>
        <item x="87"/>
        <item x="144"/>
        <item x="323"/>
        <item x="89"/>
        <item x="181"/>
        <item x="294"/>
        <item x="229"/>
        <item x="121"/>
        <item x="165"/>
        <item x="241"/>
        <item x="291"/>
        <item x="170"/>
        <item x="169"/>
        <item x="302"/>
        <item x="15"/>
        <item x="175"/>
        <item x="13"/>
        <item x="186"/>
        <item x="255"/>
        <item x="218"/>
        <item x="305"/>
        <item x="80"/>
        <item x="193"/>
        <item x="339"/>
        <item x="126"/>
        <item x="22"/>
        <item x="66"/>
        <item x="90"/>
        <item x="278"/>
        <item x="146"/>
        <item x="321"/>
        <item x="42"/>
        <item x="268"/>
        <item x="188"/>
        <item x="30"/>
        <item x="122"/>
        <item x="104"/>
        <item x="226"/>
        <item x="213"/>
        <item x="33"/>
        <item x="191"/>
        <item x="279"/>
        <item x="267"/>
        <item x="115"/>
        <item x="149"/>
        <item x="205"/>
        <item x="298"/>
        <item x="280"/>
        <item x="160"/>
        <item x="256"/>
        <item x="232"/>
        <item x="127"/>
        <item x="31"/>
        <item x="5"/>
        <item x="32"/>
        <item x="63"/>
        <item x="20"/>
        <item x="355"/>
        <item x="187"/>
        <item x="190"/>
        <item x="235"/>
        <item x="310"/>
        <item x="143"/>
        <item x="171"/>
        <item x="342"/>
        <item x="95"/>
        <item x="67"/>
        <item x="159"/>
        <item x="259"/>
        <item x="317"/>
        <item x="55"/>
        <item x="113"/>
        <item x="74"/>
        <item x="351"/>
        <item x="343"/>
        <item x="347"/>
        <item x="308"/>
        <item x="73"/>
        <item x="105"/>
        <item x="8"/>
        <item x="101"/>
        <item x="78"/>
        <item x="64"/>
        <item x="353"/>
        <item x="153"/>
        <item x="289"/>
        <item x="120"/>
        <item x="211"/>
        <item x="155"/>
        <item x="138"/>
        <item x="198"/>
        <item x="106"/>
        <item x="307"/>
        <item x="244"/>
        <item x="195"/>
        <item x="93"/>
        <item x="356"/>
        <item x="141"/>
        <item x="147"/>
        <item x="290"/>
        <item x="26"/>
        <item x="75"/>
        <item x="192"/>
        <item x="248"/>
        <item x="164"/>
        <item x="117"/>
        <item x="47"/>
        <item x="128"/>
        <item x="37"/>
        <item x="221"/>
        <item x="157"/>
        <item x="277"/>
        <item x="263"/>
        <item x="311"/>
        <item x="71"/>
        <item x="25"/>
        <item x="180"/>
        <item x="110"/>
        <item x="207"/>
        <item x="108"/>
        <item x="17"/>
        <item x="142"/>
        <item x="61"/>
        <item x="92"/>
        <item x="236"/>
        <item x="177"/>
        <item x="53"/>
        <item x="48"/>
        <item x="349"/>
        <item x="174"/>
        <item x="97"/>
        <item x="240"/>
        <item x="68"/>
        <item x="2"/>
        <item x="251"/>
        <item x="219"/>
        <item x="43"/>
        <item x="243"/>
        <item x="21"/>
        <item x="253"/>
        <item x="246"/>
        <item x="77"/>
        <item x="210"/>
        <item x="313"/>
        <item x="112"/>
        <item x="130"/>
        <item x="257"/>
        <item x="135"/>
        <item x="344"/>
        <item x="215"/>
        <item x="91"/>
        <item x="249"/>
        <item x="337"/>
        <item x="296"/>
        <item x="102"/>
        <item x="19"/>
        <item x="151"/>
        <item x="72"/>
        <item x="345"/>
        <item x="176"/>
        <item x="220"/>
        <item x="330"/>
        <item x="82"/>
        <item x="204"/>
        <item x="301"/>
        <item x="70"/>
        <item x="234"/>
        <item x="224"/>
        <item x="39"/>
        <item x="172"/>
        <item x="16"/>
        <item x="62"/>
        <item x="239"/>
        <item x="300"/>
        <item x="225"/>
        <item x="23"/>
        <item x="148"/>
        <item x="45"/>
        <item x="199"/>
        <item x="145"/>
        <item x="242"/>
        <item x="38"/>
        <item x="228"/>
        <item x="231"/>
        <item x="208"/>
        <item x="158"/>
        <item x="162"/>
        <item x="168"/>
        <item x="84"/>
        <item x="96"/>
        <item x="41"/>
        <item x="269"/>
        <item x="9"/>
        <item x="340"/>
        <item x="335"/>
        <item x="336"/>
        <item x="319"/>
        <item x="266"/>
        <item x="272"/>
        <item x="76"/>
        <item x="284"/>
        <item x="51"/>
        <item x="260"/>
        <item x="216"/>
        <item x="154"/>
        <item x="18"/>
        <item x="27"/>
        <item x="49"/>
        <item x="320"/>
        <item x="137"/>
        <item x="1"/>
        <item x="237"/>
        <item x="69"/>
        <item x="116"/>
        <item x="338"/>
        <item x="230"/>
        <item x="223"/>
        <item x="334"/>
        <item x="261"/>
        <item x="304"/>
        <item x="111"/>
        <item x="12"/>
        <item x="281"/>
        <item x="352"/>
        <item x="329"/>
        <item x="35"/>
        <item x="196"/>
        <item t="default"/>
      </items>
    </pivotField>
    <pivotField showAll="0"/>
    <pivotField axis="axisRow" showAll="0" sortType="descending">
      <items count="11">
        <item x="8"/>
        <item x="6"/>
        <item x="7"/>
        <item x="2"/>
        <item x="9"/>
        <item x="5"/>
        <item x="3"/>
        <item x="1"/>
        <item x="0"/>
        <item x="4"/>
        <item t="default"/>
      </items>
    </pivotField>
    <pivotField showAll="0"/>
    <pivotField showAll="0"/>
    <pivotField showAll="0"/>
    <pivotField numFmtId="1" showAll="0"/>
    <pivotField numFmtId="164" showAll="0"/>
    <pivotField showAll="0"/>
    <pivotField dataField="1" numFmtId="164" showAll="0"/>
    <pivotField numFmtId="164" showAll="0"/>
    <pivotField dataField="1" numFmtId="164" showAll="0"/>
    <pivotField showAll="0"/>
    <pivotField dataField="1" numFmtId="1" showAll="0"/>
    <pivotField numFmtId="22"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3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Orders" fld="0" subtotal="count" baseField="3" baseItem="0"/>
    <dataField name="Sales" fld="10" baseField="3" baseItem="0" numFmtId="164"/>
    <dataField name="Profits" fld="12" baseField="3" baseItem="0" numFmtId="164"/>
    <dataField name="Avg TAT Hours" fld="14" subtotal="average" baseField="3" baseItem="0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48BA67-8DBD-4F42-998B-7667A8848684}" name="PivotTable1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Date">
  <location ref="A6:D19" firstHeaderRow="0" firstDataRow="1" firstDataCol="1" rowPageCount="4" colPageCount="1"/>
  <pivotFields count="25">
    <pivotField dataField="1" showAll="0">
      <items count="15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t="default"/>
      </items>
    </pivotField>
    <pivotField axis="axisRow" numFmtId="14" showAll="0">
      <items count="359">
        <item x="247"/>
        <item x="58"/>
        <item x="328"/>
        <item x="200"/>
        <item x="109"/>
        <item x="203"/>
        <item x="293"/>
        <item x="306"/>
        <item x="85"/>
        <item x="264"/>
        <item x="341"/>
        <item x="271"/>
        <item x="125"/>
        <item x="46"/>
        <item x="81"/>
        <item x="265"/>
        <item x="201"/>
        <item x="209"/>
        <item x="283"/>
        <item x="227"/>
        <item x="6"/>
        <item x="24"/>
        <item x="262"/>
        <item x="285"/>
        <item x="222"/>
        <item x="197"/>
        <item x="94"/>
        <item x="123"/>
        <item x="322"/>
        <item x="332"/>
        <item x="348"/>
        <item x="98"/>
        <item x="318"/>
        <item x="54"/>
        <item x="124"/>
        <item x="182"/>
        <item x="194"/>
        <item x="173"/>
        <item x="333"/>
        <item x="79"/>
        <item x="114"/>
        <item x="270"/>
        <item x="65"/>
        <item x="132"/>
        <item x="202"/>
        <item x="238"/>
        <item x="99"/>
        <item x="28"/>
        <item x="57"/>
        <item x="34"/>
        <item x="118"/>
        <item x="50"/>
        <item x="59"/>
        <item x="36"/>
        <item x="327"/>
        <item x="286"/>
        <item x="212"/>
        <item x="29"/>
        <item x="179"/>
        <item x="325"/>
        <item x="100"/>
        <item x="88"/>
        <item x="354"/>
        <item x="83"/>
        <item x="131"/>
        <item x="331"/>
        <item x="189"/>
        <item x="252"/>
        <item x="297"/>
        <item x="4"/>
        <item x="326"/>
        <item x="292"/>
        <item x="184"/>
        <item x="254"/>
        <item x="316"/>
        <item x="303"/>
        <item x="56"/>
        <item x="309"/>
        <item x="314"/>
        <item x="282"/>
        <item x="315"/>
        <item x="129"/>
        <item x="350"/>
        <item x="10"/>
        <item x="44"/>
        <item x="273"/>
        <item x="299"/>
        <item x="52"/>
        <item x="274"/>
        <item x="258"/>
        <item x="206"/>
        <item x="119"/>
        <item x="166"/>
        <item x="163"/>
        <item x="103"/>
        <item x="11"/>
        <item x="107"/>
        <item x="357"/>
        <item x="0"/>
        <item x="185"/>
        <item x="276"/>
        <item x="60"/>
        <item x="3"/>
        <item x="134"/>
        <item x="287"/>
        <item x="346"/>
        <item x="324"/>
        <item x="178"/>
        <item x="150"/>
        <item x="214"/>
        <item x="275"/>
        <item x="140"/>
        <item x="245"/>
        <item x="250"/>
        <item x="312"/>
        <item x="183"/>
        <item x="139"/>
        <item x="7"/>
        <item x="161"/>
        <item x="167"/>
        <item x="233"/>
        <item x="156"/>
        <item x="217"/>
        <item x="136"/>
        <item x="86"/>
        <item x="152"/>
        <item x="14"/>
        <item x="295"/>
        <item x="288"/>
        <item x="133"/>
        <item x="40"/>
        <item x="87"/>
        <item x="144"/>
        <item x="323"/>
        <item x="89"/>
        <item x="181"/>
        <item x="294"/>
        <item x="229"/>
        <item x="121"/>
        <item x="165"/>
        <item x="241"/>
        <item x="291"/>
        <item x="170"/>
        <item x="169"/>
        <item x="302"/>
        <item x="15"/>
        <item x="175"/>
        <item x="13"/>
        <item x="186"/>
        <item x="255"/>
        <item x="218"/>
        <item x="305"/>
        <item x="80"/>
        <item x="193"/>
        <item x="339"/>
        <item x="126"/>
        <item x="22"/>
        <item x="66"/>
        <item x="90"/>
        <item x="278"/>
        <item x="146"/>
        <item x="321"/>
        <item x="42"/>
        <item x="268"/>
        <item x="188"/>
        <item x="30"/>
        <item x="122"/>
        <item x="104"/>
        <item x="226"/>
        <item x="213"/>
        <item x="33"/>
        <item x="191"/>
        <item x="279"/>
        <item x="267"/>
        <item x="115"/>
        <item x="149"/>
        <item x="205"/>
        <item x="298"/>
        <item x="280"/>
        <item x="160"/>
        <item x="256"/>
        <item x="232"/>
        <item x="127"/>
        <item x="31"/>
        <item x="5"/>
        <item x="32"/>
        <item x="63"/>
        <item x="20"/>
        <item x="355"/>
        <item x="187"/>
        <item x="190"/>
        <item x="235"/>
        <item x="310"/>
        <item x="143"/>
        <item x="171"/>
        <item x="342"/>
        <item x="95"/>
        <item x="67"/>
        <item x="159"/>
        <item x="259"/>
        <item x="317"/>
        <item x="55"/>
        <item x="113"/>
        <item x="74"/>
        <item x="351"/>
        <item x="343"/>
        <item x="347"/>
        <item x="308"/>
        <item x="73"/>
        <item x="105"/>
        <item x="8"/>
        <item x="101"/>
        <item x="78"/>
        <item x="64"/>
        <item x="353"/>
        <item x="153"/>
        <item x="289"/>
        <item x="120"/>
        <item x="211"/>
        <item x="155"/>
        <item x="138"/>
        <item x="198"/>
        <item x="106"/>
        <item x="307"/>
        <item x="244"/>
        <item x="195"/>
        <item x="93"/>
        <item x="356"/>
        <item x="141"/>
        <item x="147"/>
        <item x="290"/>
        <item x="26"/>
        <item x="75"/>
        <item x="192"/>
        <item x="248"/>
        <item x="164"/>
        <item x="117"/>
        <item x="47"/>
        <item x="128"/>
        <item x="37"/>
        <item x="221"/>
        <item x="157"/>
        <item x="277"/>
        <item x="263"/>
        <item x="311"/>
        <item x="71"/>
        <item x="25"/>
        <item x="180"/>
        <item x="110"/>
        <item x="207"/>
        <item x="108"/>
        <item x="17"/>
        <item x="142"/>
        <item x="61"/>
        <item x="92"/>
        <item x="236"/>
        <item x="177"/>
        <item x="53"/>
        <item x="48"/>
        <item x="349"/>
        <item x="174"/>
        <item x="97"/>
        <item x="240"/>
        <item x="68"/>
        <item x="2"/>
        <item x="251"/>
        <item x="219"/>
        <item x="43"/>
        <item x="243"/>
        <item x="21"/>
        <item x="253"/>
        <item x="246"/>
        <item x="77"/>
        <item x="210"/>
        <item x="313"/>
        <item x="112"/>
        <item x="130"/>
        <item x="257"/>
        <item x="135"/>
        <item x="344"/>
        <item x="215"/>
        <item x="91"/>
        <item x="249"/>
        <item x="337"/>
        <item x="296"/>
        <item x="102"/>
        <item x="19"/>
        <item x="151"/>
        <item x="72"/>
        <item x="345"/>
        <item x="176"/>
        <item x="220"/>
        <item x="330"/>
        <item x="82"/>
        <item x="204"/>
        <item x="301"/>
        <item x="70"/>
        <item x="234"/>
        <item x="224"/>
        <item x="39"/>
        <item x="172"/>
        <item x="16"/>
        <item x="62"/>
        <item x="239"/>
        <item x="300"/>
        <item x="225"/>
        <item x="23"/>
        <item x="148"/>
        <item x="45"/>
        <item x="199"/>
        <item x="145"/>
        <item x="242"/>
        <item x="38"/>
        <item x="228"/>
        <item x="231"/>
        <item x="208"/>
        <item x="158"/>
        <item x="162"/>
        <item x="168"/>
        <item x="84"/>
        <item x="96"/>
        <item x="41"/>
        <item x="269"/>
        <item x="9"/>
        <item x="340"/>
        <item x="335"/>
        <item x="336"/>
        <item x="319"/>
        <item x="266"/>
        <item x="272"/>
        <item x="76"/>
        <item x="284"/>
        <item x="51"/>
        <item x="260"/>
        <item x="216"/>
        <item x="154"/>
        <item x="18"/>
        <item x="27"/>
        <item x="49"/>
        <item x="320"/>
        <item x="137"/>
        <item x="1"/>
        <item x="237"/>
        <item x="69"/>
        <item x="116"/>
        <item x="338"/>
        <item x="230"/>
        <item x="223"/>
        <item x="334"/>
        <item x="261"/>
        <item x="304"/>
        <item x="111"/>
        <item x="12"/>
        <item x="281"/>
        <item x="352"/>
        <item x="329"/>
        <item x="35"/>
        <item x="196"/>
        <item t="default"/>
      </items>
    </pivotField>
    <pivotField showAll="0"/>
    <pivotField axis="axisPage" showAll="0">
      <items count="11">
        <item x="4"/>
        <item x="0"/>
        <item x="1"/>
        <item x="3"/>
        <item x="5"/>
        <item x="9"/>
        <item x="2"/>
        <item x="7"/>
        <item x="6"/>
        <item x="8"/>
        <item t="default"/>
      </items>
    </pivotField>
    <pivotField axis="axisPage" showAll="0">
      <items count="9">
        <item x="5"/>
        <item x="4"/>
        <item x="1"/>
        <item x="0"/>
        <item x="7"/>
        <item x="2"/>
        <item x="3"/>
        <item x="6"/>
        <item t="default"/>
      </items>
    </pivotField>
    <pivotField showAll="0">
      <items count="6">
        <item x="0"/>
        <item x="1"/>
        <item x="3"/>
        <item x="4"/>
        <item x="2"/>
        <item t="default"/>
      </items>
    </pivotField>
    <pivotField axis="axisPage" showAll="0">
      <items count="26">
        <item x="12"/>
        <item x="15"/>
        <item x="21"/>
        <item x="11"/>
        <item x="0"/>
        <item x="2"/>
        <item x="6"/>
        <item x="4"/>
        <item x="7"/>
        <item x="18"/>
        <item x="8"/>
        <item x="22"/>
        <item x="19"/>
        <item x="24"/>
        <item x="3"/>
        <item x="17"/>
        <item x="1"/>
        <item x="14"/>
        <item x="20"/>
        <item x="9"/>
        <item x="23"/>
        <item x="16"/>
        <item x="5"/>
        <item x="13"/>
        <item x="10"/>
        <item t="default"/>
      </items>
    </pivotField>
    <pivotField numFmtId="1" showAll="0"/>
    <pivotField numFmtId="164" showAll="0"/>
    <pivotField numFmtId="9" showAll="0"/>
    <pivotField dataField="1" numFmtId="164" showAll="0"/>
    <pivotField numFmtId="164" showAll="0"/>
    <pivotField numFmtId="164" showAll="0"/>
    <pivotField axis="axisPage" showAll="0">
      <items count="5">
        <item x="1"/>
        <item x="0"/>
        <item x="2"/>
        <item x="3"/>
        <item t="default"/>
      </items>
    </pivotField>
    <pivotField dataField="1" numFmtId="1" showAll="0"/>
    <pivotField numFmtId="22" showAll="0"/>
    <pivotField showAll="0"/>
    <pivotField showAll="0"/>
    <pivotField showAll="0"/>
    <pivotField showAll="0"/>
    <pivotField showAll="0"/>
    <pivotField showAll="0"/>
    <pivotField showAll="0"/>
    <pivotField axis="axisRow" showAll="0" defaultSubtotal="0">
      <items count="368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</items>
    </pivotField>
    <pivotField axis="axisRow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</pivotFields>
  <rowFields count="3">
    <field x="24"/>
    <field x="23"/>
    <field x="1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4">
    <pageField fld="13" hier="-1"/>
    <pageField fld="6" hier="-1"/>
    <pageField fld="4" hier="-1"/>
    <pageField fld="3" hier="-1"/>
  </pageFields>
  <dataFields count="3">
    <dataField name="Orders" fld="0" subtotal="count" baseField="24" baseItem="1"/>
    <dataField name="Net Sales" fld="10" baseField="24" baseItem="1" numFmtId="164"/>
    <dataField name="Avg TAT Hours" fld="14" subtotal="average" baseField="24" baseItem="1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79D609-07FE-4B58-8274-BD8F50E8306E}" name="PivotTable5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7" rowHeaderCaption="Month">
  <location ref="A3:D16" firstHeaderRow="0" firstDataRow="1" firstDataCol="1"/>
  <pivotFields count="25">
    <pivotField dataField="1" showAll="0"/>
    <pivotField axis="axisRow" numFmtId="14" showAll="0">
      <items count="359">
        <item x="247"/>
        <item x="58"/>
        <item x="328"/>
        <item x="200"/>
        <item x="109"/>
        <item x="203"/>
        <item x="293"/>
        <item x="306"/>
        <item x="85"/>
        <item x="264"/>
        <item x="341"/>
        <item x="271"/>
        <item x="125"/>
        <item x="46"/>
        <item x="81"/>
        <item x="265"/>
        <item x="201"/>
        <item x="209"/>
        <item x="283"/>
        <item x="227"/>
        <item x="6"/>
        <item x="24"/>
        <item x="262"/>
        <item x="285"/>
        <item x="222"/>
        <item x="197"/>
        <item x="94"/>
        <item x="123"/>
        <item x="322"/>
        <item x="332"/>
        <item x="348"/>
        <item x="98"/>
        <item x="318"/>
        <item x="54"/>
        <item x="124"/>
        <item x="182"/>
        <item x="194"/>
        <item x="173"/>
        <item x="333"/>
        <item x="79"/>
        <item x="114"/>
        <item x="270"/>
        <item x="65"/>
        <item x="132"/>
        <item x="202"/>
        <item x="238"/>
        <item x="99"/>
        <item x="28"/>
        <item x="57"/>
        <item x="34"/>
        <item x="118"/>
        <item x="50"/>
        <item x="59"/>
        <item x="36"/>
        <item x="327"/>
        <item x="286"/>
        <item x="212"/>
        <item x="29"/>
        <item x="179"/>
        <item x="325"/>
        <item x="100"/>
        <item x="88"/>
        <item x="354"/>
        <item x="83"/>
        <item x="131"/>
        <item x="331"/>
        <item x="189"/>
        <item x="252"/>
        <item x="297"/>
        <item x="4"/>
        <item x="326"/>
        <item x="292"/>
        <item x="184"/>
        <item x="254"/>
        <item x="316"/>
        <item x="303"/>
        <item x="56"/>
        <item x="309"/>
        <item x="314"/>
        <item x="282"/>
        <item x="315"/>
        <item x="129"/>
        <item x="350"/>
        <item x="10"/>
        <item x="44"/>
        <item x="273"/>
        <item x="299"/>
        <item x="52"/>
        <item x="274"/>
        <item x="258"/>
        <item x="206"/>
        <item x="119"/>
        <item x="166"/>
        <item x="163"/>
        <item x="103"/>
        <item x="11"/>
        <item x="107"/>
        <item x="357"/>
        <item x="0"/>
        <item x="185"/>
        <item x="276"/>
        <item x="60"/>
        <item x="3"/>
        <item x="134"/>
        <item x="287"/>
        <item x="346"/>
        <item x="324"/>
        <item x="178"/>
        <item x="150"/>
        <item x="214"/>
        <item x="275"/>
        <item x="140"/>
        <item x="245"/>
        <item x="250"/>
        <item x="312"/>
        <item x="183"/>
        <item x="139"/>
        <item x="7"/>
        <item x="161"/>
        <item x="167"/>
        <item x="233"/>
        <item x="156"/>
        <item x="217"/>
        <item x="136"/>
        <item x="86"/>
        <item x="152"/>
        <item x="14"/>
        <item x="295"/>
        <item x="288"/>
        <item x="133"/>
        <item x="40"/>
        <item x="87"/>
        <item x="144"/>
        <item x="323"/>
        <item x="89"/>
        <item x="181"/>
        <item x="294"/>
        <item x="229"/>
        <item x="121"/>
        <item x="165"/>
        <item x="241"/>
        <item x="291"/>
        <item x="170"/>
        <item x="169"/>
        <item x="302"/>
        <item x="15"/>
        <item x="175"/>
        <item x="13"/>
        <item x="186"/>
        <item x="255"/>
        <item x="218"/>
        <item x="305"/>
        <item x="80"/>
        <item x="193"/>
        <item x="339"/>
        <item x="126"/>
        <item x="22"/>
        <item x="66"/>
        <item x="90"/>
        <item x="278"/>
        <item x="146"/>
        <item x="321"/>
        <item x="42"/>
        <item x="268"/>
        <item x="188"/>
        <item x="30"/>
        <item x="122"/>
        <item x="104"/>
        <item x="226"/>
        <item x="213"/>
        <item x="33"/>
        <item x="191"/>
        <item x="279"/>
        <item x="267"/>
        <item x="115"/>
        <item x="149"/>
        <item x="205"/>
        <item x="298"/>
        <item x="280"/>
        <item x="160"/>
        <item x="256"/>
        <item x="232"/>
        <item x="127"/>
        <item x="31"/>
        <item x="5"/>
        <item x="32"/>
        <item x="63"/>
        <item x="20"/>
        <item x="355"/>
        <item x="187"/>
        <item x="190"/>
        <item x="235"/>
        <item x="310"/>
        <item x="143"/>
        <item x="171"/>
        <item x="342"/>
        <item x="95"/>
        <item x="67"/>
        <item x="159"/>
        <item x="259"/>
        <item x="317"/>
        <item x="55"/>
        <item x="113"/>
        <item x="74"/>
        <item x="351"/>
        <item x="343"/>
        <item x="347"/>
        <item x="308"/>
        <item x="73"/>
        <item x="105"/>
        <item x="8"/>
        <item x="101"/>
        <item x="78"/>
        <item x="64"/>
        <item x="353"/>
        <item x="153"/>
        <item x="289"/>
        <item x="120"/>
        <item x="211"/>
        <item x="155"/>
        <item x="138"/>
        <item x="198"/>
        <item x="106"/>
        <item x="307"/>
        <item x="244"/>
        <item x="195"/>
        <item x="93"/>
        <item x="356"/>
        <item x="141"/>
        <item x="147"/>
        <item x="290"/>
        <item x="26"/>
        <item x="75"/>
        <item x="192"/>
        <item x="248"/>
        <item x="164"/>
        <item x="117"/>
        <item x="47"/>
        <item x="128"/>
        <item x="37"/>
        <item x="221"/>
        <item x="157"/>
        <item x="277"/>
        <item x="263"/>
        <item x="311"/>
        <item x="71"/>
        <item x="25"/>
        <item x="180"/>
        <item x="110"/>
        <item x="207"/>
        <item x="108"/>
        <item x="17"/>
        <item x="142"/>
        <item x="61"/>
        <item x="92"/>
        <item x="236"/>
        <item x="177"/>
        <item x="53"/>
        <item x="48"/>
        <item x="349"/>
        <item x="174"/>
        <item x="97"/>
        <item x="240"/>
        <item x="68"/>
        <item x="2"/>
        <item x="251"/>
        <item x="219"/>
        <item x="43"/>
        <item x="243"/>
        <item x="21"/>
        <item x="253"/>
        <item x="246"/>
        <item x="77"/>
        <item x="210"/>
        <item x="313"/>
        <item x="112"/>
        <item x="130"/>
        <item x="257"/>
        <item x="135"/>
        <item x="344"/>
        <item x="215"/>
        <item x="91"/>
        <item x="249"/>
        <item x="337"/>
        <item x="296"/>
        <item x="102"/>
        <item x="19"/>
        <item x="151"/>
        <item x="72"/>
        <item x="345"/>
        <item x="176"/>
        <item x="220"/>
        <item x="330"/>
        <item x="82"/>
        <item x="204"/>
        <item x="301"/>
        <item x="70"/>
        <item x="234"/>
        <item x="224"/>
        <item x="39"/>
        <item x="172"/>
        <item x="16"/>
        <item x="62"/>
        <item x="239"/>
        <item x="300"/>
        <item x="225"/>
        <item x="23"/>
        <item x="148"/>
        <item x="45"/>
        <item x="199"/>
        <item x="145"/>
        <item x="242"/>
        <item x="38"/>
        <item x="228"/>
        <item x="231"/>
        <item x="208"/>
        <item x="158"/>
        <item x="162"/>
        <item x="168"/>
        <item x="84"/>
        <item x="96"/>
        <item x="41"/>
        <item x="269"/>
        <item x="9"/>
        <item x="340"/>
        <item x="335"/>
        <item x="336"/>
        <item x="319"/>
        <item x="266"/>
        <item x="272"/>
        <item x="76"/>
        <item x="284"/>
        <item x="51"/>
        <item x="260"/>
        <item x="216"/>
        <item x="154"/>
        <item x="18"/>
        <item x="27"/>
        <item x="49"/>
        <item x="320"/>
        <item x="137"/>
        <item x="1"/>
        <item x="237"/>
        <item x="69"/>
        <item x="116"/>
        <item x="338"/>
        <item x="230"/>
        <item x="223"/>
        <item x="334"/>
        <item x="261"/>
        <item x="304"/>
        <item x="111"/>
        <item x="12"/>
        <item x="281"/>
        <item x="352"/>
        <item x="329"/>
        <item x="35"/>
        <item x="196"/>
        <item t="default"/>
      </items>
    </pivotField>
    <pivotField showAll="0"/>
    <pivotField showAll="0"/>
    <pivotField showAll="0"/>
    <pivotField showAll="0"/>
    <pivotField showAll="0"/>
    <pivotField numFmtId="1" showAll="0"/>
    <pivotField numFmtId="164" showAll="0"/>
    <pivotField showAll="0"/>
    <pivotField dataField="1" numFmtId="164" showAll="0"/>
    <pivotField numFmtId="164" showAll="0"/>
    <pivotField dataField="1" numFmtId="164" showAll="0"/>
    <pivotField showAll="0"/>
    <pivotField numFmtId="1" showAll="0"/>
    <pivotField numFmtId="22" showAll="0"/>
    <pivotField showAll="0"/>
    <pivotField showAll="0"/>
    <pivotField showAll="0"/>
    <pivotField showAll="0"/>
    <pivotField showAll="0"/>
    <pivotField showAll="0"/>
    <pivotField showAll="0"/>
    <pivotField showAll="0" defaultSubtotal="0">
      <items count="368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</items>
    </pivotField>
    <pivotField axis="axisRow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</pivotFields>
  <rowFields count="2">
    <field x="24"/>
    <field x="1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Orders" fld="0" subtotal="count" baseField="24" baseItem="1"/>
    <dataField name="Sales" fld="10" baseField="20" baseItem="1" numFmtId="166"/>
    <dataField name="Profits" fld="12" baseField="20" baseItem="1" numFmtId="166"/>
  </dataFields>
  <chartFormats count="3">
    <chartFormat chart="10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0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997CB7-E067-4903-9224-DD52C7DB922F}" name="PivotTable2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 rowHeaderCaption="Category">
  <location ref="A2:B8" firstHeaderRow="1" firstDataRow="1" firstDataCol="1"/>
  <pivotFields count="25">
    <pivotField showAll="0"/>
    <pivotField numFmtId="14" showAll="0">
      <items count="359">
        <item x="247"/>
        <item x="58"/>
        <item x="328"/>
        <item x="200"/>
        <item x="109"/>
        <item x="203"/>
        <item x="293"/>
        <item x="306"/>
        <item x="85"/>
        <item x="264"/>
        <item x="341"/>
        <item x="271"/>
        <item x="125"/>
        <item x="46"/>
        <item x="81"/>
        <item x="265"/>
        <item x="201"/>
        <item x="209"/>
        <item x="283"/>
        <item x="227"/>
        <item x="6"/>
        <item x="24"/>
        <item x="262"/>
        <item x="285"/>
        <item x="222"/>
        <item x="197"/>
        <item x="94"/>
        <item x="123"/>
        <item x="322"/>
        <item x="332"/>
        <item x="348"/>
        <item x="98"/>
        <item x="318"/>
        <item x="54"/>
        <item x="124"/>
        <item x="182"/>
        <item x="194"/>
        <item x="173"/>
        <item x="333"/>
        <item x="79"/>
        <item x="114"/>
        <item x="270"/>
        <item x="65"/>
        <item x="132"/>
        <item x="202"/>
        <item x="238"/>
        <item x="99"/>
        <item x="28"/>
        <item x="57"/>
        <item x="34"/>
        <item x="118"/>
        <item x="50"/>
        <item x="59"/>
        <item x="36"/>
        <item x="327"/>
        <item x="286"/>
        <item x="212"/>
        <item x="29"/>
        <item x="179"/>
        <item x="325"/>
        <item x="100"/>
        <item x="88"/>
        <item x="354"/>
        <item x="83"/>
        <item x="131"/>
        <item x="331"/>
        <item x="189"/>
        <item x="252"/>
        <item x="297"/>
        <item x="4"/>
        <item x="326"/>
        <item x="292"/>
        <item x="184"/>
        <item x="254"/>
        <item x="316"/>
        <item x="303"/>
        <item x="56"/>
        <item x="309"/>
        <item x="314"/>
        <item x="282"/>
        <item x="315"/>
        <item x="129"/>
        <item x="350"/>
        <item x="10"/>
        <item x="44"/>
        <item x="273"/>
        <item x="299"/>
        <item x="52"/>
        <item x="274"/>
        <item x="258"/>
        <item x="206"/>
        <item x="119"/>
        <item x="166"/>
        <item x="163"/>
        <item x="103"/>
        <item x="11"/>
        <item x="107"/>
        <item x="357"/>
        <item x="0"/>
        <item x="185"/>
        <item x="276"/>
        <item x="60"/>
        <item x="3"/>
        <item x="134"/>
        <item x="287"/>
        <item x="346"/>
        <item x="324"/>
        <item x="178"/>
        <item x="150"/>
        <item x="214"/>
        <item x="275"/>
        <item x="140"/>
        <item x="245"/>
        <item x="250"/>
        <item x="312"/>
        <item x="183"/>
        <item x="139"/>
        <item x="7"/>
        <item x="161"/>
        <item x="167"/>
        <item x="233"/>
        <item x="156"/>
        <item x="217"/>
        <item x="136"/>
        <item x="86"/>
        <item x="152"/>
        <item x="14"/>
        <item x="295"/>
        <item x="288"/>
        <item x="133"/>
        <item x="40"/>
        <item x="87"/>
        <item x="144"/>
        <item x="323"/>
        <item x="89"/>
        <item x="181"/>
        <item x="294"/>
        <item x="229"/>
        <item x="121"/>
        <item x="165"/>
        <item x="241"/>
        <item x="291"/>
        <item x="170"/>
        <item x="169"/>
        <item x="302"/>
        <item x="15"/>
        <item x="175"/>
        <item x="13"/>
        <item x="186"/>
        <item x="255"/>
        <item x="218"/>
        <item x="305"/>
        <item x="80"/>
        <item x="193"/>
        <item x="339"/>
        <item x="126"/>
        <item x="22"/>
        <item x="66"/>
        <item x="90"/>
        <item x="278"/>
        <item x="146"/>
        <item x="321"/>
        <item x="42"/>
        <item x="268"/>
        <item x="188"/>
        <item x="30"/>
        <item x="122"/>
        <item x="104"/>
        <item x="226"/>
        <item x="213"/>
        <item x="33"/>
        <item x="191"/>
        <item x="279"/>
        <item x="267"/>
        <item x="115"/>
        <item x="149"/>
        <item x="205"/>
        <item x="298"/>
        <item x="280"/>
        <item x="160"/>
        <item x="256"/>
        <item x="232"/>
        <item x="127"/>
        <item x="31"/>
        <item x="5"/>
        <item x="32"/>
        <item x="63"/>
        <item x="20"/>
        <item x="355"/>
        <item x="187"/>
        <item x="190"/>
        <item x="235"/>
        <item x="310"/>
        <item x="143"/>
        <item x="171"/>
        <item x="342"/>
        <item x="95"/>
        <item x="67"/>
        <item x="159"/>
        <item x="259"/>
        <item x="317"/>
        <item x="55"/>
        <item x="113"/>
        <item x="74"/>
        <item x="351"/>
        <item x="343"/>
        <item x="347"/>
        <item x="308"/>
        <item x="73"/>
        <item x="105"/>
        <item x="8"/>
        <item x="101"/>
        <item x="78"/>
        <item x="64"/>
        <item x="353"/>
        <item x="153"/>
        <item x="289"/>
        <item x="120"/>
        <item x="211"/>
        <item x="155"/>
        <item x="138"/>
        <item x="198"/>
        <item x="106"/>
        <item x="307"/>
        <item x="244"/>
        <item x="195"/>
        <item x="93"/>
        <item x="356"/>
        <item x="141"/>
        <item x="147"/>
        <item x="290"/>
        <item x="26"/>
        <item x="75"/>
        <item x="192"/>
        <item x="248"/>
        <item x="164"/>
        <item x="117"/>
        <item x="47"/>
        <item x="128"/>
        <item x="37"/>
        <item x="221"/>
        <item x="157"/>
        <item x="277"/>
        <item x="263"/>
        <item x="311"/>
        <item x="71"/>
        <item x="25"/>
        <item x="180"/>
        <item x="110"/>
        <item x="207"/>
        <item x="108"/>
        <item x="17"/>
        <item x="142"/>
        <item x="61"/>
        <item x="92"/>
        <item x="236"/>
        <item x="177"/>
        <item x="53"/>
        <item x="48"/>
        <item x="349"/>
        <item x="174"/>
        <item x="97"/>
        <item x="240"/>
        <item x="68"/>
        <item x="2"/>
        <item x="251"/>
        <item x="219"/>
        <item x="43"/>
        <item x="243"/>
        <item x="21"/>
        <item x="253"/>
        <item x="246"/>
        <item x="77"/>
        <item x="210"/>
        <item x="313"/>
        <item x="112"/>
        <item x="130"/>
        <item x="257"/>
        <item x="135"/>
        <item x="344"/>
        <item x="215"/>
        <item x="91"/>
        <item x="249"/>
        <item x="337"/>
        <item x="296"/>
        <item x="102"/>
        <item x="19"/>
        <item x="151"/>
        <item x="72"/>
        <item x="345"/>
        <item x="176"/>
        <item x="220"/>
        <item x="330"/>
        <item x="82"/>
        <item x="204"/>
        <item x="301"/>
        <item x="70"/>
        <item x="234"/>
        <item x="224"/>
        <item x="39"/>
        <item x="172"/>
        <item x="16"/>
        <item x="62"/>
        <item x="239"/>
        <item x="300"/>
        <item x="225"/>
        <item x="23"/>
        <item x="148"/>
        <item x="45"/>
        <item x="199"/>
        <item x="145"/>
        <item x="242"/>
        <item x="38"/>
        <item x="228"/>
        <item x="231"/>
        <item x="208"/>
        <item x="158"/>
        <item x="162"/>
        <item x="168"/>
        <item x="84"/>
        <item x="96"/>
        <item x="41"/>
        <item x="269"/>
        <item x="9"/>
        <item x="340"/>
        <item x="335"/>
        <item x="336"/>
        <item x="319"/>
        <item x="266"/>
        <item x="272"/>
        <item x="76"/>
        <item x="284"/>
        <item x="51"/>
        <item x="260"/>
        <item x="216"/>
        <item x="154"/>
        <item x="18"/>
        <item x="27"/>
        <item x="49"/>
        <item x="320"/>
        <item x="137"/>
        <item x="1"/>
        <item x="237"/>
        <item x="69"/>
        <item x="116"/>
        <item x="338"/>
        <item x="230"/>
        <item x="223"/>
        <item x="334"/>
        <item x="261"/>
        <item x="304"/>
        <item x="111"/>
        <item x="12"/>
        <item x="281"/>
        <item x="352"/>
        <item x="329"/>
        <item x="35"/>
        <item x="196"/>
        <item t="default"/>
      </items>
    </pivotField>
    <pivotField showAll="0"/>
    <pivotField showAll="0"/>
    <pivotField showAll="0"/>
    <pivotField axis="axisRow" showAll="0">
      <items count="6">
        <item x="0"/>
        <item x="1"/>
        <item x="3"/>
        <item x="4"/>
        <item x="2"/>
        <item t="default"/>
      </items>
    </pivotField>
    <pivotField showAll="0"/>
    <pivotField numFmtId="1" showAll="0"/>
    <pivotField numFmtId="164" showAll="0"/>
    <pivotField numFmtId="9" showAll="0"/>
    <pivotField dataField="1" numFmtId="164" showAll="0"/>
    <pivotField numFmtId="164" showAll="0"/>
    <pivotField numFmtId="164" showAll="0"/>
    <pivotField showAll="0"/>
    <pivotField numFmtId="1" showAll="0"/>
    <pivotField numFmtId="22"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ales" fld="10" baseField="5" baseItem="0" numFmtId="166"/>
  </dataFields>
  <chartFormats count="6">
    <chartFormat chart="2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2" format="1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2" format="12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60B633-D09F-41F2-A24D-F3CEB4EE9AE7}" name="PivotTable3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 rowHeaderCaption="City">
  <location ref="A2:B11" firstHeaderRow="1" firstDataRow="1" firstDataCol="1"/>
  <pivotFields count="25">
    <pivotField showAll="0"/>
    <pivotField numFmtId="14" showAll="0">
      <items count="359">
        <item x="247"/>
        <item x="58"/>
        <item x="328"/>
        <item x="200"/>
        <item x="109"/>
        <item x="203"/>
        <item x="293"/>
        <item x="306"/>
        <item x="85"/>
        <item x="264"/>
        <item x="341"/>
        <item x="271"/>
        <item x="125"/>
        <item x="46"/>
        <item x="81"/>
        <item x="265"/>
        <item x="201"/>
        <item x="209"/>
        <item x="283"/>
        <item x="227"/>
        <item x="6"/>
        <item x="24"/>
        <item x="262"/>
        <item x="285"/>
        <item x="222"/>
        <item x="197"/>
        <item x="94"/>
        <item x="123"/>
        <item x="322"/>
        <item x="332"/>
        <item x="348"/>
        <item x="98"/>
        <item x="318"/>
        <item x="54"/>
        <item x="124"/>
        <item x="182"/>
        <item x="194"/>
        <item x="173"/>
        <item x="333"/>
        <item x="79"/>
        <item x="114"/>
        <item x="270"/>
        <item x="65"/>
        <item x="132"/>
        <item x="202"/>
        <item x="238"/>
        <item x="99"/>
        <item x="28"/>
        <item x="57"/>
        <item x="34"/>
        <item x="118"/>
        <item x="50"/>
        <item x="59"/>
        <item x="36"/>
        <item x="327"/>
        <item x="286"/>
        <item x="212"/>
        <item x="29"/>
        <item x="179"/>
        <item x="325"/>
        <item x="100"/>
        <item x="88"/>
        <item x="354"/>
        <item x="83"/>
        <item x="131"/>
        <item x="331"/>
        <item x="189"/>
        <item x="252"/>
        <item x="297"/>
        <item x="4"/>
        <item x="326"/>
        <item x="292"/>
        <item x="184"/>
        <item x="254"/>
        <item x="316"/>
        <item x="303"/>
        <item x="56"/>
        <item x="309"/>
        <item x="314"/>
        <item x="282"/>
        <item x="315"/>
        <item x="129"/>
        <item x="350"/>
        <item x="10"/>
        <item x="44"/>
        <item x="273"/>
        <item x="299"/>
        <item x="52"/>
        <item x="274"/>
        <item x="258"/>
        <item x="206"/>
        <item x="119"/>
        <item x="166"/>
        <item x="163"/>
        <item x="103"/>
        <item x="11"/>
        <item x="107"/>
        <item x="357"/>
        <item x="0"/>
        <item x="185"/>
        <item x="276"/>
        <item x="60"/>
        <item x="3"/>
        <item x="134"/>
        <item x="287"/>
        <item x="346"/>
        <item x="324"/>
        <item x="178"/>
        <item x="150"/>
        <item x="214"/>
        <item x="275"/>
        <item x="140"/>
        <item x="245"/>
        <item x="250"/>
        <item x="312"/>
        <item x="183"/>
        <item x="139"/>
        <item x="7"/>
        <item x="161"/>
        <item x="167"/>
        <item x="233"/>
        <item x="156"/>
        <item x="217"/>
        <item x="136"/>
        <item x="86"/>
        <item x="152"/>
        <item x="14"/>
        <item x="295"/>
        <item x="288"/>
        <item x="133"/>
        <item x="40"/>
        <item x="87"/>
        <item x="144"/>
        <item x="323"/>
        <item x="89"/>
        <item x="181"/>
        <item x="294"/>
        <item x="229"/>
        <item x="121"/>
        <item x="165"/>
        <item x="241"/>
        <item x="291"/>
        <item x="170"/>
        <item x="169"/>
        <item x="302"/>
        <item x="15"/>
        <item x="175"/>
        <item x="13"/>
        <item x="186"/>
        <item x="255"/>
        <item x="218"/>
        <item x="305"/>
        <item x="80"/>
        <item x="193"/>
        <item x="339"/>
        <item x="126"/>
        <item x="22"/>
        <item x="66"/>
        <item x="90"/>
        <item x="278"/>
        <item x="146"/>
        <item x="321"/>
        <item x="42"/>
        <item x="268"/>
        <item x="188"/>
        <item x="30"/>
        <item x="122"/>
        <item x="104"/>
        <item x="226"/>
        <item x="213"/>
        <item x="33"/>
        <item x="191"/>
        <item x="279"/>
        <item x="267"/>
        <item x="115"/>
        <item x="149"/>
        <item x="205"/>
        <item x="298"/>
        <item x="280"/>
        <item x="160"/>
        <item x="256"/>
        <item x="232"/>
        <item x="127"/>
        <item x="31"/>
        <item x="5"/>
        <item x="32"/>
        <item x="63"/>
        <item x="20"/>
        <item x="355"/>
        <item x="187"/>
        <item x="190"/>
        <item x="235"/>
        <item x="310"/>
        <item x="143"/>
        <item x="171"/>
        <item x="342"/>
        <item x="95"/>
        <item x="67"/>
        <item x="159"/>
        <item x="259"/>
        <item x="317"/>
        <item x="55"/>
        <item x="113"/>
        <item x="74"/>
        <item x="351"/>
        <item x="343"/>
        <item x="347"/>
        <item x="308"/>
        <item x="73"/>
        <item x="105"/>
        <item x="8"/>
        <item x="101"/>
        <item x="78"/>
        <item x="64"/>
        <item x="353"/>
        <item x="153"/>
        <item x="289"/>
        <item x="120"/>
        <item x="211"/>
        <item x="155"/>
        <item x="138"/>
        <item x="198"/>
        <item x="106"/>
        <item x="307"/>
        <item x="244"/>
        <item x="195"/>
        <item x="93"/>
        <item x="356"/>
        <item x="141"/>
        <item x="147"/>
        <item x="290"/>
        <item x="26"/>
        <item x="75"/>
        <item x="192"/>
        <item x="248"/>
        <item x="164"/>
        <item x="117"/>
        <item x="47"/>
        <item x="128"/>
        <item x="37"/>
        <item x="221"/>
        <item x="157"/>
        <item x="277"/>
        <item x="263"/>
        <item x="311"/>
        <item x="71"/>
        <item x="25"/>
        <item x="180"/>
        <item x="110"/>
        <item x="207"/>
        <item x="108"/>
        <item x="17"/>
        <item x="142"/>
        <item x="61"/>
        <item x="92"/>
        <item x="236"/>
        <item x="177"/>
        <item x="53"/>
        <item x="48"/>
        <item x="349"/>
        <item x="174"/>
        <item x="97"/>
        <item x="240"/>
        <item x="68"/>
        <item x="2"/>
        <item x="251"/>
        <item x="219"/>
        <item x="43"/>
        <item x="243"/>
        <item x="21"/>
        <item x="253"/>
        <item x="246"/>
        <item x="77"/>
        <item x="210"/>
        <item x="313"/>
        <item x="112"/>
        <item x="130"/>
        <item x="257"/>
        <item x="135"/>
        <item x="344"/>
        <item x="215"/>
        <item x="91"/>
        <item x="249"/>
        <item x="337"/>
        <item x="296"/>
        <item x="102"/>
        <item x="19"/>
        <item x="151"/>
        <item x="72"/>
        <item x="345"/>
        <item x="176"/>
        <item x="220"/>
        <item x="330"/>
        <item x="82"/>
        <item x="204"/>
        <item x="301"/>
        <item x="70"/>
        <item x="234"/>
        <item x="224"/>
        <item x="39"/>
        <item x="172"/>
        <item x="16"/>
        <item x="62"/>
        <item x="239"/>
        <item x="300"/>
        <item x="225"/>
        <item x="23"/>
        <item x="148"/>
        <item x="45"/>
        <item x="199"/>
        <item x="145"/>
        <item x="242"/>
        <item x="38"/>
        <item x="228"/>
        <item x="231"/>
        <item x="208"/>
        <item x="158"/>
        <item x="162"/>
        <item x="168"/>
        <item x="84"/>
        <item x="96"/>
        <item x="41"/>
        <item x="269"/>
        <item x="9"/>
        <item x="340"/>
        <item x="335"/>
        <item x="336"/>
        <item x="319"/>
        <item x="266"/>
        <item x="272"/>
        <item x="76"/>
        <item x="284"/>
        <item x="51"/>
        <item x="260"/>
        <item x="216"/>
        <item x="154"/>
        <item x="18"/>
        <item x="27"/>
        <item x="49"/>
        <item x="320"/>
        <item x="137"/>
        <item x="1"/>
        <item x="237"/>
        <item x="69"/>
        <item x="116"/>
        <item x="338"/>
        <item x="230"/>
        <item x="223"/>
        <item x="334"/>
        <item x="261"/>
        <item x="304"/>
        <item x="111"/>
        <item x="12"/>
        <item x="281"/>
        <item x="352"/>
        <item x="329"/>
        <item x="35"/>
        <item x="196"/>
        <item t="default"/>
      </items>
    </pivotField>
    <pivotField showAll="0"/>
    <pivotField showAll="0"/>
    <pivotField axis="axisRow" showAll="0">
      <items count="9">
        <item x="5"/>
        <item x="4"/>
        <item x="1"/>
        <item x="0"/>
        <item x="7"/>
        <item x="2"/>
        <item x="3"/>
        <item x="6"/>
        <item t="default"/>
      </items>
    </pivotField>
    <pivotField showAll="0"/>
    <pivotField showAll="0"/>
    <pivotField numFmtId="1" showAll="0"/>
    <pivotField numFmtId="164" showAll="0"/>
    <pivotField numFmtId="9" showAll="0"/>
    <pivotField numFmtId="164" showAll="0"/>
    <pivotField numFmtId="164" showAll="0"/>
    <pivotField dataField="1" numFmtId="164" showAll="0"/>
    <pivotField showAll="0"/>
    <pivotField numFmtId="1" showAll="0"/>
    <pivotField numFmtId="22"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4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Profit" fld="12" baseField="4" baseItem="0" numFmtId="166"/>
  </dataFields>
  <chartFormats count="1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7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4" count="1" selected="0">
            <x v="6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F2DC8CF-CA78-4326-AEFF-78633DD3B12F}" name="orders" displayName="orders" ref="A1:W1501" headerRowDxfId="20">
  <autoFilter ref="A1:W1501" xr:uid="{EF2DC8CF-CA78-4326-AEFF-78633DD3B12F}"/>
  <tableColumns count="23">
    <tableColumn id="1" xr3:uid="{0D473BE2-1026-4C4C-A9DB-1C8BAD3730A1}" name="Order_ID" totalsRowLabel="Total"/>
    <tableColumn id="2" xr3:uid="{44E82063-4CF8-4E47-821B-44F9A6FB2EBB}" name="Order_Date" dataDxfId="8" totalsRowDxfId="19"/>
    <tableColumn id="3" xr3:uid="{2E6B24C5-891A-4CA4-8350-50252A757337}" name="Customer_ID"/>
    <tableColumn id="4" xr3:uid="{1405E9BC-976E-4942-8EFA-4419E4B4F591}" name="Employee_ID"/>
    <tableColumn id="5" xr3:uid="{2D5E6CF2-E38E-4CD7-B59C-D31E4B842A54}" name="City"/>
    <tableColumn id="6" xr3:uid="{2C5F1751-7B76-4538-997D-9B8CC848EA59}" name="Category"/>
    <tableColumn id="7" xr3:uid="{E337C1F4-7E33-4C6D-8B66-AC278AD1207E}" name="Product"/>
    <tableColumn id="8" xr3:uid="{8DA10487-4AAF-4574-A2BE-E7EA8B79BB1C}" name="Quantity" totalsRowFunction="countNums" dataDxfId="18" totalsRowDxfId="17"/>
    <tableColumn id="9" xr3:uid="{CF73B794-8410-404B-BE97-021182290DB8}" name="Gross_Sales" dataDxfId="6" totalsRowDxfId="16"/>
    <tableColumn id="10" xr3:uid="{AE438A6C-2755-4F03-A83A-ADD0C3901E62}" name="Discount" dataDxfId="4"/>
    <tableColumn id="11" xr3:uid="{6B81E9FE-674A-40A5-88CB-94A2F0F61871}" name="Net_Sales" totalsRowFunction="sum" dataDxfId="5" totalsRowDxfId="15"/>
    <tableColumn id="12" xr3:uid="{660B1D39-F37E-434D-AB5B-45AA26CCD431}" name="Cost" dataDxfId="7" totalsRowDxfId="14"/>
    <tableColumn id="13" xr3:uid="{F3BC7A4E-CDC9-4998-BE2F-4D4437398D7F}" name="Profit" dataDxfId="13" totalsRowDxfId="12"/>
    <tableColumn id="14" xr3:uid="{996768C1-4E99-4BE7-86B7-76041E0F2E9B}" name="Status"/>
    <tableColumn id="15" xr3:uid="{D9E043FB-A8A3-4255-BC01-CAD301334C6F}" name="TAT_Hours" dataDxfId="11" totalsRowDxfId="10"/>
    <tableColumn id="16" xr3:uid="{A1D0DAD5-4BA5-4308-8E9A-6F4CCBB8033B}" name="Delivery_Date" dataDxfId="9"/>
    <tableColumn id="17" xr3:uid="{1B21BA11-A074-449D-AE69-E027A8C97754}" name="Month"/>
    <tableColumn id="18" xr3:uid="{C2788BE1-FF32-4490-854A-176A33AB76E3}" name="Month_No"/>
    <tableColumn id="19" xr3:uid="{0595EBD4-BC2F-4CD0-942E-C73125830DD8}" name="Quarter" totalsRowFunction="count"/>
    <tableColumn id="20" xr3:uid="{DE555BD9-80E3-4EB8-BF07-651FD489D85E}" name="Completed_Flag" dataDxfId="3">
      <calculatedColumnFormula>IF(orders[[#This Row],[Status]]="Completed",1,0)</calculatedColumnFormula>
    </tableColumn>
    <tableColumn id="21" xr3:uid="{94C4056B-77EA-4B05-879D-580457ECB138}" name="Pending_Flag" dataDxfId="2">
      <calculatedColumnFormula>IF(orders[[#This Row],[Status]]="Pending",1,0)</calculatedColumnFormula>
    </tableColumn>
    <tableColumn id="22" xr3:uid="{A8A5EFC6-5ACC-4DBD-886D-F430ABBEC9A8}" name="Delayed_Flag" dataDxfId="1">
      <calculatedColumnFormula>IF(orders[[#This Row],[Status]]="Delayed",1,0)</calculatedColumnFormula>
    </tableColumn>
    <tableColumn id="23" xr3:uid="{407BB044-D2C1-4BC0-BDAB-93E945985382}" name="Cancelled_Flag" dataDxfId="0">
      <calculatedColumnFormula>IF(orders[[#This Row],[Status]]="Cancelled",1,0)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CCDC4-6116-46A0-A36F-CA0B47F7A0AE}">
  <dimension ref="A1:W1501"/>
  <sheetViews>
    <sheetView workbookViewId="0">
      <selection activeCell="F1" sqref="F1"/>
    </sheetView>
  </sheetViews>
  <sheetFormatPr defaultRowHeight="14.5" x14ac:dyDescent="0.35"/>
  <cols>
    <col min="1" max="1" width="10.08984375" customWidth="1"/>
    <col min="2" max="2" width="12.1796875" style="1" customWidth="1"/>
    <col min="3" max="4" width="13.6328125" customWidth="1"/>
    <col min="5" max="5" width="10.453125" bestFit="1" customWidth="1"/>
    <col min="6" max="6" width="13.7265625" bestFit="1" customWidth="1"/>
    <col min="7" max="7" width="13.6328125" bestFit="1" customWidth="1"/>
    <col min="8" max="8" width="10" style="7" customWidth="1"/>
    <col min="9" max="9" width="12.90625" style="4" customWidth="1"/>
    <col min="10" max="10" width="10.36328125" style="23" customWidth="1"/>
    <col min="11" max="11" width="14.453125" style="4" bestFit="1" customWidth="1"/>
    <col min="12" max="13" width="10.26953125" style="4" bestFit="1" customWidth="1"/>
    <col min="14" max="14" width="9.7265625" bestFit="1" customWidth="1"/>
    <col min="15" max="15" width="11.453125" style="7" customWidth="1"/>
    <col min="16" max="16" width="15.08984375" bestFit="1" customWidth="1"/>
    <col min="17" max="17" width="8.08984375" customWidth="1"/>
    <col min="18" max="18" width="11.1796875" customWidth="1"/>
    <col min="19" max="19" width="9.36328125" bestFit="1" customWidth="1"/>
    <col min="20" max="20" width="16.7265625" bestFit="1" customWidth="1"/>
    <col min="21" max="22" width="14.1796875" bestFit="1" customWidth="1"/>
    <col min="23" max="23" width="16" bestFit="1" customWidth="1"/>
  </cols>
  <sheetData>
    <row r="1" spans="1:23" x14ac:dyDescent="0.35">
      <c r="A1" s="3" t="s">
        <v>0</v>
      </c>
      <c r="B1" s="8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6" t="s">
        <v>7</v>
      </c>
      <c r="I1" s="5" t="s">
        <v>8</v>
      </c>
      <c r="J1" s="22" t="s">
        <v>9</v>
      </c>
      <c r="K1" s="5" t="s">
        <v>10</v>
      </c>
      <c r="L1" s="5" t="s">
        <v>11</v>
      </c>
      <c r="M1" s="5" t="s">
        <v>12</v>
      </c>
      <c r="N1" s="3" t="s">
        <v>13</v>
      </c>
      <c r="O1" s="6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2257</v>
      </c>
      <c r="U1" s="3" t="s">
        <v>2258</v>
      </c>
      <c r="V1" s="3" t="s">
        <v>2259</v>
      </c>
      <c r="W1" s="3" t="s">
        <v>2260</v>
      </c>
    </row>
    <row r="2" spans="1:23" x14ac:dyDescent="0.35">
      <c r="A2" t="s">
        <v>19</v>
      </c>
      <c r="B2" s="1">
        <v>45760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s="7">
        <v>3</v>
      </c>
      <c r="I2" s="4">
        <v>11626.56</v>
      </c>
      <c r="J2" s="23">
        <v>0.1</v>
      </c>
      <c r="K2" s="4">
        <v>10463.9</v>
      </c>
      <c r="L2" s="4">
        <v>9098.4500000000007</v>
      </c>
      <c r="M2" s="4">
        <v>1365.45</v>
      </c>
      <c r="N2" t="s">
        <v>25</v>
      </c>
      <c r="O2" s="7">
        <v>37</v>
      </c>
      <c r="P2" s="2">
        <v>45761.541666666664</v>
      </c>
      <c r="Q2" t="s">
        <v>26</v>
      </c>
      <c r="R2">
        <v>4</v>
      </c>
      <c r="S2" t="s">
        <v>27</v>
      </c>
      <c r="T2">
        <f>IF(orders[[#This Row],[Status]]="Completed",1,0)</f>
        <v>1</v>
      </c>
      <c r="U2">
        <f>IF(orders[[#This Row],[Status]]="Pending",1,0)</f>
        <v>0</v>
      </c>
      <c r="V2">
        <f>IF(orders[[#This Row],[Status]]="Delayed",1,0)</f>
        <v>0</v>
      </c>
      <c r="W2">
        <f>IF(orders[[#This Row],[Status]]="Cancelled",1,0)</f>
        <v>0</v>
      </c>
    </row>
    <row r="3" spans="1:23" x14ac:dyDescent="0.35">
      <c r="A3" t="s">
        <v>28</v>
      </c>
      <c r="B3" s="1">
        <v>46006</v>
      </c>
      <c r="C3" t="s">
        <v>29</v>
      </c>
      <c r="D3" t="s">
        <v>30</v>
      </c>
      <c r="E3" t="s">
        <v>31</v>
      </c>
      <c r="F3" t="s">
        <v>32</v>
      </c>
      <c r="G3" t="s">
        <v>33</v>
      </c>
      <c r="H3" s="7">
        <v>2</v>
      </c>
      <c r="I3" s="4">
        <v>9551.4599999999991</v>
      </c>
      <c r="J3" s="23">
        <v>0.05</v>
      </c>
      <c r="K3" s="4">
        <v>9073.89</v>
      </c>
      <c r="L3" s="4">
        <v>7754.25</v>
      </c>
      <c r="M3" s="4">
        <v>1319.64</v>
      </c>
      <c r="N3" t="s">
        <v>25</v>
      </c>
      <c r="O3" s="7">
        <v>13</v>
      </c>
      <c r="P3" s="2">
        <v>46006.541666666664</v>
      </c>
      <c r="Q3" t="s">
        <v>34</v>
      </c>
      <c r="R3">
        <v>12</v>
      </c>
      <c r="S3" t="s">
        <v>35</v>
      </c>
      <c r="T3">
        <f>IF(orders[[#This Row],[Status]]="Completed",1,0)</f>
        <v>1</v>
      </c>
      <c r="U3">
        <f>IF(orders[[#This Row],[Status]]="Pending",1,0)</f>
        <v>0</v>
      </c>
      <c r="V3">
        <f>IF(orders[[#This Row],[Status]]="Delayed",1,0)</f>
        <v>0</v>
      </c>
      <c r="W3">
        <f>IF(orders[[#This Row],[Status]]="Cancelled",1,0)</f>
        <v>0</v>
      </c>
    </row>
    <row r="4" spans="1:23" x14ac:dyDescent="0.35">
      <c r="A4" t="s">
        <v>36</v>
      </c>
      <c r="B4" s="1">
        <v>45928</v>
      </c>
      <c r="C4" t="s">
        <v>37</v>
      </c>
      <c r="D4" t="s">
        <v>38</v>
      </c>
      <c r="E4" t="s">
        <v>22</v>
      </c>
      <c r="F4" t="s">
        <v>39</v>
      </c>
      <c r="G4" t="s">
        <v>40</v>
      </c>
      <c r="H4" s="7">
        <v>5</v>
      </c>
      <c r="I4" s="4">
        <v>13189.6</v>
      </c>
      <c r="J4" s="23">
        <v>0</v>
      </c>
      <c r="K4" s="4">
        <v>13189.6</v>
      </c>
      <c r="L4" s="4">
        <v>11102.28</v>
      </c>
      <c r="M4" s="4">
        <v>2087.3200000000002</v>
      </c>
      <c r="N4" t="s">
        <v>25</v>
      </c>
      <c r="O4" s="7">
        <v>8</v>
      </c>
      <c r="P4" s="2">
        <v>45928.333333333336</v>
      </c>
      <c r="Q4" t="s">
        <v>41</v>
      </c>
      <c r="R4">
        <v>9</v>
      </c>
      <c r="S4" t="s">
        <v>42</v>
      </c>
      <c r="T4">
        <f>IF(orders[[#This Row],[Status]]="Completed",1,0)</f>
        <v>1</v>
      </c>
      <c r="U4">
        <f>IF(orders[[#This Row],[Status]]="Pending",1,0)</f>
        <v>0</v>
      </c>
      <c r="V4">
        <f>IF(orders[[#This Row],[Status]]="Delayed",1,0)</f>
        <v>0</v>
      </c>
      <c r="W4">
        <f>IF(orders[[#This Row],[Status]]="Cancelled",1,0)</f>
        <v>0</v>
      </c>
    </row>
    <row r="5" spans="1:23" x14ac:dyDescent="0.35">
      <c r="A5" t="s">
        <v>43</v>
      </c>
      <c r="B5" s="1">
        <v>45764</v>
      </c>
      <c r="C5" t="s">
        <v>44</v>
      </c>
      <c r="D5" t="s">
        <v>45</v>
      </c>
      <c r="E5" t="s">
        <v>46</v>
      </c>
      <c r="F5" t="s">
        <v>39</v>
      </c>
      <c r="G5" t="s">
        <v>47</v>
      </c>
      <c r="H5" s="7">
        <v>1</v>
      </c>
      <c r="I5" s="4">
        <v>3949.88</v>
      </c>
      <c r="J5" s="23">
        <v>0</v>
      </c>
      <c r="K5" s="4">
        <v>3949.88</v>
      </c>
      <c r="L5" s="4">
        <v>2761.71</v>
      </c>
      <c r="M5" s="4">
        <v>1188.17</v>
      </c>
      <c r="N5" t="s">
        <v>48</v>
      </c>
      <c r="O5" s="7">
        <v>16</v>
      </c>
      <c r="P5" s="2">
        <v>45764.666666666664</v>
      </c>
      <c r="Q5" t="s">
        <v>26</v>
      </c>
      <c r="R5">
        <v>4</v>
      </c>
      <c r="S5" t="s">
        <v>27</v>
      </c>
      <c r="T5">
        <f>IF(orders[[#This Row],[Status]]="Completed",1,0)</f>
        <v>0</v>
      </c>
      <c r="U5">
        <f>IF(orders[[#This Row],[Status]]="Pending",1,0)</f>
        <v>0</v>
      </c>
      <c r="V5">
        <f>IF(orders[[#This Row],[Status]]="Delayed",1,0)</f>
        <v>0</v>
      </c>
      <c r="W5">
        <f>IF(orders[[#This Row],[Status]]="Cancelled",1,0)</f>
        <v>1</v>
      </c>
    </row>
    <row r="6" spans="1:23" x14ac:dyDescent="0.35">
      <c r="A6" t="s">
        <v>49</v>
      </c>
      <c r="B6" s="1">
        <v>45729</v>
      </c>
      <c r="C6" t="s">
        <v>50</v>
      </c>
      <c r="D6" t="s">
        <v>51</v>
      </c>
      <c r="E6" t="s">
        <v>52</v>
      </c>
      <c r="F6" t="s">
        <v>32</v>
      </c>
      <c r="G6" t="s">
        <v>53</v>
      </c>
      <c r="H6" s="7">
        <v>2</v>
      </c>
      <c r="I6" s="4">
        <v>3031.34</v>
      </c>
      <c r="J6" s="23">
        <v>0.1</v>
      </c>
      <c r="K6" s="4">
        <v>2728.21</v>
      </c>
      <c r="L6" s="4">
        <v>2272.25</v>
      </c>
      <c r="M6" s="4">
        <v>455.96</v>
      </c>
      <c r="N6" t="s">
        <v>25</v>
      </c>
      <c r="O6" s="7">
        <v>6</v>
      </c>
      <c r="P6" s="2">
        <v>45729.25</v>
      </c>
      <c r="Q6" t="s">
        <v>54</v>
      </c>
      <c r="R6">
        <v>3</v>
      </c>
      <c r="S6" t="s">
        <v>55</v>
      </c>
      <c r="T6">
        <f>IF(orders[[#This Row],[Status]]="Completed",1,0)</f>
        <v>1</v>
      </c>
      <c r="U6">
        <f>IF(orders[[#This Row],[Status]]="Pending",1,0)</f>
        <v>0</v>
      </c>
      <c r="V6">
        <f>IF(orders[[#This Row],[Status]]="Delayed",1,0)</f>
        <v>0</v>
      </c>
      <c r="W6">
        <f>IF(orders[[#This Row],[Status]]="Cancelled",1,0)</f>
        <v>0</v>
      </c>
    </row>
    <row r="7" spans="1:23" x14ac:dyDescent="0.35">
      <c r="A7" t="s">
        <v>56</v>
      </c>
      <c r="B7" s="1">
        <v>45846</v>
      </c>
      <c r="C7" t="s">
        <v>57</v>
      </c>
      <c r="D7" t="s">
        <v>58</v>
      </c>
      <c r="E7" t="s">
        <v>59</v>
      </c>
      <c r="F7" t="s">
        <v>39</v>
      </c>
      <c r="G7" t="s">
        <v>40</v>
      </c>
      <c r="H7" s="7">
        <v>7</v>
      </c>
      <c r="I7" s="4">
        <v>18826.009999999998</v>
      </c>
      <c r="J7" s="23">
        <v>0.15</v>
      </c>
      <c r="K7" s="4">
        <v>16002.11</v>
      </c>
      <c r="L7" s="4">
        <v>9056.7199999999993</v>
      </c>
      <c r="M7" s="4">
        <v>6945.39</v>
      </c>
      <c r="N7" t="s">
        <v>25</v>
      </c>
      <c r="O7" s="7">
        <v>22</v>
      </c>
      <c r="P7" s="2">
        <v>45846.916666666664</v>
      </c>
      <c r="Q7" t="s">
        <v>60</v>
      </c>
      <c r="R7">
        <v>7</v>
      </c>
      <c r="S7" t="s">
        <v>42</v>
      </c>
      <c r="T7">
        <f>IF(orders[[#This Row],[Status]]="Completed",1,0)</f>
        <v>1</v>
      </c>
      <c r="U7">
        <f>IF(orders[[#This Row],[Status]]="Pending",1,0)</f>
        <v>0</v>
      </c>
      <c r="V7">
        <f>IF(orders[[#This Row],[Status]]="Delayed",1,0)</f>
        <v>0</v>
      </c>
      <c r="W7">
        <f>IF(orders[[#This Row],[Status]]="Cancelled",1,0)</f>
        <v>0</v>
      </c>
    </row>
    <row r="8" spans="1:23" x14ac:dyDescent="0.35">
      <c r="A8" t="s">
        <v>61</v>
      </c>
      <c r="B8" s="1">
        <v>45678</v>
      </c>
      <c r="C8" t="s">
        <v>62</v>
      </c>
      <c r="D8" t="s">
        <v>63</v>
      </c>
      <c r="E8" t="s">
        <v>59</v>
      </c>
      <c r="F8" t="s">
        <v>32</v>
      </c>
      <c r="G8" t="s">
        <v>64</v>
      </c>
      <c r="H8" s="7">
        <v>4</v>
      </c>
      <c r="I8" s="4">
        <v>21344.959999999999</v>
      </c>
      <c r="J8" s="23">
        <v>0</v>
      </c>
      <c r="K8" s="4">
        <v>21344.959999999999</v>
      </c>
      <c r="L8" s="4">
        <v>12785.86</v>
      </c>
      <c r="M8" s="4">
        <v>8559.1</v>
      </c>
      <c r="N8" t="s">
        <v>48</v>
      </c>
      <c r="O8" s="7">
        <v>23</v>
      </c>
      <c r="P8" s="2">
        <v>45678.958333333336</v>
      </c>
      <c r="Q8" t="s">
        <v>65</v>
      </c>
      <c r="R8">
        <v>1</v>
      </c>
      <c r="S8" t="s">
        <v>55</v>
      </c>
      <c r="T8">
        <f>IF(orders[[#This Row],[Status]]="Completed",1,0)</f>
        <v>0</v>
      </c>
      <c r="U8">
        <f>IF(orders[[#This Row],[Status]]="Pending",1,0)</f>
        <v>0</v>
      </c>
      <c r="V8">
        <f>IF(orders[[#This Row],[Status]]="Delayed",1,0)</f>
        <v>0</v>
      </c>
      <c r="W8">
        <f>IF(orders[[#This Row],[Status]]="Cancelled",1,0)</f>
        <v>1</v>
      </c>
    </row>
    <row r="9" spans="1:23" x14ac:dyDescent="0.35">
      <c r="A9" t="s">
        <v>66</v>
      </c>
      <c r="B9" s="1">
        <v>45760</v>
      </c>
      <c r="C9" t="s">
        <v>67</v>
      </c>
      <c r="D9" t="s">
        <v>68</v>
      </c>
      <c r="E9" t="s">
        <v>31</v>
      </c>
      <c r="F9" t="s">
        <v>23</v>
      </c>
      <c r="G9" t="s">
        <v>69</v>
      </c>
      <c r="H9" s="7">
        <v>5</v>
      </c>
      <c r="I9" s="4">
        <v>13350.15</v>
      </c>
      <c r="J9" s="23">
        <v>0</v>
      </c>
      <c r="K9" s="4">
        <v>13350.15</v>
      </c>
      <c r="L9" s="4">
        <v>9166.34</v>
      </c>
      <c r="M9" s="4">
        <v>4183.8100000000004</v>
      </c>
      <c r="N9" t="s">
        <v>25</v>
      </c>
      <c r="O9" s="7">
        <v>47</v>
      </c>
      <c r="P9" s="2">
        <v>45761.958333333336</v>
      </c>
      <c r="Q9" t="s">
        <v>26</v>
      </c>
      <c r="R9">
        <v>4</v>
      </c>
      <c r="S9" t="s">
        <v>27</v>
      </c>
      <c r="T9">
        <f>IF(orders[[#This Row],[Status]]="Completed",1,0)</f>
        <v>1</v>
      </c>
      <c r="U9">
        <f>IF(orders[[#This Row],[Status]]="Pending",1,0)</f>
        <v>0</v>
      </c>
      <c r="V9">
        <f>IF(orders[[#This Row],[Status]]="Delayed",1,0)</f>
        <v>0</v>
      </c>
      <c r="W9">
        <f>IF(orders[[#This Row],[Status]]="Cancelled",1,0)</f>
        <v>0</v>
      </c>
    </row>
    <row r="10" spans="1:23" x14ac:dyDescent="0.35">
      <c r="A10" t="s">
        <v>70</v>
      </c>
      <c r="B10" s="1">
        <v>45779</v>
      </c>
      <c r="C10" t="s">
        <v>71</v>
      </c>
      <c r="D10" t="s">
        <v>63</v>
      </c>
      <c r="E10" t="s">
        <v>22</v>
      </c>
      <c r="F10" t="s">
        <v>72</v>
      </c>
      <c r="G10" t="s">
        <v>73</v>
      </c>
      <c r="H10" s="7">
        <v>1</v>
      </c>
      <c r="I10" s="4">
        <v>7662.85</v>
      </c>
      <c r="J10" s="23">
        <v>0.2</v>
      </c>
      <c r="K10" s="4">
        <v>6130.28</v>
      </c>
      <c r="L10" s="4">
        <v>4349.55</v>
      </c>
      <c r="M10" s="4">
        <v>1780.73</v>
      </c>
      <c r="N10" t="s">
        <v>25</v>
      </c>
      <c r="O10" s="7">
        <v>38</v>
      </c>
      <c r="P10" s="2">
        <v>45780.583333333336</v>
      </c>
      <c r="Q10" t="s">
        <v>74</v>
      </c>
      <c r="R10">
        <v>5</v>
      </c>
      <c r="S10" t="s">
        <v>27</v>
      </c>
      <c r="T10">
        <f>IF(orders[[#This Row],[Status]]="Completed",1,0)</f>
        <v>1</v>
      </c>
      <c r="U10">
        <f>IF(orders[[#This Row],[Status]]="Pending",1,0)</f>
        <v>0</v>
      </c>
      <c r="V10">
        <f>IF(orders[[#This Row],[Status]]="Delayed",1,0)</f>
        <v>0</v>
      </c>
      <c r="W10">
        <f>IF(orders[[#This Row],[Status]]="Cancelled",1,0)</f>
        <v>0</v>
      </c>
    </row>
    <row r="11" spans="1:23" x14ac:dyDescent="0.35">
      <c r="A11" t="s">
        <v>75</v>
      </c>
      <c r="B11" s="1">
        <v>45872</v>
      </c>
      <c r="C11" t="s">
        <v>76</v>
      </c>
      <c r="D11" t="s">
        <v>77</v>
      </c>
      <c r="E11" t="s">
        <v>78</v>
      </c>
      <c r="F11" t="s">
        <v>32</v>
      </c>
      <c r="G11" t="s">
        <v>79</v>
      </c>
      <c r="H11" s="7">
        <v>3</v>
      </c>
      <c r="I11" s="4">
        <v>16191.6</v>
      </c>
      <c r="J11" s="23">
        <v>0</v>
      </c>
      <c r="K11" s="4">
        <v>16191.6</v>
      </c>
      <c r="L11" s="4">
        <v>10313.36</v>
      </c>
      <c r="M11" s="4">
        <v>5878.24</v>
      </c>
      <c r="N11" t="s">
        <v>25</v>
      </c>
      <c r="O11" s="7">
        <v>9</v>
      </c>
      <c r="P11" s="2">
        <v>45872.375</v>
      </c>
      <c r="Q11" t="s">
        <v>80</v>
      </c>
      <c r="R11">
        <v>8</v>
      </c>
      <c r="S11" t="s">
        <v>42</v>
      </c>
      <c r="T11">
        <f>IF(orders[[#This Row],[Status]]="Completed",1,0)</f>
        <v>1</v>
      </c>
      <c r="U11">
        <f>IF(orders[[#This Row],[Status]]="Pending",1,0)</f>
        <v>0</v>
      </c>
      <c r="V11">
        <f>IF(orders[[#This Row],[Status]]="Delayed",1,0)</f>
        <v>0</v>
      </c>
      <c r="W11">
        <f>IF(orders[[#This Row],[Status]]="Cancelled",1,0)</f>
        <v>0</v>
      </c>
    </row>
    <row r="12" spans="1:23" x14ac:dyDescent="0.35">
      <c r="A12" t="s">
        <v>81</v>
      </c>
      <c r="B12" s="1">
        <v>45988</v>
      </c>
      <c r="C12" t="s">
        <v>82</v>
      </c>
      <c r="D12" t="s">
        <v>63</v>
      </c>
      <c r="E12" t="s">
        <v>78</v>
      </c>
      <c r="F12" t="s">
        <v>83</v>
      </c>
      <c r="G12" t="s">
        <v>84</v>
      </c>
      <c r="H12" s="7">
        <v>7</v>
      </c>
      <c r="I12" s="4">
        <v>26689.040000000001</v>
      </c>
      <c r="J12" s="23">
        <v>0.2</v>
      </c>
      <c r="K12" s="4">
        <v>21351.23</v>
      </c>
      <c r="L12" s="4">
        <v>14254.88</v>
      </c>
      <c r="M12" s="4">
        <v>7096.35</v>
      </c>
      <c r="N12" t="s">
        <v>85</v>
      </c>
      <c r="O12" s="7">
        <v>79</v>
      </c>
      <c r="P12" s="2">
        <v>45991.291666666664</v>
      </c>
      <c r="Q12" t="s">
        <v>86</v>
      </c>
      <c r="R12">
        <v>11</v>
      </c>
      <c r="S12" t="s">
        <v>35</v>
      </c>
      <c r="T12">
        <f>IF(orders[[#This Row],[Status]]="Completed",1,0)</f>
        <v>0</v>
      </c>
      <c r="U12">
        <f>IF(orders[[#This Row],[Status]]="Pending",1,0)</f>
        <v>0</v>
      </c>
      <c r="V12">
        <f>IF(orders[[#This Row],[Status]]="Delayed",1,0)</f>
        <v>1</v>
      </c>
      <c r="W12">
        <f>IF(orders[[#This Row],[Status]]="Cancelled",1,0)</f>
        <v>0</v>
      </c>
    </row>
    <row r="13" spans="1:23" x14ac:dyDescent="0.35">
      <c r="A13" t="s">
        <v>87</v>
      </c>
      <c r="B13" s="1">
        <v>45745</v>
      </c>
      <c r="C13" t="s">
        <v>88</v>
      </c>
      <c r="D13" t="s">
        <v>38</v>
      </c>
      <c r="E13" t="s">
        <v>52</v>
      </c>
      <c r="F13" t="s">
        <v>32</v>
      </c>
      <c r="G13" t="s">
        <v>89</v>
      </c>
      <c r="H13" s="7">
        <v>1</v>
      </c>
      <c r="I13" s="4">
        <v>473.62</v>
      </c>
      <c r="J13" s="23">
        <v>0.05</v>
      </c>
      <c r="K13" s="4">
        <v>449.94</v>
      </c>
      <c r="L13" s="4">
        <v>271.64</v>
      </c>
      <c r="M13" s="4">
        <v>178.3</v>
      </c>
      <c r="N13" t="s">
        <v>25</v>
      </c>
      <c r="O13" s="7">
        <v>7</v>
      </c>
      <c r="P13" s="2">
        <v>45745.291666666664</v>
      </c>
      <c r="Q13" t="s">
        <v>54</v>
      </c>
      <c r="R13">
        <v>3</v>
      </c>
      <c r="S13" t="s">
        <v>55</v>
      </c>
      <c r="T13">
        <f>IF(orders[[#This Row],[Status]]="Completed",1,0)</f>
        <v>1</v>
      </c>
      <c r="U13">
        <f>IF(orders[[#This Row],[Status]]="Pending",1,0)</f>
        <v>0</v>
      </c>
      <c r="V13">
        <f>IF(orders[[#This Row],[Status]]="Delayed",1,0)</f>
        <v>0</v>
      </c>
      <c r="W13">
        <f>IF(orders[[#This Row],[Status]]="Cancelled",1,0)</f>
        <v>0</v>
      </c>
    </row>
    <row r="14" spans="1:23" x14ac:dyDescent="0.35">
      <c r="A14" t="s">
        <v>90</v>
      </c>
      <c r="B14" s="1">
        <v>45757</v>
      </c>
      <c r="C14" t="s">
        <v>91</v>
      </c>
      <c r="D14" t="s">
        <v>45</v>
      </c>
      <c r="E14" t="s">
        <v>92</v>
      </c>
      <c r="F14" t="s">
        <v>39</v>
      </c>
      <c r="G14" t="s">
        <v>93</v>
      </c>
      <c r="H14" s="7">
        <v>3</v>
      </c>
      <c r="I14" s="4">
        <v>12963.69</v>
      </c>
      <c r="J14" s="23">
        <v>0.15</v>
      </c>
      <c r="K14" s="4">
        <v>11019.14</v>
      </c>
      <c r="L14" s="4">
        <v>7839.17</v>
      </c>
      <c r="M14" s="4">
        <v>3179.97</v>
      </c>
      <c r="N14" t="s">
        <v>48</v>
      </c>
      <c r="O14" s="7">
        <v>8</v>
      </c>
      <c r="P14" s="2">
        <v>45757.333333333336</v>
      </c>
      <c r="Q14" t="s">
        <v>26</v>
      </c>
      <c r="R14">
        <v>4</v>
      </c>
      <c r="S14" t="s">
        <v>27</v>
      </c>
      <c r="T14">
        <f>IF(orders[[#This Row],[Status]]="Completed",1,0)</f>
        <v>0</v>
      </c>
      <c r="U14">
        <f>IF(orders[[#This Row],[Status]]="Pending",1,0)</f>
        <v>0</v>
      </c>
      <c r="V14">
        <f>IF(orders[[#This Row],[Status]]="Delayed",1,0)</f>
        <v>0</v>
      </c>
      <c r="W14">
        <f>IF(orders[[#This Row],[Status]]="Cancelled",1,0)</f>
        <v>1</v>
      </c>
    </row>
    <row r="15" spans="1:23" x14ac:dyDescent="0.35">
      <c r="A15" t="s">
        <v>94</v>
      </c>
      <c r="B15" s="1">
        <v>46017</v>
      </c>
      <c r="C15" t="s">
        <v>95</v>
      </c>
      <c r="D15" t="s">
        <v>58</v>
      </c>
      <c r="E15" t="s">
        <v>46</v>
      </c>
      <c r="F15" t="s">
        <v>23</v>
      </c>
      <c r="G15" t="s">
        <v>69</v>
      </c>
      <c r="H15" s="7">
        <v>5</v>
      </c>
      <c r="I15" s="4">
        <v>32679.4</v>
      </c>
      <c r="J15" s="23">
        <v>0.05</v>
      </c>
      <c r="K15" s="4">
        <v>31045.43</v>
      </c>
      <c r="L15" s="4">
        <v>25207.9</v>
      </c>
      <c r="M15" s="4">
        <v>5837.53</v>
      </c>
      <c r="N15" t="s">
        <v>48</v>
      </c>
      <c r="O15" s="7">
        <v>14</v>
      </c>
      <c r="P15" s="2">
        <v>46017.583333333336</v>
      </c>
      <c r="Q15" t="s">
        <v>34</v>
      </c>
      <c r="R15">
        <v>12</v>
      </c>
      <c r="S15" t="s">
        <v>35</v>
      </c>
      <c r="T15">
        <f>IF(orders[[#This Row],[Status]]="Completed",1,0)</f>
        <v>0</v>
      </c>
      <c r="U15">
        <f>IF(orders[[#This Row],[Status]]="Pending",1,0)</f>
        <v>0</v>
      </c>
      <c r="V15">
        <f>IF(orders[[#This Row],[Status]]="Delayed",1,0)</f>
        <v>0</v>
      </c>
      <c r="W15">
        <f>IF(orders[[#This Row],[Status]]="Cancelled",1,0)</f>
        <v>1</v>
      </c>
    </row>
    <row r="16" spans="1:23" x14ac:dyDescent="0.35">
      <c r="A16" t="s">
        <v>96</v>
      </c>
      <c r="B16" s="1">
        <v>45809</v>
      </c>
      <c r="C16" t="s">
        <v>97</v>
      </c>
      <c r="D16" t="s">
        <v>51</v>
      </c>
      <c r="E16" t="s">
        <v>22</v>
      </c>
      <c r="F16" t="s">
        <v>23</v>
      </c>
      <c r="G16" t="s">
        <v>69</v>
      </c>
      <c r="H16" s="7">
        <v>3</v>
      </c>
      <c r="I16" s="4">
        <v>7102.23</v>
      </c>
      <c r="J16" s="23">
        <v>0.2</v>
      </c>
      <c r="K16" s="4">
        <v>5681.78</v>
      </c>
      <c r="L16" s="4">
        <v>4365.0200000000004</v>
      </c>
      <c r="M16" s="4">
        <v>1316.76</v>
      </c>
      <c r="N16" t="s">
        <v>98</v>
      </c>
      <c r="O16" s="7">
        <v>15</v>
      </c>
      <c r="P16" s="2">
        <v>45809.625</v>
      </c>
      <c r="Q16" t="s">
        <v>99</v>
      </c>
      <c r="R16">
        <v>6</v>
      </c>
      <c r="S16" t="s">
        <v>27</v>
      </c>
      <c r="T16">
        <f>IF(orders[[#This Row],[Status]]="Completed",1,0)</f>
        <v>0</v>
      </c>
      <c r="U16">
        <f>IF(orders[[#This Row],[Status]]="Pending",1,0)</f>
        <v>1</v>
      </c>
      <c r="V16">
        <f>IF(orders[[#This Row],[Status]]="Delayed",1,0)</f>
        <v>0</v>
      </c>
      <c r="W16">
        <f>IF(orders[[#This Row],[Status]]="Cancelled",1,0)</f>
        <v>0</v>
      </c>
    </row>
    <row r="17" spans="1:23" x14ac:dyDescent="0.35">
      <c r="A17" t="s">
        <v>100</v>
      </c>
      <c r="B17" s="1">
        <v>45788</v>
      </c>
      <c r="C17" t="s">
        <v>101</v>
      </c>
      <c r="D17" t="s">
        <v>51</v>
      </c>
      <c r="E17" t="s">
        <v>78</v>
      </c>
      <c r="F17" t="s">
        <v>32</v>
      </c>
      <c r="G17" t="s">
        <v>53</v>
      </c>
      <c r="H17" s="7">
        <v>4</v>
      </c>
      <c r="I17" s="4">
        <v>27546.240000000002</v>
      </c>
      <c r="J17" s="23">
        <v>0.15</v>
      </c>
      <c r="K17" s="4">
        <v>23414.3</v>
      </c>
      <c r="L17" s="4">
        <v>13710.75</v>
      </c>
      <c r="M17" s="4">
        <v>9703.5499999999993</v>
      </c>
      <c r="N17" t="s">
        <v>98</v>
      </c>
      <c r="O17" s="7">
        <v>20</v>
      </c>
      <c r="P17" s="2">
        <v>45788.833333333336</v>
      </c>
      <c r="Q17" t="s">
        <v>74</v>
      </c>
      <c r="R17">
        <v>5</v>
      </c>
      <c r="S17" t="s">
        <v>27</v>
      </c>
      <c r="T17">
        <f>IF(orders[[#This Row],[Status]]="Completed",1,0)</f>
        <v>0</v>
      </c>
      <c r="U17">
        <f>IF(orders[[#This Row],[Status]]="Pending",1,0)</f>
        <v>1</v>
      </c>
      <c r="V17">
        <f>IF(orders[[#This Row],[Status]]="Delayed",1,0)</f>
        <v>0</v>
      </c>
      <c r="W17">
        <f>IF(orders[[#This Row],[Status]]="Cancelled",1,0)</f>
        <v>0</v>
      </c>
    </row>
    <row r="18" spans="1:23" x14ac:dyDescent="0.35">
      <c r="A18" t="s">
        <v>102</v>
      </c>
      <c r="B18" s="1">
        <v>45807</v>
      </c>
      <c r="C18" t="s">
        <v>103</v>
      </c>
      <c r="D18" t="s">
        <v>30</v>
      </c>
      <c r="E18" t="s">
        <v>78</v>
      </c>
      <c r="F18" t="s">
        <v>72</v>
      </c>
      <c r="G18" t="s">
        <v>104</v>
      </c>
      <c r="H18" s="7">
        <v>7</v>
      </c>
      <c r="I18" s="4">
        <v>15768.13</v>
      </c>
      <c r="J18" s="23">
        <v>0.05</v>
      </c>
      <c r="K18" s="4">
        <v>14979.72</v>
      </c>
      <c r="L18" s="4">
        <v>10649.11</v>
      </c>
      <c r="M18" s="4">
        <v>4330.6099999999997</v>
      </c>
      <c r="N18" t="s">
        <v>48</v>
      </c>
      <c r="O18" s="7">
        <v>7</v>
      </c>
      <c r="P18" s="2">
        <v>45807.291666666664</v>
      </c>
      <c r="Q18" t="s">
        <v>74</v>
      </c>
      <c r="R18">
        <v>5</v>
      </c>
      <c r="S18" t="s">
        <v>27</v>
      </c>
      <c r="T18">
        <f>IF(orders[[#This Row],[Status]]="Completed",1,0)</f>
        <v>0</v>
      </c>
      <c r="U18">
        <f>IF(orders[[#This Row],[Status]]="Pending",1,0)</f>
        <v>0</v>
      </c>
      <c r="V18">
        <f>IF(orders[[#This Row],[Status]]="Delayed",1,0)</f>
        <v>0</v>
      </c>
      <c r="W18">
        <f>IF(orders[[#This Row],[Status]]="Cancelled",1,0)</f>
        <v>1</v>
      </c>
    </row>
    <row r="19" spans="1:23" x14ac:dyDescent="0.35">
      <c r="A19" t="s">
        <v>105</v>
      </c>
      <c r="B19" s="1">
        <v>45966</v>
      </c>
      <c r="C19" t="s">
        <v>106</v>
      </c>
      <c r="D19" t="s">
        <v>68</v>
      </c>
      <c r="E19" t="s">
        <v>22</v>
      </c>
      <c r="F19" t="s">
        <v>83</v>
      </c>
      <c r="G19" t="s">
        <v>107</v>
      </c>
      <c r="H19" s="7">
        <v>6</v>
      </c>
      <c r="I19" s="4">
        <v>42169.68</v>
      </c>
      <c r="J19" s="23">
        <v>0</v>
      </c>
      <c r="K19" s="4">
        <v>42169.68</v>
      </c>
      <c r="L19" s="4">
        <v>32901.769999999997</v>
      </c>
      <c r="M19" s="4">
        <v>9267.91</v>
      </c>
      <c r="N19" t="s">
        <v>48</v>
      </c>
      <c r="O19" s="7">
        <v>15</v>
      </c>
      <c r="P19" s="2">
        <v>45966.625</v>
      </c>
      <c r="Q19" t="s">
        <v>86</v>
      </c>
      <c r="R19">
        <v>11</v>
      </c>
      <c r="S19" t="s">
        <v>35</v>
      </c>
      <c r="T19">
        <f>IF(orders[[#This Row],[Status]]="Completed",1,0)</f>
        <v>0</v>
      </c>
      <c r="U19">
        <f>IF(orders[[#This Row],[Status]]="Pending",1,0)</f>
        <v>0</v>
      </c>
      <c r="V19">
        <f>IF(orders[[#This Row],[Status]]="Delayed",1,0)</f>
        <v>0</v>
      </c>
      <c r="W19">
        <f>IF(orders[[#This Row],[Status]]="Cancelled",1,0)</f>
        <v>1</v>
      </c>
    </row>
    <row r="20" spans="1:23" x14ac:dyDescent="0.35">
      <c r="A20" t="s">
        <v>108</v>
      </c>
      <c r="B20" s="1">
        <v>45915</v>
      </c>
      <c r="C20" t="s">
        <v>109</v>
      </c>
      <c r="D20" t="s">
        <v>21</v>
      </c>
      <c r="E20" t="s">
        <v>92</v>
      </c>
      <c r="F20" t="s">
        <v>23</v>
      </c>
      <c r="G20" t="s">
        <v>110</v>
      </c>
      <c r="H20" s="7">
        <v>3</v>
      </c>
      <c r="I20" s="4">
        <v>2585.9699999999998</v>
      </c>
      <c r="J20" s="23">
        <v>0.15</v>
      </c>
      <c r="K20" s="4">
        <v>2198.0700000000002</v>
      </c>
      <c r="L20" s="4">
        <v>1593.3</v>
      </c>
      <c r="M20" s="4">
        <v>604.77</v>
      </c>
      <c r="N20" t="s">
        <v>25</v>
      </c>
      <c r="O20" s="7">
        <v>23</v>
      </c>
      <c r="P20" s="2">
        <v>45915.958333333336</v>
      </c>
      <c r="Q20" t="s">
        <v>41</v>
      </c>
      <c r="R20">
        <v>9</v>
      </c>
      <c r="S20" t="s">
        <v>42</v>
      </c>
      <c r="T20">
        <f>IF(orders[[#This Row],[Status]]="Completed",1,0)</f>
        <v>1</v>
      </c>
      <c r="U20">
        <f>IF(orders[[#This Row],[Status]]="Pending",1,0)</f>
        <v>0</v>
      </c>
      <c r="V20">
        <f>IF(orders[[#This Row],[Status]]="Delayed",1,0)</f>
        <v>0</v>
      </c>
      <c r="W20">
        <f>IF(orders[[#This Row],[Status]]="Cancelled",1,0)</f>
        <v>0</v>
      </c>
    </row>
    <row r="21" spans="1:23" x14ac:dyDescent="0.35">
      <c r="A21" t="s">
        <v>111</v>
      </c>
      <c r="B21" s="1">
        <v>46001</v>
      </c>
      <c r="C21" t="s">
        <v>112</v>
      </c>
      <c r="D21" t="s">
        <v>45</v>
      </c>
      <c r="E21" t="s">
        <v>113</v>
      </c>
      <c r="F21" t="s">
        <v>39</v>
      </c>
      <c r="G21" t="s">
        <v>114</v>
      </c>
      <c r="H21" s="7">
        <v>4</v>
      </c>
      <c r="I21" s="4">
        <v>29530.52</v>
      </c>
      <c r="J21" s="23">
        <v>0.1</v>
      </c>
      <c r="K21" s="4">
        <v>26577.47</v>
      </c>
      <c r="L21" s="4">
        <v>18052.82</v>
      </c>
      <c r="M21" s="4">
        <v>8524.65</v>
      </c>
      <c r="N21" t="s">
        <v>25</v>
      </c>
      <c r="O21" s="7">
        <v>27</v>
      </c>
      <c r="P21" s="2">
        <v>46002.125</v>
      </c>
      <c r="Q21" t="s">
        <v>34</v>
      </c>
      <c r="R21">
        <v>12</v>
      </c>
      <c r="S21" t="s">
        <v>35</v>
      </c>
      <c r="T21">
        <f>IF(orders[[#This Row],[Status]]="Completed",1,0)</f>
        <v>1</v>
      </c>
      <c r="U21">
        <f>IF(orders[[#This Row],[Status]]="Pending",1,0)</f>
        <v>0</v>
      </c>
      <c r="V21">
        <f>IF(orders[[#This Row],[Status]]="Delayed",1,0)</f>
        <v>0</v>
      </c>
      <c r="W21">
        <f>IF(orders[[#This Row],[Status]]="Cancelled",1,0)</f>
        <v>0</v>
      </c>
    </row>
    <row r="22" spans="1:23" x14ac:dyDescent="0.35">
      <c r="A22" t="s">
        <v>115</v>
      </c>
      <c r="B22" s="1">
        <v>45951</v>
      </c>
      <c r="C22" t="s">
        <v>76</v>
      </c>
      <c r="D22" t="s">
        <v>21</v>
      </c>
      <c r="E22" t="s">
        <v>46</v>
      </c>
      <c r="F22" t="s">
        <v>39</v>
      </c>
      <c r="G22" t="s">
        <v>40</v>
      </c>
      <c r="H22" s="7">
        <v>6</v>
      </c>
      <c r="I22" s="4">
        <v>25909.26</v>
      </c>
      <c r="J22" s="23">
        <v>0</v>
      </c>
      <c r="K22" s="4">
        <v>25909.26</v>
      </c>
      <c r="L22" s="4">
        <v>19567.5</v>
      </c>
      <c r="M22" s="4">
        <v>6341.76</v>
      </c>
      <c r="N22" t="s">
        <v>25</v>
      </c>
      <c r="O22" s="7">
        <v>38</v>
      </c>
      <c r="P22" s="2">
        <v>45952.583333333336</v>
      </c>
      <c r="Q22" t="s">
        <v>116</v>
      </c>
      <c r="R22">
        <v>10</v>
      </c>
      <c r="S22" t="s">
        <v>35</v>
      </c>
      <c r="T22">
        <f>IF(orders[[#This Row],[Status]]="Completed",1,0)</f>
        <v>1</v>
      </c>
      <c r="U22">
        <f>IF(orders[[#This Row],[Status]]="Pending",1,0)</f>
        <v>0</v>
      </c>
      <c r="V22">
        <f>IF(orders[[#This Row],[Status]]="Delayed",1,0)</f>
        <v>0</v>
      </c>
      <c r="W22">
        <f>IF(orders[[#This Row],[Status]]="Cancelled",1,0)</f>
        <v>0</v>
      </c>
    </row>
    <row r="23" spans="1:23" x14ac:dyDescent="0.35">
      <c r="A23" t="s">
        <v>117</v>
      </c>
      <c r="B23" s="1">
        <v>45849</v>
      </c>
      <c r="C23" t="s">
        <v>118</v>
      </c>
      <c r="D23" t="s">
        <v>58</v>
      </c>
      <c r="E23" t="s">
        <v>31</v>
      </c>
      <c r="F23" t="s">
        <v>72</v>
      </c>
      <c r="G23" t="s">
        <v>119</v>
      </c>
      <c r="H23" s="7">
        <v>7</v>
      </c>
      <c r="I23" s="4">
        <v>18382.63</v>
      </c>
      <c r="J23" s="23">
        <v>0</v>
      </c>
      <c r="K23" s="4">
        <v>18382.63</v>
      </c>
      <c r="L23" s="4">
        <v>15986.47</v>
      </c>
      <c r="M23" s="4">
        <v>2396.16</v>
      </c>
      <c r="N23" t="s">
        <v>85</v>
      </c>
      <c r="O23" s="7">
        <v>89</v>
      </c>
      <c r="P23" s="2">
        <v>45852.708333333336</v>
      </c>
      <c r="Q23" t="s">
        <v>60</v>
      </c>
      <c r="R23">
        <v>7</v>
      </c>
      <c r="S23" t="s">
        <v>42</v>
      </c>
      <c r="T23">
        <f>IF(orders[[#This Row],[Status]]="Completed",1,0)</f>
        <v>0</v>
      </c>
      <c r="U23">
        <f>IF(orders[[#This Row],[Status]]="Pending",1,0)</f>
        <v>0</v>
      </c>
      <c r="V23">
        <f>IF(orders[[#This Row],[Status]]="Delayed",1,0)</f>
        <v>1</v>
      </c>
      <c r="W23">
        <f>IF(orders[[#This Row],[Status]]="Cancelled",1,0)</f>
        <v>0</v>
      </c>
    </row>
    <row r="24" spans="1:23" x14ac:dyDescent="0.35">
      <c r="A24" t="s">
        <v>120</v>
      </c>
      <c r="B24" s="1">
        <v>45934</v>
      </c>
      <c r="C24" t="s">
        <v>121</v>
      </c>
      <c r="D24" t="s">
        <v>63</v>
      </c>
      <c r="E24" t="s">
        <v>46</v>
      </c>
      <c r="F24" t="s">
        <v>23</v>
      </c>
      <c r="G24" t="s">
        <v>122</v>
      </c>
      <c r="H24" s="7">
        <v>5</v>
      </c>
      <c r="I24" s="4">
        <v>11818.5</v>
      </c>
      <c r="J24" s="23">
        <v>0.15</v>
      </c>
      <c r="K24" s="4">
        <v>10045.719999999999</v>
      </c>
      <c r="L24" s="4">
        <v>5839.77</v>
      </c>
      <c r="M24" s="4">
        <v>4205.95</v>
      </c>
      <c r="N24" t="s">
        <v>25</v>
      </c>
      <c r="O24" s="7">
        <v>22</v>
      </c>
      <c r="P24" s="2">
        <v>45934.916666666664</v>
      </c>
      <c r="Q24" t="s">
        <v>116</v>
      </c>
      <c r="R24">
        <v>10</v>
      </c>
      <c r="S24" t="s">
        <v>35</v>
      </c>
      <c r="T24">
        <f>IF(orders[[#This Row],[Status]]="Completed",1,0)</f>
        <v>1</v>
      </c>
      <c r="U24">
        <f>IF(orders[[#This Row],[Status]]="Pending",1,0)</f>
        <v>0</v>
      </c>
      <c r="V24">
        <f>IF(orders[[#This Row],[Status]]="Delayed",1,0)</f>
        <v>0</v>
      </c>
      <c r="W24">
        <f>IF(orders[[#This Row],[Status]]="Cancelled",1,0)</f>
        <v>0</v>
      </c>
    </row>
    <row r="25" spans="1:23" x14ac:dyDescent="0.35">
      <c r="A25" t="s">
        <v>123</v>
      </c>
      <c r="B25" s="1">
        <v>45818</v>
      </c>
      <c r="C25" t="s">
        <v>124</v>
      </c>
      <c r="D25" t="s">
        <v>51</v>
      </c>
      <c r="E25" t="s">
        <v>52</v>
      </c>
      <c r="F25" t="s">
        <v>32</v>
      </c>
      <c r="G25" t="s">
        <v>53</v>
      </c>
      <c r="H25" s="7">
        <v>5</v>
      </c>
      <c r="I25" s="4">
        <v>18786.45</v>
      </c>
      <c r="J25" s="23">
        <v>0.05</v>
      </c>
      <c r="K25" s="4">
        <v>17847.13</v>
      </c>
      <c r="L25" s="4">
        <v>12112.94</v>
      </c>
      <c r="M25" s="4">
        <v>5734.19</v>
      </c>
      <c r="N25" t="s">
        <v>85</v>
      </c>
      <c r="O25" s="7">
        <v>61</v>
      </c>
      <c r="P25" s="2">
        <v>45820.541666666664</v>
      </c>
      <c r="Q25" t="s">
        <v>99</v>
      </c>
      <c r="R25">
        <v>6</v>
      </c>
      <c r="S25" t="s">
        <v>27</v>
      </c>
      <c r="T25">
        <f>IF(orders[[#This Row],[Status]]="Completed",1,0)</f>
        <v>0</v>
      </c>
      <c r="U25">
        <f>IF(orders[[#This Row],[Status]]="Pending",1,0)</f>
        <v>0</v>
      </c>
      <c r="V25">
        <f>IF(orders[[#This Row],[Status]]="Delayed",1,0)</f>
        <v>1</v>
      </c>
      <c r="W25">
        <f>IF(orders[[#This Row],[Status]]="Cancelled",1,0)</f>
        <v>0</v>
      </c>
    </row>
    <row r="26" spans="1:23" x14ac:dyDescent="0.35">
      <c r="A26" t="s">
        <v>125</v>
      </c>
      <c r="B26" s="1">
        <v>45971</v>
      </c>
      <c r="C26" t="s">
        <v>126</v>
      </c>
      <c r="D26" t="s">
        <v>58</v>
      </c>
      <c r="E26" t="s">
        <v>31</v>
      </c>
      <c r="F26" t="s">
        <v>39</v>
      </c>
      <c r="G26" t="s">
        <v>40</v>
      </c>
      <c r="H26" s="7">
        <v>7</v>
      </c>
      <c r="I26" s="4">
        <v>59444.42</v>
      </c>
      <c r="J26" s="23">
        <v>0.1</v>
      </c>
      <c r="K26" s="4">
        <v>53499.98</v>
      </c>
      <c r="L26" s="4">
        <v>36603.61</v>
      </c>
      <c r="M26" s="4">
        <v>16896.37</v>
      </c>
      <c r="N26" t="s">
        <v>25</v>
      </c>
      <c r="O26" s="7">
        <v>36</v>
      </c>
      <c r="P26" s="2">
        <v>45972.5</v>
      </c>
      <c r="Q26" t="s">
        <v>86</v>
      </c>
      <c r="R26">
        <v>11</v>
      </c>
      <c r="S26" t="s">
        <v>35</v>
      </c>
      <c r="T26">
        <f>IF(orders[[#This Row],[Status]]="Completed",1,0)</f>
        <v>1</v>
      </c>
      <c r="U26">
        <f>IF(orders[[#This Row],[Status]]="Pending",1,0)</f>
        <v>0</v>
      </c>
      <c r="V26">
        <f>IF(orders[[#This Row],[Status]]="Delayed",1,0)</f>
        <v>0</v>
      </c>
      <c r="W26">
        <f>IF(orders[[#This Row],[Status]]="Cancelled",1,0)</f>
        <v>0</v>
      </c>
    </row>
    <row r="27" spans="1:23" x14ac:dyDescent="0.35">
      <c r="A27" t="s">
        <v>127</v>
      </c>
      <c r="B27" s="1">
        <v>45679</v>
      </c>
      <c r="C27" t="s">
        <v>128</v>
      </c>
      <c r="D27" t="s">
        <v>63</v>
      </c>
      <c r="E27" t="s">
        <v>92</v>
      </c>
      <c r="F27" t="s">
        <v>72</v>
      </c>
      <c r="G27" t="s">
        <v>129</v>
      </c>
      <c r="H27" s="7">
        <v>7</v>
      </c>
      <c r="I27" s="4">
        <v>13928.11</v>
      </c>
      <c r="J27" s="23">
        <v>0.1</v>
      </c>
      <c r="K27" s="4">
        <v>12535.3</v>
      </c>
      <c r="L27" s="4">
        <v>9281.1299999999992</v>
      </c>
      <c r="M27" s="4">
        <v>3254.17</v>
      </c>
      <c r="N27" t="s">
        <v>25</v>
      </c>
      <c r="O27" s="7">
        <v>5</v>
      </c>
      <c r="P27" s="2">
        <v>45679.208333333336</v>
      </c>
      <c r="Q27" t="s">
        <v>65</v>
      </c>
      <c r="R27">
        <v>1</v>
      </c>
      <c r="S27" t="s">
        <v>55</v>
      </c>
      <c r="T27">
        <f>IF(orders[[#This Row],[Status]]="Completed",1,0)</f>
        <v>1</v>
      </c>
      <c r="U27">
        <f>IF(orders[[#This Row],[Status]]="Pending",1,0)</f>
        <v>0</v>
      </c>
      <c r="V27">
        <f>IF(orders[[#This Row],[Status]]="Delayed",1,0)</f>
        <v>0</v>
      </c>
      <c r="W27">
        <f>IF(orders[[#This Row],[Status]]="Cancelled",1,0)</f>
        <v>0</v>
      </c>
    </row>
    <row r="28" spans="1:23" x14ac:dyDescent="0.35">
      <c r="A28" t="s">
        <v>130</v>
      </c>
      <c r="B28" s="1">
        <v>45910</v>
      </c>
      <c r="C28" t="s">
        <v>131</v>
      </c>
      <c r="D28" t="s">
        <v>51</v>
      </c>
      <c r="E28" t="s">
        <v>52</v>
      </c>
      <c r="F28" t="s">
        <v>23</v>
      </c>
      <c r="G28" t="s">
        <v>122</v>
      </c>
      <c r="H28" s="7">
        <v>1</v>
      </c>
      <c r="I28" s="4">
        <v>1011.86</v>
      </c>
      <c r="J28" s="23">
        <v>0.2</v>
      </c>
      <c r="K28" s="4">
        <v>809.49</v>
      </c>
      <c r="L28" s="4">
        <v>485.87</v>
      </c>
      <c r="M28" s="4">
        <v>323.62</v>
      </c>
      <c r="N28" t="s">
        <v>85</v>
      </c>
      <c r="O28" s="7">
        <v>88</v>
      </c>
      <c r="P28" s="2">
        <v>45913.666666666664</v>
      </c>
      <c r="Q28" t="s">
        <v>41</v>
      </c>
      <c r="R28">
        <v>9</v>
      </c>
      <c r="S28" t="s">
        <v>42</v>
      </c>
      <c r="T28">
        <f>IF(orders[[#This Row],[Status]]="Completed",1,0)</f>
        <v>0</v>
      </c>
      <c r="U28">
        <f>IF(orders[[#This Row],[Status]]="Pending",1,0)</f>
        <v>0</v>
      </c>
      <c r="V28">
        <f>IF(orders[[#This Row],[Status]]="Delayed",1,0)</f>
        <v>1</v>
      </c>
      <c r="W28">
        <f>IF(orders[[#This Row],[Status]]="Cancelled",1,0)</f>
        <v>0</v>
      </c>
    </row>
    <row r="29" spans="1:23" x14ac:dyDescent="0.35">
      <c r="A29" t="s">
        <v>132</v>
      </c>
      <c r="B29" s="1">
        <v>45893</v>
      </c>
      <c r="C29" t="s">
        <v>133</v>
      </c>
      <c r="D29" t="s">
        <v>63</v>
      </c>
      <c r="E29" t="s">
        <v>59</v>
      </c>
      <c r="F29" t="s">
        <v>23</v>
      </c>
      <c r="G29" t="s">
        <v>69</v>
      </c>
      <c r="H29" s="7">
        <v>4</v>
      </c>
      <c r="I29" s="4">
        <v>20140.16</v>
      </c>
      <c r="J29" s="23">
        <v>0.2</v>
      </c>
      <c r="K29" s="4">
        <v>16112.13</v>
      </c>
      <c r="L29" s="4">
        <v>9800.8799999999992</v>
      </c>
      <c r="M29" s="4">
        <v>6311.25</v>
      </c>
      <c r="N29" t="s">
        <v>25</v>
      </c>
      <c r="O29" s="7">
        <v>48</v>
      </c>
      <c r="P29" s="2">
        <v>45895</v>
      </c>
      <c r="Q29" t="s">
        <v>80</v>
      </c>
      <c r="R29">
        <v>8</v>
      </c>
      <c r="S29" t="s">
        <v>42</v>
      </c>
      <c r="T29">
        <f>IF(orders[[#This Row],[Status]]="Completed",1,0)</f>
        <v>1</v>
      </c>
      <c r="U29">
        <f>IF(orders[[#This Row],[Status]]="Pending",1,0)</f>
        <v>0</v>
      </c>
      <c r="V29">
        <f>IF(orders[[#This Row],[Status]]="Delayed",1,0)</f>
        <v>0</v>
      </c>
      <c r="W29">
        <f>IF(orders[[#This Row],[Status]]="Cancelled",1,0)</f>
        <v>0</v>
      </c>
    </row>
    <row r="30" spans="1:23" x14ac:dyDescent="0.35">
      <c r="A30" t="s">
        <v>134</v>
      </c>
      <c r="B30" s="1">
        <v>46002</v>
      </c>
      <c r="C30" t="s">
        <v>135</v>
      </c>
      <c r="D30" t="s">
        <v>68</v>
      </c>
      <c r="E30" t="s">
        <v>59</v>
      </c>
      <c r="F30" t="s">
        <v>23</v>
      </c>
      <c r="G30" t="s">
        <v>136</v>
      </c>
      <c r="H30" s="7">
        <v>4</v>
      </c>
      <c r="I30" s="4">
        <v>16917.32</v>
      </c>
      <c r="J30" s="23">
        <v>0.25</v>
      </c>
      <c r="K30" s="4">
        <v>12687.99</v>
      </c>
      <c r="L30" s="4">
        <v>8173.21</v>
      </c>
      <c r="M30" s="4">
        <v>4514.78</v>
      </c>
      <c r="N30" t="s">
        <v>98</v>
      </c>
      <c r="O30" s="7">
        <v>14</v>
      </c>
      <c r="P30" s="2">
        <v>46002.583333333336</v>
      </c>
      <c r="Q30" t="s">
        <v>34</v>
      </c>
      <c r="R30">
        <v>12</v>
      </c>
      <c r="S30" t="s">
        <v>35</v>
      </c>
      <c r="T30">
        <f>IF(orders[[#This Row],[Status]]="Completed",1,0)</f>
        <v>0</v>
      </c>
      <c r="U30">
        <f>IF(orders[[#This Row],[Status]]="Pending",1,0)</f>
        <v>1</v>
      </c>
      <c r="V30">
        <f>IF(orders[[#This Row],[Status]]="Delayed",1,0)</f>
        <v>0</v>
      </c>
      <c r="W30">
        <f>IF(orders[[#This Row],[Status]]="Cancelled",1,0)</f>
        <v>0</v>
      </c>
    </row>
    <row r="31" spans="1:23" x14ac:dyDescent="0.35">
      <c r="A31" t="s">
        <v>137</v>
      </c>
      <c r="B31" s="1">
        <v>45706</v>
      </c>
      <c r="C31" t="s">
        <v>138</v>
      </c>
      <c r="D31" t="s">
        <v>45</v>
      </c>
      <c r="E31" t="s">
        <v>46</v>
      </c>
      <c r="F31" t="s">
        <v>23</v>
      </c>
      <c r="G31" t="s">
        <v>69</v>
      </c>
      <c r="H31" s="7">
        <v>7</v>
      </c>
      <c r="I31" s="4">
        <v>31689.279999999999</v>
      </c>
      <c r="J31" s="23">
        <v>0</v>
      </c>
      <c r="K31" s="4">
        <v>31689.279999999999</v>
      </c>
      <c r="L31" s="4">
        <v>27425.08</v>
      </c>
      <c r="M31" s="4">
        <v>4264.2</v>
      </c>
      <c r="N31" t="s">
        <v>85</v>
      </c>
      <c r="O31" s="7">
        <v>96</v>
      </c>
      <c r="P31" s="2">
        <v>45710</v>
      </c>
      <c r="Q31" t="s">
        <v>139</v>
      </c>
      <c r="R31">
        <v>2</v>
      </c>
      <c r="S31" t="s">
        <v>55</v>
      </c>
      <c r="T31">
        <f>IF(orders[[#This Row],[Status]]="Completed",1,0)</f>
        <v>0</v>
      </c>
      <c r="U31">
        <f>IF(orders[[#This Row],[Status]]="Pending",1,0)</f>
        <v>0</v>
      </c>
      <c r="V31">
        <f>IF(orders[[#This Row],[Status]]="Delayed",1,0)</f>
        <v>1</v>
      </c>
      <c r="W31">
        <f>IF(orders[[#This Row],[Status]]="Cancelled",1,0)</f>
        <v>0</v>
      </c>
    </row>
    <row r="32" spans="1:23" x14ac:dyDescent="0.35">
      <c r="A32" t="s">
        <v>140</v>
      </c>
      <c r="B32" s="1">
        <v>45716</v>
      </c>
      <c r="C32" t="s">
        <v>141</v>
      </c>
      <c r="D32" t="s">
        <v>77</v>
      </c>
      <c r="E32" t="s">
        <v>52</v>
      </c>
      <c r="F32" t="s">
        <v>23</v>
      </c>
      <c r="G32" t="s">
        <v>136</v>
      </c>
      <c r="H32" s="7">
        <v>2</v>
      </c>
      <c r="I32" s="4">
        <v>11437.82</v>
      </c>
      <c r="J32" s="23">
        <v>0.2</v>
      </c>
      <c r="K32" s="4">
        <v>9150.26</v>
      </c>
      <c r="L32" s="4">
        <v>7249.35</v>
      </c>
      <c r="M32" s="4">
        <v>1900.91</v>
      </c>
      <c r="N32" t="s">
        <v>25</v>
      </c>
      <c r="O32" s="7">
        <v>33</v>
      </c>
      <c r="P32" s="2">
        <v>45717.375</v>
      </c>
      <c r="Q32" t="s">
        <v>139</v>
      </c>
      <c r="R32">
        <v>2</v>
      </c>
      <c r="S32" t="s">
        <v>55</v>
      </c>
      <c r="T32">
        <f>IF(orders[[#This Row],[Status]]="Completed",1,0)</f>
        <v>1</v>
      </c>
      <c r="U32">
        <f>IF(orders[[#This Row],[Status]]="Pending",1,0)</f>
        <v>0</v>
      </c>
      <c r="V32">
        <f>IF(orders[[#This Row],[Status]]="Delayed",1,0)</f>
        <v>0</v>
      </c>
      <c r="W32">
        <f>IF(orders[[#This Row],[Status]]="Cancelled",1,0)</f>
        <v>0</v>
      </c>
    </row>
    <row r="33" spans="1:23" x14ac:dyDescent="0.35">
      <c r="A33" t="s">
        <v>142</v>
      </c>
      <c r="B33" s="1">
        <v>45827</v>
      </c>
      <c r="C33" t="s">
        <v>143</v>
      </c>
      <c r="D33" t="s">
        <v>58</v>
      </c>
      <c r="E33" t="s">
        <v>31</v>
      </c>
      <c r="F33" t="s">
        <v>39</v>
      </c>
      <c r="G33" t="s">
        <v>114</v>
      </c>
      <c r="H33" s="7">
        <v>2</v>
      </c>
      <c r="I33" s="4">
        <v>4761.3</v>
      </c>
      <c r="J33" s="23">
        <v>0.05</v>
      </c>
      <c r="K33" s="4">
        <v>4523.2299999999996</v>
      </c>
      <c r="L33" s="4">
        <v>3475.46</v>
      </c>
      <c r="M33" s="4">
        <v>1047.77</v>
      </c>
      <c r="N33" t="s">
        <v>25</v>
      </c>
      <c r="O33" s="7">
        <v>27</v>
      </c>
      <c r="P33" s="2">
        <v>45828.125</v>
      </c>
      <c r="Q33" t="s">
        <v>99</v>
      </c>
      <c r="R33">
        <v>6</v>
      </c>
      <c r="S33" t="s">
        <v>27</v>
      </c>
      <c r="T33">
        <f>IF(orders[[#This Row],[Status]]="Completed",1,0)</f>
        <v>1</v>
      </c>
      <c r="U33">
        <f>IF(orders[[#This Row],[Status]]="Pending",1,0)</f>
        <v>0</v>
      </c>
      <c r="V33">
        <f>IF(orders[[#This Row],[Status]]="Delayed",1,0)</f>
        <v>0</v>
      </c>
      <c r="W33">
        <f>IF(orders[[#This Row],[Status]]="Cancelled",1,0)</f>
        <v>0</v>
      </c>
    </row>
    <row r="34" spans="1:23" x14ac:dyDescent="0.35">
      <c r="A34" t="s">
        <v>144</v>
      </c>
      <c r="B34" s="1">
        <v>45845</v>
      </c>
      <c r="C34" t="s">
        <v>145</v>
      </c>
      <c r="D34" t="s">
        <v>58</v>
      </c>
      <c r="E34" t="s">
        <v>31</v>
      </c>
      <c r="F34" t="s">
        <v>72</v>
      </c>
      <c r="G34" t="s">
        <v>146</v>
      </c>
      <c r="H34" s="7">
        <v>6</v>
      </c>
      <c r="I34" s="4">
        <v>46524.3</v>
      </c>
      <c r="J34" s="23">
        <v>0.1</v>
      </c>
      <c r="K34" s="4">
        <v>41871.870000000003</v>
      </c>
      <c r="L34" s="4">
        <v>34318.019999999997</v>
      </c>
      <c r="M34" s="4">
        <v>7553.85</v>
      </c>
      <c r="N34" t="s">
        <v>85</v>
      </c>
      <c r="O34" s="7">
        <v>64</v>
      </c>
      <c r="P34" s="2">
        <v>45847.666666666664</v>
      </c>
      <c r="Q34" t="s">
        <v>60</v>
      </c>
      <c r="R34">
        <v>7</v>
      </c>
      <c r="S34" t="s">
        <v>42</v>
      </c>
      <c r="T34">
        <f>IF(orders[[#This Row],[Status]]="Completed",1,0)</f>
        <v>0</v>
      </c>
      <c r="U34">
        <f>IF(orders[[#This Row],[Status]]="Pending",1,0)</f>
        <v>0</v>
      </c>
      <c r="V34">
        <f>IF(orders[[#This Row],[Status]]="Delayed",1,0)</f>
        <v>1</v>
      </c>
      <c r="W34">
        <f>IF(orders[[#This Row],[Status]]="Cancelled",1,0)</f>
        <v>0</v>
      </c>
    </row>
    <row r="35" spans="1:23" x14ac:dyDescent="0.35">
      <c r="A35" t="s">
        <v>147</v>
      </c>
      <c r="B35" s="1">
        <v>45928</v>
      </c>
      <c r="C35" t="s">
        <v>148</v>
      </c>
      <c r="D35" t="s">
        <v>149</v>
      </c>
      <c r="E35" t="s">
        <v>59</v>
      </c>
      <c r="F35" t="s">
        <v>23</v>
      </c>
      <c r="G35" t="s">
        <v>110</v>
      </c>
      <c r="H35" s="7">
        <v>6</v>
      </c>
      <c r="I35" s="4">
        <v>22727.16</v>
      </c>
      <c r="J35" s="23">
        <v>0.1</v>
      </c>
      <c r="K35" s="4">
        <v>20454.439999999999</v>
      </c>
      <c r="L35" s="4">
        <v>12111.08</v>
      </c>
      <c r="M35" s="4">
        <v>8343.36</v>
      </c>
      <c r="N35" t="s">
        <v>48</v>
      </c>
      <c r="O35" s="7">
        <v>13</v>
      </c>
      <c r="P35" s="2">
        <v>45928.541666666664</v>
      </c>
      <c r="Q35" t="s">
        <v>41</v>
      </c>
      <c r="R35">
        <v>9</v>
      </c>
      <c r="S35" t="s">
        <v>42</v>
      </c>
      <c r="T35">
        <f>IF(orders[[#This Row],[Status]]="Completed",1,0)</f>
        <v>0</v>
      </c>
      <c r="U35">
        <f>IF(orders[[#This Row],[Status]]="Pending",1,0)</f>
        <v>0</v>
      </c>
      <c r="V35">
        <f>IF(orders[[#This Row],[Status]]="Delayed",1,0)</f>
        <v>0</v>
      </c>
      <c r="W35">
        <f>IF(orders[[#This Row],[Status]]="Cancelled",1,0)</f>
        <v>1</v>
      </c>
    </row>
    <row r="36" spans="1:23" x14ac:dyDescent="0.35">
      <c r="A36" t="s">
        <v>150</v>
      </c>
      <c r="B36" s="1">
        <v>45847</v>
      </c>
      <c r="C36" t="s">
        <v>151</v>
      </c>
      <c r="D36" t="s">
        <v>38</v>
      </c>
      <c r="E36" t="s">
        <v>59</v>
      </c>
      <c r="F36" t="s">
        <v>83</v>
      </c>
      <c r="G36" t="s">
        <v>152</v>
      </c>
      <c r="H36" s="7">
        <v>2</v>
      </c>
      <c r="I36" s="4">
        <v>2455.7399999999998</v>
      </c>
      <c r="J36" s="23">
        <v>0</v>
      </c>
      <c r="K36" s="4">
        <v>2455.7399999999998</v>
      </c>
      <c r="L36" s="4">
        <v>2047.06</v>
      </c>
      <c r="M36" s="4">
        <v>408.68</v>
      </c>
      <c r="N36" t="s">
        <v>25</v>
      </c>
      <c r="O36" s="7">
        <v>44</v>
      </c>
      <c r="P36" s="2">
        <v>45848.833333333336</v>
      </c>
      <c r="Q36" t="s">
        <v>60</v>
      </c>
      <c r="R36">
        <v>7</v>
      </c>
      <c r="S36" t="s">
        <v>42</v>
      </c>
      <c r="T36">
        <f>IF(orders[[#This Row],[Status]]="Completed",1,0)</f>
        <v>1</v>
      </c>
      <c r="U36">
        <f>IF(orders[[#This Row],[Status]]="Pending",1,0)</f>
        <v>0</v>
      </c>
      <c r="V36">
        <f>IF(orders[[#This Row],[Status]]="Delayed",1,0)</f>
        <v>0</v>
      </c>
      <c r="W36">
        <f>IF(orders[[#This Row],[Status]]="Cancelled",1,0)</f>
        <v>0</v>
      </c>
    </row>
    <row r="37" spans="1:23" x14ac:dyDescent="0.35">
      <c r="A37" t="s">
        <v>153</v>
      </c>
      <c r="B37" s="1">
        <v>45832</v>
      </c>
      <c r="C37" t="s">
        <v>154</v>
      </c>
      <c r="D37" t="s">
        <v>68</v>
      </c>
      <c r="E37" t="s">
        <v>92</v>
      </c>
      <c r="F37" t="s">
        <v>83</v>
      </c>
      <c r="G37" t="s">
        <v>155</v>
      </c>
      <c r="H37" s="7">
        <v>7</v>
      </c>
      <c r="I37" s="4">
        <v>44437.33</v>
      </c>
      <c r="J37" s="23">
        <v>0.2</v>
      </c>
      <c r="K37" s="4">
        <v>35549.86</v>
      </c>
      <c r="L37" s="4">
        <v>26530.68</v>
      </c>
      <c r="M37" s="4">
        <v>9019.18</v>
      </c>
      <c r="N37" t="s">
        <v>98</v>
      </c>
      <c r="O37" s="7">
        <v>20</v>
      </c>
      <c r="P37" s="2">
        <v>45832.833333333336</v>
      </c>
      <c r="Q37" t="s">
        <v>99</v>
      </c>
      <c r="R37">
        <v>6</v>
      </c>
      <c r="S37" t="s">
        <v>27</v>
      </c>
      <c r="T37">
        <f>IF(orders[[#This Row],[Status]]="Completed",1,0)</f>
        <v>0</v>
      </c>
      <c r="U37">
        <f>IF(orders[[#This Row],[Status]]="Pending",1,0)</f>
        <v>1</v>
      </c>
      <c r="V37">
        <f>IF(orders[[#This Row],[Status]]="Delayed",1,0)</f>
        <v>0</v>
      </c>
      <c r="W37">
        <f>IF(orders[[#This Row],[Status]]="Cancelled",1,0)</f>
        <v>0</v>
      </c>
    </row>
    <row r="38" spans="1:23" x14ac:dyDescent="0.35">
      <c r="A38" t="s">
        <v>156</v>
      </c>
      <c r="B38" s="1">
        <v>45708</v>
      </c>
      <c r="C38" t="s">
        <v>157</v>
      </c>
      <c r="D38" t="s">
        <v>68</v>
      </c>
      <c r="E38" t="s">
        <v>52</v>
      </c>
      <c r="F38" t="s">
        <v>72</v>
      </c>
      <c r="G38" t="s">
        <v>129</v>
      </c>
      <c r="H38" s="7">
        <v>7</v>
      </c>
      <c r="I38" s="4">
        <v>38639.440000000002</v>
      </c>
      <c r="J38" s="23">
        <v>0</v>
      </c>
      <c r="K38" s="4">
        <v>38639.440000000002</v>
      </c>
      <c r="L38" s="4">
        <v>25527.48</v>
      </c>
      <c r="M38" s="4">
        <v>13111.96</v>
      </c>
      <c r="N38" t="s">
        <v>25</v>
      </c>
      <c r="O38" s="7">
        <v>21</v>
      </c>
      <c r="P38" s="2">
        <v>45708.875</v>
      </c>
      <c r="Q38" t="s">
        <v>139</v>
      </c>
      <c r="R38">
        <v>2</v>
      </c>
      <c r="S38" t="s">
        <v>55</v>
      </c>
      <c r="T38">
        <f>IF(orders[[#This Row],[Status]]="Completed",1,0)</f>
        <v>1</v>
      </c>
      <c r="U38">
        <f>IF(orders[[#This Row],[Status]]="Pending",1,0)</f>
        <v>0</v>
      </c>
      <c r="V38">
        <f>IF(orders[[#This Row],[Status]]="Delayed",1,0)</f>
        <v>0</v>
      </c>
      <c r="W38">
        <f>IF(orders[[#This Row],[Status]]="Cancelled",1,0)</f>
        <v>0</v>
      </c>
    </row>
    <row r="39" spans="1:23" x14ac:dyDescent="0.35">
      <c r="A39" t="s">
        <v>158</v>
      </c>
      <c r="B39" s="1">
        <v>46021</v>
      </c>
      <c r="C39" t="s">
        <v>159</v>
      </c>
      <c r="D39" t="s">
        <v>21</v>
      </c>
      <c r="E39" t="s">
        <v>31</v>
      </c>
      <c r="F39" t="s">
        <v>32</v>
      </c>
      <c r="G39" t="s">
        <v>33</v>
      </c>
      <c r="H39" s="7">
        <v>6</v>
      </c>
      <c r="I39" s="4">
        <v>16718.759999999998</v>
      </c>
      <c r="J39" s="23">
        <v>0.1</v>
      </c>
      <c r="K39" s="4">
        <v>15046.88</v>
      </c>
      <c r="L39" s="4">
        <v>12326.89</v>
      </c>
      <c r="M39" s="4">
        <v>2719.99</v>
      </c>
      <c r="N39" t="s">
        <v>25</v>
      </c>
      <c r="O39" s="7">
        <v>22</v>
      </c>
      <c r="P39" s="2">
        <v>46021.916666666664</v>
      </c>
      <c r="Q39" t="s">
        <v>34</v>
      </c>
      <c r="R39">
        <v>12</v>
      </c>
      <c r="S39" t="s">
        <v>35</v>
      </c>
      <c r="T39">
        <f>IF(orders[[#This Row],[Status]]="Completed",1,0)</f>
        <v>1</v>
      </c>
      <c r="U39">
        <f>IF(orders[[#This Row],[Status]]="Pending",1,0)</f>
        <v>0</v>
      </c>
      <c r="V39">
        <f>IF(orders[[#This Row],[Status]]="Delayed",1,0)</f>
        <v>0</v>
      </c>
      <c r="W39">
        <f>IF(orders[[#This Row],[Status]]="Cancelled",1,0)</f>
        <v>0</v>
      </c>
    </row>
    <row r="40" spans="1:23" x14ac:dyDescent="0.35">
      <c r="A40" t="s">
        <v>160</v>
      </c>
      <c r="B40" s="1">
        <v>45712</v>
      </c>
      <c r="C40" t="s">
        <v>161</v>
      </c>
      <c r="D40" t="s">
        <v>63</v>
      </c>
      <c r="E40" t="s">
        <v>78</v>
      </c>
      <c r="F40" t="s">
        <v>32</v>
      </c>
      <c r="G40" t="s">
        <v>89</v>
      </c>
      <c r="H40" s="7">
        <v>3</v>
      </c>
      <c r="I40" s="4">
        <v>16019.04</v>
      </c>
      <c r="J40" s="23">
        <v>0.15</v>
      </c>
      <c r="K40" s="4">
        <v>13616.18</v>
      </c>
      <c r="L40" s="4">
        <v>11095.09</v>
      </c>
      <c r="M40" s="4">
        <v>2521.09</v>
      </c>
      <c r="N40" t="s">
        <v>25</v>
      </c>
      <c r="O40" s="7">
        <v>10</v>
      </c>
      <c r="P40" s="2">
        <v>45712.416666666664</v>
      </c>
      <c r="Q40" t="s">
        <v>139</v>
      </c>
      <c r="R40">
        <v>2</v>
      </c>
      <c r="S40" t="s">
        <v>55</v>
      </c>
      <c r="T40">
        <f>IF(orders[[#This Row],[Status]]="Completed",1,0)</f>
        <v>1</v>
      </c>
      <c r="U40">
        <f>IF(orders[[#This Row],[Status]]="Pending",1,0)</f>
        <v>0</v>
      </c>
      <c r="V40">
        <f>IF(orders[[#This Row],[Status]]="Delayed",1,0)</f>
        <v>0</v>
      </c>
      <c r="W40">
        <f>IF(orders[[#This Row],[Status]]="Cancelled",1,0)</f>
        <v>0</v>
      </c>
    </row>
    <row r="41" spans="1:23" x14ac:dyDescent="0.35">
      <c r="A41" t="s">
        <v>162</v>
      </c>
      <c r="B41" s="1">
        <v>45901</v>
      </c>
      <c r="C41" t="s">
        <v>163</v>
      </c>
      <c r="D41" t="s">
        <v>38</v>
      </c>
      <c r="E41" t="s">
        <v>92</v>
      </c>
      <c r="F41" t="s">
        <v>32</v>
      </c>
      <c r="G41" t="s">
        <v>53</v>
      </c>
      <c r="H41" s="7">
        <v>7</v>
      </c>
      <c r="I41" s="4">
        <v>13900.95</v>
      </c>
      <c r="J41" s="23">
        <v>0.15</v>
      </c>
      <c r="K41" s="4">
        <v>11815.81</v>
      </c>
      <c r="L41" s="4">
        <v>9796.2999999999993</v>
      </c>
      <c r="M41" s="4">
        <v>2019.51</v>
      </c>
      <c r="N41" t="s">
        <v>98</v>
      </c>
      <c r="O41" s="7">
        <v>0</v>
      </c>
      <c r="P41" s="2">
        <v>45901</v>
      </c>
      <c r="Q41" t="s">
        <v>41</v>
      </c>
      <c r="R41">
        <v>9</v>
      </c>
      <c r="S41" t="s">
        <v>42</v>
      </c>
      <c r="T41">
        <f>IF(orders[[#This Row],[Status]]="Completed",1,0)</f>
        <v>0</v>
      </c>
      <c r="U41">
        <f>IF(orders[[#This Row],[Status]]="Pending",1,0)</f>
        <v>1</v>
      </c>
      <c r="V41">
        <f>IF(orders[[#This Row],[Status]]="Delayed",1,0)</f>
        <v>0</v>
      </c>
      <c r="W41">
        <f>IF(orders[[#This Row],[Status]]="Cancelled",1,0)</f>
        <v>0</v>
      </c>
    </row>
    <row r="42" spans="1:23" x14ac:dyDescent="0.35">
      <c r="A42" t="s">
        <v>164</v>
      </c>
      <c r="B42" s="1">
        <v>45977</v>
      </c>
      <c r="C42" t="s">
        <v>165</v>
      </c>
      <c r="D42" t="s">
        <v>45</v>
      </c>
      <c r="E42" t="s">
        <v>31</v>
      </c>
      <c r="F42" t="s">
        <v>83</v>
      </c>
      <c r="G42" t="s">
        <v>84</v>
      </c>
      <c r="H42" s="7">
        <v>2</v>
      </c>
      <c r="I42" s="4">
        <v>7728.82</v>
      </c>
      <c r="J42" s="23">
        <v>0</v>
      </c>
      <c r="K42" s="4">
        <v>7728.82</v>
      </c>
      <c r="L42" s="4">
        <v>4545.4799999999996</v>
      </c>
      <c r="M42" s="4">
        <v>3183.34</v>
      </c>
      <c r="N42" t="s">
        <v>25</v>
      </c>
      <c r="O42" s="7">
        <v>27</v>
      </c>
      <c r="P42" s="2">
        <v>45978.125</v>
      </c>
      <c r="Q42" t="s">
        <v>86</v>
      </c>
      <c r="R42">
        <v>11</v>
      </c>
      <c r="S42" t="s">
        <v>35</v>
      </c>
      <c r="T42">
        <f>IF(orders[[#This Row],[Status]]="Completed",1,0)</f>
        <v>1</v>
      </c>
      <c r="U42">
        <f>IF(orders[[#This Row],[Status]]="Pending",1,0)</f>
        <v>0</v>
      </c>
      <c r="V42">
        <f>IF(orders[[#This Row],[Status]]="Delayed",1,0)</f>
        <v>0</v>
      </c>
      <c r="W42">
        <f>IF(orders[[#This Row],[Status]]="Cancelled",1,0)</f>
        <v>0</v>
      </c>
    </row>
    <row r="43" spans="1:23" x14ac:dyDescent="0.35">
      <c r="A43" t="s">
        <v>166</v>
      </c>
      <c r="B43" s="1">
        <v>45788</v>
      </c>
      <c r="C43" t="s">
        <v>167</v>
      </c>
      <c r="D43" t="s">
        <v>45</v>
      </c>
      <c r="E43" t="s">
        <v>59</v>
      </c>
      <c r="F43" t="s">
        <v>32</v>
      </c>
      <c r="G43" t="s">
        <v>64</v>
      </c>
      <c r="H43" s="7">
        <v>4</v>
      </c>
      <c r="I43" s="4">
        <v>30640.36</v>
      </c>
      <c r="J43" s="23">
        <v>0.05</v>
      </c>
      <c r="K43" s="4">
        <v>29108.34</v>
      </c>
      <c r="L43" s="4">
        <v>25321.03</v>
      </c>
      <c r="M43" s="4">
        <v>3787.31</v>
      </c>
      <c r="N43" t="s">
        <v>25</v>
      </c>
      <c r="O43" s="7">
        <v>18</v>
      </c>
      <c r="P43" s="2">
        <v>45788.75</v>
      </c>
      <c r="Q43" t="s">
        <v>74</v>
      </c>
      <c r="R43">
        <v>5</v>
      </c>
      <c r="S43" t="s">
        <v>27</v>
      </c>
      <c r="T43">
        <f>IF(orders[[#This Row],[Status]]="Completed",1,0)</f>
        <v>1</v>
      </c>
      <c r="U43">
        <f>IF(orders[[#This Row],[Status]]="Pending",1,0)</f>
        <v>0</v>
      </c>
      <c r="V43">
        <f>IF(orders[[#This Row],[Status]]="Delayed",1,0)</f>
        <v>0</v>
      </c>
      <c r="W43">
        <f>IF(orders[[#This Row],[Status]]="Cancelled",1,0)</f>
        <v>0</v>
      </c>
    </row>
    <row r="44" spans="1:23" x14ac:dyDescent="0.35">
      <c r="A44" t="s">
        <v>168</v>
      </c>
      <c r="B44" s="1">
        <v>45964</v>
      </c>
      <c r="C44" t="s">
        <v>169</v>
      </c>
      <c r="D44" t="s">
        <v>68</v>
      </c>
      <c r="E44" t="s">
        <v>52</v>
      </c>
      <c r="F44" t="s">
        <v>39</v>
      </c>
      <c r="G44" t="s">
        <v>47</v>
      </c>
      <c r="H44" s="7">
        <v>7</v>
      </c>
      <c r="I44" s="4">
        <v>8855.07</v>
      </c>
      <c r="J44" s="23">
        <v>0.15</v>
      </c>
      <c r="K44" s="4">
        <v>7526.81</v>
      </c>
      <c r="L44" s="4">
        <v>6523.31</v>
      </c>
      <c r="M44" s="4">
        <v>1003.5</v>
      </c>
      <c r="N44" t="s">
        <v>25</v>
      </c>
      <c r="O44" s="7">
        <v>44</v>
      </c>
      <c r="P44" s="2">
        <v>45965.833333333336</v>
      </c>
      <c r="Q44" t="s">
        <v>86</v>
      </c>
      <c r="R44">
        <v>11</v>
      </c>
      <c r="S44" t="s">
        <v>35</v>
      </c>
      <c r="T44">
        <f>IF(orders[[#This Row],[Status]]="Completed",1,0)</f>
        <v>1</v>
      </c>
      <c r="U44">
        <f>IF(orders[[#This Row],[Status]]="Pending",1,0)</f>
        <v>0</v>
      </c>
      <c r="V44">
        <f>IF(orders[[#This Row],[Status]]="Delayed",1,0)</f>
        <v>0</v>
      </c>
      <c r="W44">
        <f>IF(orders[[#This Row],[Status]]="Cancelled",1,0)</f>
        <v>0</v>
      </c>
    </row>
    <row r="45" spans="1:23" x14ac:dyDescent="0.35">
      <c r="A45" t="s">
        <v>170</v>
      </c>
      <c r="B45" s="1">
        <v>45792</v>
      </c>
      <c r="C45" t="s">
        <v>171</v>
      </c>
      <c r="D45" t="s">
        <v>45</v>
      </c>
      <c r="E45" t="s">
        <v>113</v>
      </c>
      <c r="F45" t="s">
        <v>23</v>
      </c>
      <c r="G45" t="s">
        <v>136</v>
      </c>
      <c r="H45" s="7">
        <v>7</v>
      </c>
      <c r="I45" s="4">
        <v>23652.44</v>
      </c>
      <c r="J45" s="23">
        <v>0.05</v>
      </c>
      <c r="K45" s="4">
        <v>22469.82</v>
      </c>
      <c r="L45" s="4">
        <v>15009.05</v>
      </c>
      <c r="M45" s="4">
        <v>7460.77</v>
      </c>
      <c r="N45" t="s">
        <v>25</v>
      </c>
      <c r="O45" s="7">
        <v>45</v>
      </c>
      <c r="P45" s="2">
        <v>45793.875</v>
      </c>
      <c r="Q45" t="s">
        <v>74</v>
      </c>
      <c r="R45">
        <v>5</v>
      </c>
      <c r="S45" t="s">
        <v>27</v>
      </c>
      <c r="T45">
        <f>IF(orders[[#This Row],[Status]]="Completed",1,0)</f>
        <v>1</v>
      </c>
      <c r="U45">
        <f>IF(orders[[#This Row],[Status]]="Pending",1,0)</f>
        <v>0</v>
      </c>
      <c r="V45">
        <f>IF(orders[[#This Row],[Status]]="Delayed",1,0)</f>
        <v>0</v>
      </c>
      <c r="W45">
        <f>IF(orders[[#This Row],[Status]]="Cancelled",1,0)</f>
        <v>0</v>
      </c>
    </row>
    <row r="46" spans="1:23" x14ac:dyDescent="0.35">
      <c r="A46" t="s">
        <v>172</v>
      </c>
      <c r="B46" s="1">
        <v>45678</v>
      </c>
      <c r="C46" t="s">
        <v>173</v>
      </c>
      <c r="D46" t="s">
        <v>149</v>
      </c>
      <c r="E46" t="s">
        <v>52</v>
      </c>
      <c r="F46" t="s">
        <v>83</v>
      </c>
      <c r="G46" t="s">
        <v>107</v>
      </c>
      <c r="H46" s="7">
        <v>3</v>
      </c>
      <c r="I46" s="4">
        <v>21019.62</v>
      </c>
      <c r="J46" s="23">
        <v>0.1</v>
      </c>
      <c r="K46" s="4">
        <v>18917.66</v>
      </c>
      <c r="L46" s="4">
        <v>10816.08</v>
      </c>
      <c r="M46" s="4">
        <v>8101.58</v>
      </c>
      <c r="N46" t="s">
        <v>25</v>
      </c>
      <c r="O46" s="7">
        <v>26</v>
      </c>
      <c r="P46" s="2">
        <v>45679.083333333336</v>
      </c>
      <c r="Q46" t="s">
        <v>65</v>
      </c>
      <c r="R46">
        <v>1</v>
      </c>
      <c r="S46" t="s">
        <v>55</v>
      </c>
      <c r="T46">
        <f>IF(orders[[#This Row],[Status]]="Completed",1,0)</f>
        <v>1</v>
      </c>
      <c r="U46">
        <f>IF(orders[[#This Row],[Status]]="Pending",1,0)</f>
        <v>0</v>
      </c>
      <c r="V46">
        <f>IF(orders[[#This Row],[Status]]="Delayed",1,0)</f>
        <v>0</v>
      </c>
      <c r="W46">
        <f>IF(orders[[#This Row],[Status]]="Cancelled",1,0)</f>
        <v>0</v>
      </c>
    </row>
    <row r="47" spans="1:23" x14ac:dyDescent="0.35">
      <c r="A47" t="s">
        <v>174</v>
      </c>
      <c r="B47" s="1">
        <v>45986</v>
      </c>
      <c r="C47" t="s">
        <v>175</v>
      </c>
      <c r="D47" t="s">
        <v>58</v>
      </c>
      <c r="E47" t="s">
        <v>22</v>
      </c>
      <c r="F47" t="s">
        <v>72</v>
      </c>
      <c r="G47" t="s">
        <v>104</v>
      </c>
      <c r="H47" s="7">
        <v>6</v>
      </c>
      <c r="I47" s="4">
        <v>49471.5</v>
      </c>
      <c r="J47" s="23">
        <v>0.05</v>
      </c>
      <c r="K47" s="4">
        <v>46997.919999999998</v>
      </c>
      <c r="L47" s="4">
        <v>28439.77</v>
      </c>
      <c r="M47" s="4">
        <v>18558.150000000001</v>
      </c>
      <c r="N47" t="s">
        <v>98</v>
      </c>
      <c r="O47" s="7">
        <v>1</v>
      </c>
      <c r="P47" s="2">
        <v>45986.041666666664</v>
      </c>
      <c r="Q47" t="s">
        <v>86</v>
      </c>
      <c r="R47">
        <v>11</v>
      </c>
      <c r="S47" t="s">
        <v>35</v>
      </c>
      <c r="T47">
        <f>IF(orders[[#This Row],[Status]]="Completed",1,0)</f>
        <v>0</v>
      </c>
      <c r="U47">
        <f>IF(orders[[#This Row],[Status]]="Pending",1,0)</f>
        <v>1</v>
      </c>
      <c r="V47">
        <f>IF(orders[[#This Row],[Status]]="Delayed",1,0)</f>
        <v>0</v>
      </c>
      <c r="W47">
        <f>IF(orders[[#This Row],[Status]]="Cancelled",1,0)</f>
        <v>0</v>
      </c>
    </row>
    <row r="48" spans="1:23" x14ac:dyDescent="0.35">
      <c r="A48" t="s">
        <v>176</v>
      </c>
      <c r="B48" s="1">
        <v>45824</v>
      </c>
      <c r="C48" t="s">
        <v>177</v>
      </c>
      <c r="D48" t="s">
        <v>30</v>
      </c>
      <c r="E48" t="s">
        <v>78</v>
      </c>
      <c r="F48" t="s">
        <v>72</v>
      </c>
      <c r="G48" t="s">
        <v>73</v>
      </c>
      <c r="H48" s="7">
        <v>7</v>
      </c>
      <c r="I48" s="4">
        <v>27581.96</v>
      </c>
      <c r="J48" s="23">
        <v>0.1</v>
      </c>
      <c r="K48" s="4">
        <v>24823.759999999998</v>
      </c>
      <c r="L48" s="4">
        <v>21786.18</v>
      </c>
      <c r="M48" s="4">
        <v>3037.58</v>
      </c>
      <c r="N48" t="s">
        <v>25</v>
      </c>
      <c r="O48" s="7">
        <v>41</v>
      </c>
      <c r="P48" s="2">
        <v>45825.708333333336</v>
      </c>
      <c r="Q48" t="s">
        <v>99</v>
      </c>
      <c r="R48">
        <v>6</v>
      </c>
      <c r="S48" t="s">
        <v>27</v>
      </c>
      <c r="T48">
        <f>IF(orders[[#This Row],[Status]]="Completed",1,0)</f>
        <v>1</v>
      </c>
      <c r="U48">
        <f>IF(orders[[#This Row],[Status]]="Pending",1,0)</f>
        <v>0</v>
      </c>
      <c r="V48">
        <f>IF(orders[[#This Row],[Status]]="Delayed",1,0)</f>
        <v>0</v>
      </c>
      <c r="W48">
        <f>IF(orders[[#This Row],[Status]]="Cancelled",1,0)</f>
        <v>0</v>
      </c>
    </row>
    <row r="49" spans="1:23" x14ac:dyDescent="0.35">
      <c r="A49" t="s">
        <v>178</v>
      </c>
      <c r="B49" s="1">
        <v>45931</v>
      </c>
      <c r="C49" t="s">
        <v>179</v>
      </c>
      <c r="D49" t="s">
        <v>77</v>
      </c>
      <c r="E49" t="s">
        <v>78</v>
      </c>
      <c r="F49" t="s">
        <v>23</v>
      </c>
      <c r="G49" t="s">
        <v>122</v>
      </c>
      <c r="H49" s="7">
        <v>5</v>
      </c>
      <c r="I49" s="4">
        <v>21917.25</v>
      </c>
      <c r="J49" s="23">
        <v>0.2</v>
      </c>
      <c r="K49" s="4">
        <v>17533.8</v>
      </c>
      <c r="L49" s="4">
        <v>12901.27</v>
      </c>
      <c r="M49" s="4">
        <v>4632.53</v>
      </c>
      <c r="N49" t="s">
        <v>25</v>
      </c>
      <c r="O49" s="7">
        <v>7</v>
      </c>
      <c r="P49" s="2">
        <v>45931.291666666664</v>
      </c>
      <c r="Q49" t="s">
        <v>116</v>
      </c>
      <c r="R49">
        <v>10</v>
      </c>
      <c r="S49" t="s">
        <v>35</v>
      </c>
      <c r="T49">
        <f>IF(orders[[#This Row],[Status]]="Completed",1,0)</f>
        <v>1</v>
      </c>
      <c r="U49">
        <f>IF(orders[[#This Row],[Status]]="Pending",1,0)</f>
        <v>0</v>
      </c>
      <c r="V49">
        <f>IF(orders[[#This Row],[Status]]="Delayed",1,0)</f>
        <v>0</v>
      </c>
      <c r="W49">
        <f>IF(orders[[#This Row],[Status]]="Cancelled",1,0)</f>
        <v>0</v>
      </c>
    </row>
    <row r="50" spans="1:23" x14ac:dyDescent="0.35">
      <c r="A50" t="s">
        <v>180</v>
      </c>
      <c r="B50" s="1">
        <v>45746</v>
      </c>
      <c r="C50" t="s">
        <v>181</v>
      </c>
      <c r="D50" t="s">
        <v>21</v>
      </c>
      <c r="E50" t="s">
        <v>78</v>
      </c>
      <c r="F50" t="s">
        <v>83</v>
      </c>
      <c r="G50" t="s">
        <v>182</v>
      </c>
      <c r="H50" s="7">
        <v>1</v>
      </c>
      <c r="I50" s="4">
        <v>4927.6400000000003</v>
      </c>
      <c r="J50" s="23">
        <v>0.1</v>
      </c>
      <c r="K50" s="4">
        <v>4434.88</v>
      </c>
      <c r="L50" s="4">
        <v>2961.1</v>
      </c>
      <c r="M50" s="4">
        <v>1473.78</v>
      </c>
      <c r="N50" t="s">
        <v>48</v>
      </c>
      <c r="O50" s="7">
        <v>22</v>
      </c>
      <c r="P50" s="2">
        <v>45746.916666666664</v>
      </c>
      <c r="Q50" t="s">
        <v>54</v>
      </c>
      <c r="R50">
        <v>3</v>
      </c>
      <c r="S50" t="s">
        <v>55</v>
      </c>
      <c r="T50">
        <f>IF(orders[[#This Row],[Status]]="Completed",1,0)</f>
        <v>0</v>
      </c>
      <c r="U50">
        <f>IF(orders[[#This Row],[Status]]="Pending",1,0)</f>
        <v>0</v>
      </c>
      <c r="V50">
        <f>IF(orders[[#This Row],[Status]]="Delayed",1,0)</f>
        <v>0</v>
      </c>
      <c r="W50">
        <f>IF(orders[[#This Row],[Status]]="Cancelled",1,0)</f>
        <v>1</v>
      </c>
    </row>
    <row r="51" spans="1:23" x14ac:dyDescent="0.35">
      <c r="A51" t="s">
        <v>183</v>
      </c>
      <c r="B51" s="1">
        <v>45973</v>
      </c>
      <c r="C51" t="s">
        <v>184</v>
      </c>
      <c r="D51" t="s">
        <v>63</v>
      </c>
      <c r="E51" t="s">
        <v>113</v>
      </c>
      <c r="F51" t="s">
        <v>32</v>
      </c>
      <c r="G51" t="s">
        <v>89</v>
      </c>
      <c r="H51" s="7">
        <v>2</v>
      </c>
      <c r="I51" s="4">
        <v>15870.22</v>
      </c>
      <c r="J51" s="23">
        <v>0.1</v>
      </c>
      <c r="K51" s="4">
        <v>14283.2</v>
      </c>
      <c r="L51" s="4">
        <v>9214.19</v>
      </c>
      <c r="M51" s="4">
        <v>5069.01</v>
      </c>
      <c r="N51" t="s">
        <v>98</v>
      </c>
      <c r="O51" s="7">
        <v>21</v>
      </c>
      <c r="P51" s="2">
        <v>45973.875</v>
      </c>
      <c r="Q51" t="s">
        <v>86</v>
      </c>
      <c r="R51">
        <v>11</v>
      </c>
      <c r="S51" t="s">
        <v>35</v>
      </c>
      <c r="T51">
        <f>IF(orders[[#This Row],[Status]]="Completed",1,0)</f>
        <v>0</v>
      </c>
      <c r="U51">
        <f>IF(orders[[#This Row],[Status]]="Pending",1,0)</f>
        <v>1</v>
      </c>
      <c r="V51">
        <f>IF(orders[[#This Row],[Status]]="Delayed",1,0)</f>
        <v>0</v>
      </c>
      <c r="W51">
        <f>IF(orders[[#This Row],[Status]]="Cancelled",1,0)</f>
        <v>0</v>
      </c>
    </row>
    <row r="52" spans="1:23" x14ac:dyDescent="0.35">
      <c r="A52" t="s">
        <v>185</v>
      </c>
      <c r="B52" s="1">
        <v>45671</v>
      </c>
      <c r="C52" t="s">
        <v>141</v>
      </c>
      <c r="D52" t="s">
        <v>77</v>
      </c>
      <c r="E52" t="s">
        <v>46</v>
      </c>
      <c r="F52" t="s">
        <v>32</v>
      </c>
      <c r="G52" t="s">
        <v>53</v>
      </c>
      <c r="H52" s="7">
        <v>5</v>
      </c>
      <c r="I52" s="4">
        <v>36580.15</v>
      </c>
      <c r="J52" s="23">
        <v>0.05</v>
      </c>
      <c r="K52" s="4">
        <v>34751.14</v>
      </c>
      <c r="L52" s="4">
        <v>22060.28</v>
      </c>
      <c r="M52" s="4">
        <v>12690.86</v>
      </c>
      <c r="N52" t="s">
        <v>48</v>
      </c>
      <c r="O52" s="7">
        <v>7</v>
      </c>
      <c r="P52" s="2">
        <v>45671.291666666664</v>
      </c>
      <c r="Q52" t="s">
        <v>65</v>
      </c>
      <c r="R52">
        <v>1</v>
      </c>
      <c r="S52" t="s">
        <v>55</v>
      </c>
      <c r="T52">
        <f>IF(orders[[#This Row],[Status]]="Completed",1,0)</f>
        <v>0</v>
      </c>
      <c r="U52">
        <f>IF(orders[[#This Row],[Status]]="Pending",1,0)</f>
        <v>0</v>
      </c>
      <c r="V52">
        <f>IF(orders[[#This Row],[Status]]="Delayed",1,0)</f>
        <v>0</v>
      </c>
      <c r="W52">
        <f>IF(orders[[#This Row],[Status]]="Cancelled",1,0)</f>
        <v>1</v>
      </c>
    </row>
    <row r="53" spans="1:23" x14ac:dyDescent="0.35">
      <c r="A53" t="s">
        <v>186</v>
      </c>
      <c r="B53" s="1">
        <v>45899</v>
      </c>
      <c r="C53" t="s">
        <v>187</v>
      </c>
      <c r="D53" t="s">
        <v>63</v>
      </c>
      <c r="E53" t="s">
        <v>46</v>
      </c>
      <c r="F53" t="s">
        <v>39</v>
      </c>
      <c r="G53" t="s">
        <v>188</v>
      </c>
      <c r="H53" s="7">
        <v>6</v>
      </c>
      <c r="I53" s="4">
        <v>9447.1200000000008</v>
      </c>
      <c r="J53" s="23">
        <v>0.1</v>
      </c>
      <c r="K53" s="4">
        <v>8502.41</v>
      </c>
      <c r="L53" s="4">
        <v>6539.8</v>
      </c>
      <c r="M53" s="4">
        <v>1962.61</v>
      </c>
      <c r="N53" t="s">
        <v>98</v>
      </c>
      <c r="O53" s="7">
        <v>24</v>
      </c>
      <c r="P53" s="2">
        <v>45900</v>
      </c>
      <c r="Q53" t="s">
        <v>80</v>
      </c>
      <c r="R53">
        <v>8</v>
      </c>
      <c r="S53" t="s">
        <v>42</v>
      </c>
      <c r="T53">
        <f>IF(orders[[#This Row],[Status]]="Completed",1,0)</f>
        <v>0</v>
      </c>
      <c r="U53">
        <f>IF(orders[[#This Row],[Status]]="Pending",1,0)</f>
        <v>1</v>
      </c>
      <c r="V53">
        <f>IF(orders[[#This Row],[Status]]="Delayed",1,0)</f>
        <v>0</v>
      </c>
      <c r="W53">
        <f>IF(orders[[#This Row],[Status]]="Cancelled",1,0)</f>
        <v>0</v>
      </c>
    </row>
    <row r="54" spans="1:23" x14ac:dyDescent="0.35">
      <c r="A54" t="s">
        <v>189</v>
      </c>
      <c r="B54" s="1">
        <v>45922</v>
      </c>
      <c r="C54" t="s">
        <v>190</v>
      </c>
      <c r="D54" t="s">
        <v>51</v>
      </c>
      <c r="E54" t="s">
        <v>92</v>
      </c>
      <c r="F54" t="s">
        <v>39</v>
      </c>
      <c r="G54" t="s">
        <v>188</v>
      </c>
      <c r="H54" s="7">
        <v>4</v>
      </c>
      <c r="I54" s="4">
        <v>15187.72</v>
      </c>
      <c r="J54" s="23">
        <v>0</v>
      </c>
      <c r="K54" s="4">
        <v>15187.72</v>
      </c>
      <c r="L54" s="4">
        <v>10455.200000000001</v>
      </c>
      <c r="M54" s="4">
        <v>4732.5200000000004</v>
      </c>
      <c r="N54" t="s">
        <v>25</v>
      </c>
      <c r="O54" s="7">
        <v>43</v>
      </c>
      <c r="P54" s="2">
        <v>45923.791666666664</v>
      </c>
      <c r="Q54" t="s">
        <v>41</v>
      </c>
      <c r="R54">
        <v>9</v>
      </c>
      <c r="S54" t="s">
        <v>42</v>
      </c>
      <c r="T54">
        <f>IF(orders[[#This Row],[Status]]="Completed",1,0)</f>
        <v>1</v>
      </c>
      <c r="U54">
        <f>IF(orders[[#This Row],[Status]]="Pending",1,0)</f>
        <v>0</v>
      </c>
      <c r="V54">
        <f>IF(orders[[#This Row],[Status]]="Delayed",1,0)</f>
        <v>0</v>
      </c>
      <c r="W54">
        <f>IF(orders[[#This Row],[Status]]="Cancelled",1,0)</f>
        <v>0</v>
      </c>
    </row>
    <row r="55" spans="1:23" x14ac:dyDescent="0.35">
      <c r="A55" t="s">
        <v>191</v>
      </c>
      <c r="B55" s="1">
        <v>46003</v>
      </c>
      <c r="C55" t="s">
        <v>192</v>
      </c>
      <c r="D55" t="s">
        <v>77</v>
      </c>
      <c r="E55" t="s">
        <v>113</v>
      </c>
      <c r="F55" t="s">
        <v>32</v>
      </c>
      <c r="G55" t="s">
        <v>79</v>
      </c>
      <c r="H55" s="7">
        <v>1</v>
      </c>
      <c r="I55" s="4">
        <v>4024.4</v>
      </c>
      <c r="J55" s="23">
        <v>0.05</v>
      </c>
      <c r="K55" s="4">
        <v>3823.18</v>
      </c>
      <c r="L55" s="4">
        <v>3320.76</v>
      </c>
      <c r="M55" s="4">
        <v>502.42</v>
      </c>
      <c r="N55" t="s">
        <v>25</v>
      </c>
      <c r="O55" s="7">
        <v>40</v>
      </c>
      <c r="P55" s="2">
        <v>46004.666666666664</v>
      </c>
      <c r="Q55" t="s">
        <v>34</v>
      </c>
      <c r="R55">
        <v>12</v>
      </c>
      <c r="S55" t="s">
        <v>35</v>
      </c>
      <c r="T55">
        <f>IF(orders[[#This Row],[Status]]="Completed",1,0)</f>
        <v>1</v>
      </c>
      <c r="U55">
        <f>IF(orders[[#This Row],[Status]]="Pending",1,0)</f>
        <v>0</v>
      </c>
      <c r="V55">
        <f>IF(orders[[#This Row],[Status]]="Delayed",1,0)</f>
        <v>0</v>
      </c>
      <c r="W55">
        <f>IF(orders[[#This Row],[Status]]="Cancelled",1,0)</f>
        <v>0</v>
      </c>
    </row>
    <row r="56" spans="1:23" x14ac:dyDescent="0.35">
      <c r="A56" t="s">
        <v>193</v>
      </c>
      <c r="B56" s="1">
        <v>45710</v>
      </c>
      <c r="C56" t="s">
        <v>194</v>
      </c>
      <c r="D56" t="s">
        <v>30</v>
      </c>
      <c r="E56" t="s">
        <v>113</v>
      </c>
      <c r="F56" t="s">
        <v>72</v>
      </c>
      <c r="G56" t="s">
        <v>104</v>
      </c>
      <c r="H56" s="7">
        <v>5</v>
      </c>
      <c r="I56" s="4">
        <v>33694.75</v>
      </c>
      <c r="J56" s="23">
        <v>0.05</v>
      </c>
      <c r="K56" s="4">
        <v>32010.01</v>
      </c>
      <c r="L56" s="4">
        <v>24829.15</v>
      </c>
      <c r="M56" s="4">
        <v>7180.86</v>
      </c>
      <c r="N56" t="s">
        <v>25</v>
      </c>
      <c r="O56" s="7">
        <v>14</v>
      </c>
      <c r="P56" s="2">
        <v>45710.583333333336</v>
      </c>
      <c r="Q56" t="s">
        <v>139</v>
      </c>
      <c r="R56">
        <v>2</v>
      </c>
      <c r="S56" t="s">
        <v>55</v>
      </c>
      <c r="T56">
        <f>IF(orders[[#This Row],[Status]]="Completed",1,0)</f>
        <v>1</v>
      </c>
      <c r="U56">
        <f>IF(orders[[#This Row],[Status]]="Pending",1,0)</f>
        <v>0</v>
      </c>
      <c r="V56">
        <f>IF(orders[[#This Row],[Status]]="Delayed",1,0)</f>
        <v>0</v>
      </c>
      <c r="W56">
        <f>IF(orders[[#This Row],[Status]]="Cancelled",1,0)</f>
        <v>0</v>
      </c>
    </row>
    <row r="57" spans="1:23" x14ac:dyDescent="0.35">
      <c r="A57" t="s">
        <v>195</v>
      </c>
      <c r="B57" s="1">
        <v>45997</v>
      </c>
      <c r="C57" t="s">
        <v>196</v>
      </c>
      <c r="D57" t="s">
        <v>68</v>
      </c>
      <c r="E57" t="s">
        <v>92</v>
      </c>
      <c r="F57" t="s">
        <v>72</v>
      </c>
      <c r="G57" t="s">
        <v>119</v>
      </c>
      <c r="H57" s="7">
        <v>1</v>
      </c>
      <c r="I57" s="4">
        <v>5184.16</v>
      </c>
      <c r="J57" s="23">
        <v>0.1</v>
      </c>
      <c r="K57" s="4">
        <v>4665.74</v>
      </c>
      <c r="L57" s="4">
        <v>3785.66</v>
      </c>
      <c r="M57" s="4">
        <v>880.08</v>
      </c>
      <c r="N57" t="s">
        <v>25</v>
      </c>
      <c r="O57" s="7">
        <v>14</v>
      </c>
      <c r="P57" s="2">
        <v>45997.583333333336</v>
      </c>
      <c r="Q57" t="s">
        <v>34</v>
      </c>
      <c r="R57">
        <v>12</v>
      </c>
      <c r="S57" t="s">
        <v>35</v>
      </c>
      <c r="T57">
        <f>IF(orders[[#This Row],[Status]]="Completed",1,0)</f>
        <v>1</v>
      </c>
      <c r="U57">
        <f>IF(orders[[#This Row],[Status]]="Pending",1,0)</f>
        <v>0</v>
      </c>
      <c r="V57">
        <f>IF(orders[[#This Row],[Status]]="Delayed",1,0)</f>
        <v>0</v>
      </c>
      <c r="W57">
        <f>IF(orders[[#This Row],[Status]]="Cancelled",1,0)</f>
        <v>0</v>
      </c>
    </row>
    <row r="58" spans="1:23" x14ac:dyDescent="0.35">
      <c r="A58" t="s">
        <v>197</v>
      </c>
      <c r="B58" s="1">
        <v>45749</v>
      </c>
      <c r="C58" t="s">
        <v>198</v>
      </c>
      <c r="D58" t="s">
        <v>149</v>
      </c>
      <c r="E58" t="s">
        <v>52</v>
      </c>
      <c r="F58" t="s">
        <v>39</v>
      </c>
      <c r="G58" t="s">
        <v>93</v>
      </c>
      <c r="H58" s="7">
        <v>2</v>
      </c>
      <c r="I58" s="4">
        <v>11225.48</v>
      </c>
      <c r="J58" s="23">
        <v>0.1</v>
      </c>
      <c r="K58" s="4">
        <v>10102.93</v>
      </c>
      <c r="L58" s="4">
        <v>6532.6</v>
      </c>
      <c r="M58" s="4">
        <v>3570.33</v>
      </c>
      <c r="N58" t="s">
        <v>48</v>
      </c>
      <c r="O58" s="7">
        <v>1</v>
      </c>
      <c r="P58" s="2">
        <v>45749.041666666664</v>
      </c>
      <c r="Q58" t="s">
        <v>26</v>
      </c>
      <c r="R58">
        <v>4</v>
      </c>
      <c r="S58" t="s">
        <v>27</v>
      </c>
      <c r="T58">
        <f>IF(orders[[#This Row],[Status]]="Completed",1,0)</f>
        <v>0</v>
      </c>
      <c r="U58">
        <f>IF(orders[[#This Row],[Status]]="Pending",1,0)</f>
        <v>0</v>
      </c>
      <c r="V58">
        <f>IF(orders[[#This Row],[Status]]="Delayed",1,0)</f>
        <v>0</v>
      </c>
      <c r="W58">
        <f>IF(orders[[#This Row],[Status]]="Cancelled",1,0)</f>
        <v>1</v>
      </c>
    </row>
    <row r="59" spans="1:23" x14ac:dyDescent="0.35">
      <c r="A59" t="s">
        <v>199</v>
      </c>
      <c r="B59" s="1">
        <v>45921</v>
      </c>
      <c r="C59" t="s">
        <v>200</v>
      </c>
      <c r="D59" t="s">
        <v>58</v>
      </c>
      <c r="E59" t="s">
        <v>92</v>
      </c>
      <c r="F59" t="s">
        <v>23</v>
      </c>
      <c r="G59" t="s">
        <v>24</v>
      </c>
      <c r="H59" s="7">
        <v>6</v>
      </c>
      <c r="I59" s="4">
        <v>50909.82</v>
      </c>
      <c r="J59" s="23">
        <v>0.05</v>
      </c>
      <c r="K59" s="4">
        <v>48364.33</v>
      </c>
      <c r="L59" s="4">
        <v>27864.21</v>
      </c>
      <c r="M59" s="4">
        <v>20500.12</v>
      </c>
      <c r="N59" t="s">
        <v>25</v>
      </c>
      <c r="O59" s="7">
        <v>17</v>
      </c>
      <c r="P59" s="2">
        <v>45921.708333333336</v>
      </c>
      <c r="Q59" t="s">
        <v>41</v>
      </c>
      <c r="R59">
        <v>9</v>
      </c>
      <c r="S59" t="s">
        <v>42</v>
      </c>
      <c r="T59">
        <f>IF(orders[[#This Row],[Status]]="Completed",1,0)</f>
        <v>1</v>
      </c>
      <c r="U59">
        <f>IF(orders[[#This Row],[Status]]="Pending",1,0)</f>
        <v>0</v>
      </c>
      <c r="V59">
        <f>IF(orders[[#This Row],[Status]]="Delayed",1,0)</f>
        <v>0</v>
      </c>
      <c r="W59">
        <f>IF(orders[[#This Row],[Status]]="Cancelled",1,0)</f>
        <v>0</v>
      </c>
    </row>
    <row r="60" spans="1:23" x14ac:dyDescent="0.35">
      <c r="A60" t="s">
        <v>201</v>
      </c>
      <c r="B60" s="1">
        <v>45692</v>
      </c>
      <c r="C60" t="s">
        <v>57</v>
      </c>
      <c r="D60" t="s">
        <v>58</v>
      </c>
      <c r="E60" t="s">
        <v>22</v>
      </c>
      <c r="F60" t="s">
        <v>32</v>
      </c>
      <c r="G60" t="s">
        <v>33</v>
      </c>
      <c r="H60" s="7">
        <v>7</v>
      </c>
      <c r="I60" s="4">
        <v>5431.44</v>
      </c>
      <c r="J60" s="23">
        <v>0.05</v>
      </c>
      <c r="K60" s="4">
        <v>5159.87</v>
      </c>
      <c r="L60" s="4">
        <v>3668.57</v>
      </c>
      <c r="M60" s="4">
        <v>1491.3</v>
      </c>
      <c r="N60" t="s">
        <v>85</v>
      </c>
      <c r="O60" s="7">
        <v>72</v>
      </c>
      <c r="P60" s="2">
        <v>45695</v>
      </c>
      <c r="Q60" t="s">
        <v>139</v>
      </c>
      <c r="R60">
        <v>2</v>
      </c>
      <c r="S60" t="s">
        <v>55</v>
      </c>
      <c r="T60">
        <f>IF(orders[[#This Row],[Status]]="Completed",1,0)</f>
        <v>0</v>
      </c>
      <c r="U60">
        <f>IF(orders[[#This Row],[Status]]="Pending",1,0)</f>
        <v>0</v>
      </c>
      <c r="V60">
        <f>IF(orders[[#This Row],[Status]]="Delayed",1,0)</f>
        <v>1</v>
      </c>
      <c r="W60">
        <f>IF(orders[[#This Row],[Status]]="Cancelled",1,0)</f>
        <v>0</v>
      </c>
    </row>
    <row r="61" spans="1:23" x14ac:dyDescent="0.35">
      <c r="A61" t="s">
        <v>202</v>
      </c>
      <c r="B61" s="1">
        <v>45863</v>
      </c>
      <c r="C61" t="s">
        <v>203</v>
      </c>
      <c r="D61" t="s">
        <v>149</v>
      </c>
      <c r="E61" t="s">
        <v>59</v>
      </c>
      <c r="F61" t="s">
        <v>39</v>
      </c>
      <c r="G61" t="s">
        <v>47</v>
      </c>
      <c r="H61" s="7">
        <v>4</v>
      </c>
      <c r="I61" s="4">
        <v>8048.52</v>
      </c>
      <c r="J61" s="23">
        <v>0.05</v>
      </c>
      <c r="K61" s="4">
        <v>7646.09</v>
      </c>
      <c r="L61" s="4">
        <v>4999.1000000000004</v>
      </c>
      <c r="M61" s="4">
        <v>2646.99</v>
      </c>
      <c r="N61" t="s">
        <v>25</v>
      </c>
      <c r="O61" s="7">
        <v>28</v>
      </c>
      <c r="P61" s="2">
        <v>45864.166666666664</v>
      </c>
      <c r="Q61" t="s">
        <v>60</v>
      </c>
      <c r="R61">
        <v>7</v>
      </c>
      <c r="S61" t="s">
        <v>42</v>
      </c>
      <c r="T61">
        <f>IF(orders[[#This Row],[Status]]="Completed",1,0)</f>
        <v>1</v>
      </c>
      <c r="U61">
        <f>IF(orders[[#This Row],[Status]]="Pending",1,0)</f>
        <v>0</v>
      </c>
      <c r="V61">
        <f>IF(orders[[#This Row],[Status]]="Delayed",1,0)</f>
        <v>0</v>
      </c>
      <c r="W61">
        <f>IF(orders[[#This Row],[Status]]="Cancelled",1,0)</f>
        <v>0</v>
      </c>
    </row>
    <row r="62" spans="1:23" x14ac:dyDescent="0.35">
      <c r="A62" t="s">
        <v>204</v>
      </c>
      <c r="B62" s="1">
        <v>45738</v>
      </c>
      <c r="C62" t="s">
        <v>205</v>
      </c>
      <c r="D62" t="s">
        <v>38</v>
      </c>
      <c r="E62" t="s">
        <v>46</v>
      </c>
      <c r="F62" t="s">
        <v>39</v>
      </c>
      <c r="G62" t="s">
        <v>188</v>
      </c>
      <c r="H62" s="7">
        <v>6</v>
      </c>
      <c r="I62" s="4">
        <v>21335.58</v>
      </c>
      <c r="J62" s="23">
        <v>0.2</v>
      </c>
      <c r="K62" s="4">
        <v>17068.46</v>
      </c>
      <c r="L62" s="4">
        <v>10525.9</v>
      </c>
      <c r="M62" s="4">
        <v>6542.56</v>
      </c>
      <c r="N62" t="s">
        <v>25</v>
      </c>
      <c r="O62" s="7">
        <v>21</v>
      </c>
      <c r="P62" s="2">
        <v>45738.875</v>
      </c>
      <c r="Q62" t="s">
        <v>54</v>
      </c>
      <c r="R62">
        <v>3</v>
      </c>
      <c r="S62" t="s">
        <v>55</v>
      </c>
      <c r="T62">
        <f>IF(orders[[#This Row],[Status]]="Completed",1,0)</f>
        <v>1</v>
      </c>
      <c r="U62">
        <f>IF(orders[[#This Row],[Status]]="Pending",1,0)</f>
        <v>0</v>
      </c>
      <c r="V62">
        <f>IF(orders[[#This Row],[Status]]="Delayed",1,0)</f>
        <v>0</v>
      </c>
      <c r="W62">
        <f>IF(orders[[#This Row],[Status]]="Cancelled",1,0)</f>
        <v>0</v>
      </c>
    </row>
    <row r="63" spans="1:23" x14ac:dyDescent="0.35">
      <c r="A63" t="s">
        <v>206</v>
      </c>
      <c r="B63" s="1">
        <v>45707</v>
      </c>
      <c r="C63" t="s">
        <v>207</v>
      </c>
      <c r="D63" t="s">
        <v>51</v>
      </c>
      <c r="E63" t="s">
        <v>59</v>
      </c>
      <c r="F63" t="s">
        <v>32</v>
      </c>
      <c r="G63" t="s">
        <v>64</v>
      </c>
      <c r="H63" s="7">
        <v>1</v>
      </c>
      <c r="I63" s="4">
        <v>3053.98</v>
      </c>
      <c r="J63" s="23">
        <v>0.1</v>
      </c>
      <c r="K63" s="4">
        <v>2748.58</v>
      </c>
      <c r="L63" s="4">
        <v>2375.8000000000002</v>
      </c>
      <c r="M63" s="4">
        <v>372.78</v>
      </c>
      <c r="N63" t="s">
        <v>48</v>
      </c>
      <c r="O63" s="7">
        <v>11</v>
      </c>
      <c r="P63" s="2">
        <v>45707.458333333336</v>
      </c>
      <c r="Q63" t="s">
        <v>139</v>
      </c>
      <c r="R63">
        <v>2</v>
      </c>
      <c r="S63" t="s">
        <v>55</v>
      </c>
      <c r="T63">
        <f>IF(orders[[#This Row],[Status]]="Completed",1,0)</f>
        <v>0</v>
      </c>
      <c r="U63">
        <f>IF(orders[[#This Row],[Status]]="Pending",1,0)</f>
        <v>0</v>
      </c>
      <c r="V63">
        <f>IF(orders[[#This Row],[Status]]="Delayed",1,0)</f>
        <v>0</v>
      </c>
      <c r="W63">
        <f>IF(orders[[#This Row],[Status]]="Cancelled",1,0)</f>
        <v>1</v>
      </c>
    </row>
    <row r="64" spans="1:23" x14ac:dyDescent="0.35">
      <c r="A64" t="s">
        <v>208</v>
      </c>
      <c r="B64" s="1">
        <v>46017</v>
      </c>
      <c r="C64" t="s">
        <v>209</v>
      </c>
      <c r="D64" t="s">
        <v>63</v>
      </c>
      <c r="E64" t="s">
        <v>46</v>
      </c>
      <c r="F64" t="s">
        <v>32</v>
      </c>
      <c r="G64" t="s">
        <v>79</v>
      </c>
      <c r="H64" s="7">
        <v>5</v>
      </c>
      <c r="I64" s="4">
        <v>1653.7</v>
      </c>
      <c r="J64" s="23">
        <v>0</v>
      </c>
      <c r="K64" s="4">
        <v>1653.7</v>
      </c>
      <c r="L64" s="4">
        <v>1151.83</v>
      </c>
      <c r="M64" s="4">
        <v>501.87</v>
      </c>
      <c r="N64" t="s">
        <v>98</v>
      </c>
      <c r="O64" s="7">
        <v>2</v>
      </c>
      <c r="P64" s="2">
        <v>46017.083333333336</v>
      </c>
      <c r="Q64" t="s">
        <v>34</v>
      </c>
      <c r="R64">
        <v>12</v>
      </c>
      <c r="S64" t="s">
        <v>35</v>
      </c>
      <c r="T64">
        <f>IF(orders[[#This Row],[Status]]="Completed",1,0)</f>
        <v>0</v>
      </c>
      <c r="U64">
        <f>IF(orders[[#This Row],[Status]]="Pending",1,0)</f>
        <v>1</v>
      </c>
      <c r="V64">
        <f>IF(orders[[#This Row],[Status]]="Delayed",1,0)</f>
        <v>0</v>
      </c>
      <c r="W64">
        <f>IF(orders[[#This Row],[Status]]="Cancelled",1,0)</f>
        <v>0</v>
      </c>
    </row>
    <row r="65" spans="1:23" x14ac:dyDescent="0.35">
      <c r="A65" t="s">
        <v>210</v>
      </c>
      <c r="B65" s="1">
        <v>45659</v>
      </c>
      <c r="C65" t="s">
        <v>143</v>
      </c>
      <c r="D65" t="s">
        <v>30</v>
      </c>
      <c r="E65" t="s">
        <v>113</v>
      </c>
      <c r="F65" t="s">
        <v>72</v>
      </c>
      <c r="G65" t="s">
        <v>146</v>
      </c>
      <c r="H65" s="7">
        <v>2</v>
      </c>
      <c r="I65" s="4">
        <v>1832.68</v>
      </c>
      <c r="J65" s="23">
        <v>0</v>
      </c>
      <c r="K65" s="4">
        <v>1832.68</v>
      </c>
      <c r="L65" s="4">
        <v>1113.6400000000001</v>
      </c>
      <c r="M65" s="4">
        <v>719.04</v>
      </c>
      <c r="N65" t="s">
        <v>25</v>
      </c>
      <c r="O65" s="7">
        <v>21</v>
      </c>
      <c r="P65" s="2">
        <v>45659.875</v>
      </c>
      <c r="Q65" t="s">
        <v>65</v>
      </c>
      <c r="R65">
        <v>1</v>
      </c>
      <c r="S65" t="s">
        <v>55</v>
      </c>
      <c r="T65">
        <f>IF(orders[[#This Row],[Status]]="Completed",1,0)</f>
        <v>1</v>
      </c>
      <c r="U65">
        <f>IF(orders[[#This Row],[Status]]="Pending",1,0)</f>
        <v>0</v>
      </c>
      <c r="V65">
        <f>IF(orders[[#This Row],[Status]]="Delayed",1,0)</f>
        <v>0</v>
      </c>
      <c r="W65">
        <f>IF(orders[[#This Row],[Status]]="Cancelled",1,0)</f>
        <v>0</v>
      </c>
    </row>
    <row r="66" spans="1:23" x14ac:dyDescent="0.35">
      <c r="A66" t="s">
        <v>211</v>
      </c>
      <c r="B66" s="1">
        <v>45711</v>
      </c>
      <c r="C66" t="s">
        <v>212</v>
      </c>
      <c r="D66" t="s">
        <v>45</v>
      </c>
      <c r="E66" t="s">
        <v>78</v>
      </c>
      <c r="F66" t="s">
        <v>23</v>
      </c>
      <c r="G66" t="s">
        <v>110</v>
      </c>
      <c r="H66" s="7">
        <v>2</v>
      </c>
      <c r="I66" s="4">
        <v>11671.92</v>
      </c>
      <c r="J66" s="23">
        <v>0.25</v>
      </c>
      <c r="K66" s="4">
        <v>8753.94</v>
      </c>
      <c r="L66" s="4">
        <v>5388.53</v>
      </c>
      <c r="M66" s="4">
        <v>3365.41</v>
      </c>
      <c r="N66" t="s">
        <v>85</v>
      </c>
      <c r="O66" s="7">
        <v>59</v>
      </c>
      <c r="P66" s="2">
        <v>45713.458333333336</v>
      </c>
      <c r="Q66" t="s">
        <v>139</v>
      </c>
      <c r="R66">
        <v>2</v>
      </c>
      <c r="S66" t="s">
        <v>55</v>
      </c>
      <c r="T66">
        <f>IF(orders[[#This Row],[Status]]="Completed",1,0)</f>
        <v>0</v>
      </c>
      <c r="U66">
        <f>IF(orders[[#This Row],[Status]]="Pending",1,0)</f>
        <v>0</v>
      </c>
      <c r="V66">
        <f>IF(orders[[#This Row],[Status]]="Delayed",1,0)</f>
        <v>1</v>
      </c>
      <c r="W66">
        <f>IF(orders[[#This Row],[Status]]="Cancelled",1,0)</f>
        <v>0</v>
      </c>
    </row>
    <row r="67" spans="1:23" x14ac:dyDescent="0.35">
      <c r="A67" t="s">
        <v>213</v>
      </c>
      <c r="B67" s="1">
        <v>45763</v>
      </c>
      <c r="C67" t="s">
        <v>214</v>
      </c>
      <c r="D67" t="s">
        <v>77</v>
      </c>
      <c r="E67" t="s">
        <v>92</v>
      </c>
      <c r="F67" t="s">
        <v>23</v>
      </c>
      <c r="G67" t="s">
        <v>24</v>
      </c>
      <c r="H67" s="7">
        <v>6</v>
      </c>
      <c r="I67" s="4">
        <v>44954.16</v>
      </c>
      <c r="J67" s="23">
        <v>0.05</v>
      </c>
      <c r="K67" s="4">
        <v>42706.45</v>
      </c>
      <c r="L67" s="4">
        <v>27444.63</v>
      </c>
      <c r="M67" s="4">
        <v>15261.82</v>
      </c>
      <c r="N67" t="s">
        <v>25</v>
      </c>
      <c r="O67" s="7">
        <v>10</v>
      </c>
      <c r="P67" s="2">
        <v>45763.416666666664</v>
      </c>
      <c r="Q67" t="s">
        <v>26</v>
      </c>
      <c r="R67">
        <v>4</v>
      </c>
      <c r="S67" t="s">
        <v>27</v>
      </c>
      <c r="T67">
        <f>IF(orders[[#This Row],[Status]]="Completed",1,0)</f>
        <v>1</v>
      </c>
      <c r="U67">
        <f>IF(orders[[#This Row],[Status]]="Pending",1,0)</f>
        <v>0</v>
      </c>
      <c r="V67">
        <f>IF(orders[[#This Row],[Status]]="Delayed",1,0)</f>
        <v>0</v>
      </c>
      <c r="W67">
        <f>IF(orders[[#This Row],[Status]]="Cancelled",1,0)</f>
        <v>0</v>
      </c>
    </row>
    <row r="68" spans="1:23" x14ac:dyDescent="0.35">
      <c r="A68" t="s">
        <v>215</v>
      </c>
      <c r="B68" s="1">
        <v>45917</v>
      </c>
      <c r="C68" t="s">
        <v>216</v>
      </c>
      <c r="D68" t="s">
        <v>51</v>
      </c>
      <c r="E68" t="s">
        <v>92</v>
      </c>
      <c r="F68" t="s">
        <v>32</v>
      </c>
      <c r="G68" t="s">
        <v>53</v>
      </c>
      <c r="H68" s="7">
        <v>7</v>
      </c>
      <c r="I68" s="4">
        <v>31106.6</v>
      </c>
      <c r="J68" s="23">
        <v>0.15</v>
      </c>
      <c r="K68" s="4">
        <v>26440.61</v>
      </c>
      <c r="L68" s="4">
        <v>23261.77</v>
      </c>
      <c r="M68" s="4">
        <v>3178.84</v>
      </c>
      <c r="N68" t="s">
        <v>25</v>
      </c>
      <c r="O68" s="7">
        <v>47</v>
      </c>
      <c r="P68" s="2">
        <v>45918.958333333336</v>
      </c>
      <c r="Q68" t="s">
        <v>41</v>
      </c>
      <c r="R68">
        <v>9</v>
      </c>
      <c r="S68" t="s">
        <v>42</v>
      </c>
      <c r="T68">
        <f>IF(orders[[#This Row],[Status]]="Completed",1,0)</f>
        <v>1</v>
      </c>
      <c r="U68">
        <f>IF(orders[[#This Row],[Status]]="Pending",1,0)</f>
        <v>0</v>
      </c>
      <c r="V68">
        <f>IF(orders[[#This Row],[Status]]="Delayed",1,0)</f>
        <v>0</v>
      </c>
      <c r="W68">
        <f>IF(orders[[#This Row],[Status]]="Cancelled",1,0)</f>
        <v>0</v>
      </c>
    </row>
    <row r="69" spans="1:23" x14ac:dyDescent="0.35">
      <c r="A69" t="s">
        <v>217</v>
      </c>
      <c r="B69" s="1">
        <v>45967</v>
      </c>
      <c r="C69" t="s">
        <v>194</v>
      </c>
      <c r="D69" t="s">
        <v>77</v>
      </c>
      <c r="E69" t="s">
        <v>92</v>
      </c>
      <c r="F69" t="s">
        <v>83</v>
      </c>
      <c r="G69" t="s">
        <v>84</v>
      </c>
      <c r="H69" s="7">
        <v>5</v>
      </c>
      <c r="I69" s="4">
        <v>23261.25</v>
      </c>
      <c r="J69" s="23">
        <v>0</v>
      </c>
      <c r="K69" s="4">
        <v>23261.25</v>
      </c>
      <c r="L69" s="4">
        <v>14851</v>
      </c>
      <c r="M69" s="4">
        <v>8410.25</v>
      </c>
      <c r="N69" t="s">
        <v>25</v>
      </c>
      <c r="O69" s="7">
        <v>17</v>
      </c>
      <c r="P69" s="2">
        <v>45967.708333333336</v>
      </c>
      <c r="Q69" t="s">
        <v>86</v>
      </c>
      <c r="R69">
        <v>11</v>
      </c>
      <c r="S69" t="s">
        <v>35</v>
      </c>
      <c r="T69">
        <f>IF(orders[[#This Row],[Status]]="Completed",1,0)</f>
        <v>1</v>
      </c>
      <c r="U69">
        <f>IF(orders[[#This Row],[Status]]="Pending",1,0)</f>
        <v>0</v>
      </c>
      <c r="V69">
        <f>IF(orders[[#This Row],[Status]]="Delayed",1,0)</f>
        <v>0</v>
      </c>
      <c r="W69">
        <f>IF(orders[[#This Row],[Status]]="Cancelled",1,0)</f>
        <v>0</v>
      </c>
    </row>
    <row r="70" spans="1:23" x14ac:dyDescent="0.35">
      <c r="A70" t="s">
        <v>218</v>
      </c>
      <c r="B70" s="1">
        <v>45848</v>
      </c>
      <c r="C70" t="s">
        <v>219</v>
      </c>
      <c r="D70" t="s">
        <v>30</v>
      </c>
      <c r="E70" t="s">
        <v>78</v>
      </c>
      <c r="F70" t="s">
        <v>39</v>
      </c>
      <c r="G70" t="s">
        <v>93</v>
      </c>
      <c r="H70" s="7">
        <v>7</v>
      </c>
      <c r="I70" s="4">
        <v>15960.21</v>
      </c>
      <c r="J70" s="23">
        <v>0.2</v>
      </c>
      <c r="K70" s="4">
        <v>12768.17</v>
      </c>
      <c r="L70" s="4">
        <v>8407.9</v>
      </c>
      <c r="M70" s="4">
        <v>4360.2700000000004</v>
      </c>
      <c r="N70" t="s">
        <v>25</v>
      </c>
      <c r="O70" s="7">
        <v>18</v>
      </c>
      <c r="P70" s="2">
        <v>45848.75</v>
      </c>
      <c r="Q70" t="s">
        <v>60</v>
      </c>
      <c r="R70">
        <v>7</v>
      </c>
      <c r="S70" t="s">
        <v>42</v>
      </c>
      <c r="T70">
        <f>IF(orders[[#This Row],[Status]]="Completed",1,0)</f>
        <v>1</v>
      </c>
      <c r="U70">
        <f>IF(orders[[#This Row],[Status]]="Pending",1,0)</f>
        <v>0</v>
      </c>
      <c r="V70">
        <f>IF(orders[[#This Row],[Status]]="Delayed",1,0)</f>
        <v>0</v>
      </c>
      <c r="W70">
        <f>IF(orders[[#This Row],[Status]]="Cancelled",1,0)</f>
        <v>0</v>
      </c>
    </row>
    <row r="71" spans="1:23" x14ac:dyDescent="0.35">
      <c r="A71" t="s">
        <v>220</v>
      </c>
      <c r="B71" s="1">
        <v>45875</v>
      </c>
      <c r="C71" t="s">
        <v>221</v>
      </c>
      <c r="D71" t="s">
        <v>21</v>
      </c>
      <c r="E71" t="s">
        <v>22</v>
      </c>
      <c r="F71" t="s">
        <v>39</v>
      </c>
      <c r="G71" t="s">
        <v>93</v>
      </c>
      <c r="H71" s="7">
        <v>7</v>
      </c>
      <c r="I71" s="4">
        <v>45932.39</v>
      </c>
      <c r="J71" s="23">
        <v>0.2</v>
      </c>
      <c r="K71" s="4">
        <v>36745.910000000003</v>
      </c>
      <c r="L71" s="4">
        <v>28205.360000000001</v>
      </c>
      <c r="M71" s="4">
        <v>8540.5499999999993</v>
      </c>
      <c r="N71" t="s">
        <v>98</v>
      </c>
      <c r="O71" s="7">
        <v>19</v>
      </c>
      <c r="P71" s="2">
        <v>45875.791666666664</v>
      </c>
      <c r="Q71" t="s">
        <v>80</v>
      </c>
      <c r="R71">
        <v>8</v>
      </c>
      <c r="S71" t="s">
        <v>42</v>
      </c>
      <c r="T71">
        <f>IF(orders[[#This Row],[Status]]="Completed",1,0)</f>
        <v>0</v>
      </c>
      <c r="U71">
        <f>IF(orders[[#This Row],[Status]]="Pending",1,0)</f>
        <v>1</v>
      </c>
      <c r="V71">
        <f>IF(orders[[#This Row],[Status]]="Delayed",1,0)</f>
        <v>0</v>
      </c>
      <c r="W71">
        <f>IF(orders[[#This Row],[Status]]="Cancelled",1,0)</f>
        <v>0</v>
      </c>
    </row>
    <row r="72" spans="1:23" x14ac:dyDescent="0.35">
      <c r="A72" t="s">
        <v>222</v>
      </c>
      <c r="B72" s="1">
        <v>45701</v>
      </c>
      <c r="C72" t="s">
        <v>223</v>
      </c>
      <c r="D72" t="s">
        <v>21</v>
      </c>
      <c r="E72" t="s">
        <v>22</v>
      </c>
      <c r="F72" t="s">
        <v>32</v>
      </c>
      <c r="G72" t="s">
        <v>53</v>
      </c>
      <c r="H72" s="7">
        <v>5</v>
      </c>
      <c r="I72" s="4">
        <v>32137.4</v>
      </c>
      <c r="J72" s="23">
        <v>0.1</v>
      </c>
      <c r="K72" s="4">
        <v>28923.66</v>
      </c>
      <c r="L72" s="4">
        <v>18713.82</v>
      </c>
      <c r="M72" s="4">
        <v>10209.84</v>
      </c>
      <c r="N72" t="s">
        <v>25</v>
      </c>
      <c r="O72" s="7">
        <v>5</v>
      </c>
      <c r="P72" s="2">
        <v>45701.208333333336</v>
      </c>
      <c r="Q72" t="s">
        <v>139</v>
      </c>
      <c r="R72">
        <v>2</v>
      </c>
      <c r="S72" t="s">
        <v>55</v>
      </c>
      <c r="T72">
        <f>IF(orders[[#This Row],[Status]]="Completed",1,0)</f>
        <v>1</v>
      </c>
      <c r="U72">
        <f>IF(orders[[#This Row],[Status]]="Pending",1,0)</f>
        <v>0</v>
      </c>
      <c r="V72">
        <f>IF(orders[[#This Row],[Status]]="Delayed",1,0)</f>
        <v>0</v>
      </c>
      <c r="W72">
        <f>IF(orders[[#This Row],[Status]]="Cancelled",1,0)</f>
        <v>0</v>
      </c>
    </row>
    <row r="73" spans="1:23" x14ac:dyDescent="0.35">
      <c r="A73" t="s">
        <v>224</v>
      </c>
      <c r="B73" s="1">
        <v>45819</v>
      </c>
      <c r="C73" t="s">
        <v>225</v>
      </c>
      <c r="D73" t="s">
        <v>51</v>
      </c>
      <c r="E73" t="s">
        <v>78</v>
      </c>
      <c r="F73" t="s">
        <v>83</v>
      </c>
      <c r="G73" t="s">
        <v>152</v>
      </c>
      <c r="H73" s="7">
        <v>1</v>
      </c>
      <c r="I73" s="4">
        <v>5062.8500000000004</v>
      </c>
      <c r="J73" s="23">
        <v>0</v>
      </c>
      <c r="K73" s="4">
        <v>5062.8500000000004</v>
      </c>
      <c r="L73" s="4">
        <v>3145.12</v>
      </c>
      <c r="M73" s="4">
        <v>1917.73</v>
      </c>
      <c r="N73" t="s">
        <v>25</v>
      </c>
      <c r="O73" s="7">
        <v>33</v>
      </c>
      <c r="P73" s="2">
        <v>45820.375</v>
      </c>
      <c r="Q73" t="s">
        <v>99</v>
      </c>
      <c r="R73">
        <v>6</v>
      </c>
      <c r="S73" t="s">
        <v>27</v>
      </c>
      <c r="T73">
        <f>IF(orders[[#This Row],[Status]]="Completed",1,0)</f>
        <v>1</v>
      </c>
      <c r="U73">
        <f>IF(orders[[#This Row],[Status]]="Pending",1,0)</f>
        <v>0</v>
      </c>
      <c r="V73">
        <f>IF(orders[[#This Row],[Status]]="Delayed",1,0)</f>
        <v>0</v>
      </c>
      <c r="W73">
        <f>IF(orders[[#This Row],[Status]]="Cancelled",1,0)</f>
        <v>0</v>
      </c>
    </row>
    <row r="74" spans="1:23" x14ac:dyDescent="0.35">
      <c r="A74" t="s">
        <v>226</v>
      </c>
      <c r="B74" s="1">
        <v>45859</v>
      </c>
      <c r="C74" t="s">
        <v>227</v>
      </c>
      <c r="D74" t="s">
        <v>68</v>
      </c>
      <c r="E74" t="s">
        <v>52</v>
      </c>
      <c r="F74" t="s">
        <v>72</v>
      </c>
      <c r="G74" t="s">
        <v>129</v>
      </c>
      <c r="H74" s="7">
        <v>6</v>
      </c>
      <c r="I74" s="4">
        <v>11554.5</v>
      </c>
      <c r="J74" s="23">
        <v>0.05</v>
      </c>
      <c r="K74" s="4">
        <v>10976.78</v>
      </c>
      <c r="L74" s="4">
        <v>6611.87</v>
      </c>
      <c r="M74" s="4">
        <v>4364.91</v>
      </c>
      <c r="N74" t="s">
        <v>98</v>
      </c>
      <c r="O74" s="7">
        <v>18</v>
      </c>
      <c r="P74" s="2">
        <v>45859.75</v>
      </c>
      <c r="Q74" t="s">
        <v>60</v>
      </c>
      <c r="R74">
        <v>7</v>
      </c>
      <c r="S74" t="s">
        <v>42</v>
      </c>
      <c r="T74">
        <f>IF(orders[[#This Row],[Status]]="Completed",1,0)</f>
        <v>0</v>
      </c>
      <c r="U74">
        <f>IF(orders[[#This Row],[Status]]="Pending",1,0)</f>
        <v>1</v>
      </c>
      <c r="V74">
        <f>IF(orders[[#This Row],[Status]]="Delayed",1,0)</f>
        <v>0</v>
      </c>
      <c r="W74">
        <f>IF(orders[[#This Row],[Status]]="Cancelled",1,0)</f>
        <v>0</v>
      </c>
    </row>
    <row r="75" spans="1:23" x14ac:dyDescent="0.35">
      <c r="A75" t="s">
        <v>228</v>
      </c>
      <c r="B75" s="1">
        <v>45927</v>
      </c>
      <c r="C75" t="s">
        <v>229</v>
      </c>
      <c r="D75" t="s">
        <v>30</v>
      </c>
      <c r="E75" t="s">
        <v>78</v>
      </c>
      <c r="F75" t="s">
        <v>32</v>
      </c>
      <c r="G75" t="s">
        <v>64</v>
      </c>
      <c r="H75" s="7">
        <v>6</v>
      </c>
      <c r="I75" s="4">
        <v>5760.6</v>
      </c>
      <c r="J75" s="23">
        <v>0.05</v>
      </c>
      <c r="K75" s="4">
        <v>5472.57</v>
      </c>
      <c r="L75" s="4">
        <v>3574.6</v>
      </c>
      <c r="M75" s="4">
        <v>1897.97</v>
      </c>
      <c r="N75" t="s">
        <v>85</v>
      </c>
      <c r="O75" s="7">
        <v>69</v>
      </c>
      <c r="P75" s="2">
        <v>45929.875</v>
      </c>
      <c r="Q75" t="s">
        <v>41</v>
      </c>
      <c r="R75">
        <v>9</v>
      </c>
      <c r="S75" t="s">
        <v>42</v>
      </c>
      <c r="T75">
        <f>IF(orders[[#This Row],[Status]]="Completed",1,0)</f>
        <v>0</v>
      </c>
      <c r="U75">
        <f>IF(orders[[#This Row],[Status]]="Pending",1,0)</f>
        <v>0</v>
      </c>
      <c r="V75">
        <f>IF(orders[[#This Row],[Status]]="Delayed",1,0)</f>
        <v>1</v>
      </c>
      <c r="W75">
        <f>IF(orders[[#This Row],[Status]]="Cancelled",1,0)</f>
        <v>0</v>
      </c>
    </row>
    <row r="76" spans="1:23" x14ac:dyDescent="0.35">
      <c r="A76" t="s">
        <v>230</v>
      </c>
      <c r="B76" s="1">
        <v>46008</v>
      </c>
      <c r="C76" t="s">
        <v>231</v>
      </c>
      <c r="D76" t="s">
        <v>30</v>
      </c>
      <c r="E76" t="s">
        <v>31</v>
      </c>
      <c r="F76" t="s">
        <v>32</v>
      </c>
      <c r="G76" t="s">
        <v>64</v>
      </c>
      <c r="H76" s="7">
        <v>3</v>
      </c>
      <c r="I76" s="4">
        <v>2059.17</v>
      </c>
      <c r="J76" s="23">
        <v>0.1</v>
      </c>
      <c r="K76" s="4">
        <v>1853.25</v>
      </c>
      <c r="L76" s="4">
        <v>1084.06</v>
      </c>
      <c r="M76" s="4">
        <v>769.19</v>
      </c>
      <c r="N76" t="s">
        <v>98</v>
      </c>
      <c r="O76" s="7">
        <v>9</v>
      </c>
      <c r="P76" s="2">
        <v>46008.375</v>
      </c>
      <c r="Q76" t="s">
        <v>34</v>
      </c>
      <c r="R76">
        <v>12</v>
      </c>
      <c r="S76" t="s">
        <v>35</v>
      </c>
      <c r="T76">
        <f>IF(orders[[#This Row],[Status]]="Completed",1,0)</f>
        <v>0</v>
      </c>
      <c r="U76">
        <f>IF(orders[[#This Row],[Status]]="Pending",1,0)</f>
        <v>1</v>
      </c>
      <c r="V76">
        <f>IF(orders[[#This Row],[Status]]="Delayed",1,0)</f>
        <v>0</v>
      </c>
      <c r="W76">
        <f>IF(orders[[#This Row],[Status]]="Cancelled",1,0)</f>
        <v>0</v>
      </c>
    </row>
    <row r="77" spans="1:23" x14ac:dyDescent="0.35">
      <c r="A77" t="s">
        <v>232</v>
      </c>
      <c r="B77" s="1">
        <v>45961</v>
      </c>
      <c r="C77" t="s">
        <v>233</v>
      </c>
      <c r="D77" t="s">
        <v>149</v>
      </c>
      <c r="E77" t="s">
        <v>46</v>
      </c>
      <c r="F77" t="s">
        <v>39</v>
      </c>
      <c r="G77" t="s">
        <v>47</v>
      </c>
      <c r="H77" s="7">
        <v>6</v>
      </c>
      <c r="I77" s="4">
        <v>30594.06</v>
      </c>
      <c r="J77" s="23">
        <v>0.05</v>
      </c>
      <c r="K77" s="4">
        <v>29064.36</v>
      </c>
      <c r="L77" s="4">
        <v>16164.24</v>
      </c>
      <c r="M77" s="4">
        <v>12900.12</v>
      </c>
      <c r="N77" t="s">
        <v>25</v>
      </c>
      <c r="O77" s="7">
        <v>47</v>
      </c>
      <c r="P77" s="2">
        <v>45962.958333333336</v>
      </c>
      <c r="Q77" t="s">
        <v>116</v>
      </c>
      <c r="R77">
        <v>10</v>
      </c>
      <c r="S77" t="s">
        <v>35</v>
      </c>
      <c r="T77">
        <f>IF(orders[[#This Row],[Status]]="Completed",1,0)</f>
        <v>1</v>
      </c>
      <c r="U77">
        <f>IF(orders[[#This Row],[Status]]="Pending",1,0)</f>
        <v>0</v>
      </c>
      <c r="V77">
        <f>IF(orders[[#This Row],[Status]]="Delayed",1,0)</f>
        <v>0</v>
      </c>
      <c r="W77">
        <f>IF(orders[[#This Row],[Status]]="Cancelled",1,0)</f>
        <v>0</v>
      </c>
    </row>
    <row r="78" spans="1:23" x14ac:dyDescent="0.35">
      <c r="A78" t="s">
        <v>234</v>
      </c>
      <c r="B78" s="1">
        <v>45928</v>
      </c>
      <c r="C78" t="s">
        <v>161</v>
      </c>
      <c r="D78" t="s">
        <v>68</v>
      </c>
      <c r="E78" t="s">
        <v>31</v>
      </c>
      <c r="F78" t="s">
        <v>32</v>
      </c>
      <c r="G78" t="s">
        <v>64</v>
      </c>
      <c r="H78" s="7">
        <v>2</v>
      </c>
      <c r="I78" s="4">
        <v>14078.08</v>
      </c>
      <c r="J78" s="23">
        <v>0</v>
      </c>
      <c r="K78" s="4">
        <v>14078.08</v>
      </c>
      <c r="L78" s="4">
        <v>11481.12</v>
      </c>
      <c r="M78" s="4">
        <v>2596.96</v>
      </c>
      <c r="N78" t="s">
        <v>25</v>
      </c>
      <c r="O78" s="7">
        <v>16</v>
      </c>
      <c r="P78" s="2">
        <v>45928.666666666664</v>
      </c>
      <c r="Q78" t="s">
        <v>41</v>
      </c>
      <c r="R78">
        <v>9</v>
      </c>
      <c r="S78" t="s">
        <v>42</v>
      </c>
      <c r="T78">
        <f>IF(orders[[#This Row],[Status]]="Completed",1,0)</f>
        <v>1</v>
      </c>
      <c r="U78">
        <f>IF(orders[[#This Row],[Status]]="Pending",1,0)</f>
        <v>0</v>
      </c>
      <c r="V78">
        <f>IF(orders[[#This Row],[Status]]="Delayed",1,0)</f>
        <v>0</v>
      </c>
      <c r="W78">
        <f>IF(orders[[#This Row],[Status]]="Cancelled",1,0)</f>
        <v>0</v>
      </c>
    </row>
    <row r="79" spans="1:23" x14ac:dyDescent="0.35">
      <c r="A79" t="s">
        <v>235</v>
      </c>
      <c r="B79" s="1">
        <v>45872</v>
      </c>
      <c r="C79" t="s">
        <v>169</v>
      </c>
      <c r="D79" t="s">
        <v>63</v>
      </c>
      <c r="E79" t="s">
        <v>31</v>
      </c>
      <c r="F79" t="s">
        <v>32</v>
      </c>
      <c r="G79" t="s">
        <v>89</v>
      </c>
      <c r="H79" s="7">
        <v>1</v>
      </c>
      <c r="I79" s="4">
        <v>7317.06</v>
      </c>
      <c r="J79" s="23">
        <v>0.1</v>
      </c>
      <c r="K79" s="4">
        <v>6585.35</v>
      </c>
      <c r="L79" s="4">
        <v>3921.61</v>
      </c>
      <c r="M79" s="4">
        <v>2663.74</v>
      </c>
      <c r="N79" t="s">
        <v>25</v>
      </c>
      <c r="O79" s="7">
        <v>23</v>
      </c>
      <c r="P79" s="2">
        <v>45872.958333333336</v>
      </c>
      <c r="Q79" t="s">
        <v>80</v>
      </c>
      <c r="R79">
        <v>8</v>
      </c>
      <c r="S79" t="s">
        <v>42</v>
      </c>
      <c r="T79">
        <f>IF(orders[[#This Row],[Status]]="Completed",1,0)</f>
        <v>1</v>
      </c>
      <c r="U79">
        <f>IF(orders[[#This Row],[Status]]="Pending",1,0)</f>
        <v>0</v>
      </c>
      <c r="V79">
        <f>IF(orders[[#This Row],[Status]]="Delayed",1,0)</f>
        <v>0</v>
      </c>
      <c r="W79">
        <f>IF(orders[[#This Row],[Status]]="Cancelled",1,0)</f>
        <v>0</v>
      </c>
    </row>
    <row r="80" spans="1:23" x14ac:dyDescent="0.35">
      <c r="A80" t="s">
        <v>236</v>
      </c>
      <c r="B80" s="1">
        <v>45909</v>
      </c>
      <c r="C80" t="s">
        <v>50</v>
      </c>
      <c r="D80" t="s">
        <v>63</v>
      </c>
      <c r="E80" t="s">
        <v>78</v>
      </c>
      <c r="F80" t="s">
        <v>32</v>
      </c>
      <c r="G80" t="s">
        <v>79</v>
      </c>
      <c r="H80" s="7">
        <v>5</v>
      </c>
      <c r="I80" s="4">
        <v>20106.2</v>
      </c>
      <c r="J80" s="23">
        <v>0.1</v>
      </c>
      <c r="K80" s="4">
        <v>18095.580000000002</v>
      </c>
      <c r="L80" s="4">
        <v>14586.35</v>
      </c>
      <c r="M80" s="4">
        <v>3509.23</v>
      </c>
      <c r="N80" t="s">
        <v>25</v>
      </c>
      <c r="O80" s="7">
        <v>38</v>
      </c>
      <c r="P80" s="2">
        <v>45910.583333333336</v>
      </c>
      <c r="Q80" t="s">
        <v>41</v>
      </c>
      <c r="R80">
        <v>9</v>
      </c>
      <c r="S80" t="s">
        <v>42</v>
      </c>
      <c r="T80">
        <f>IF(orders[[#This Row],[Status]]="Completed",1,0)</f>
        <v>1</v>
      </c>
      <c r="U80">
        <f>IF(orders[[#This Row],[Status]]="Pending",1,0)</f>
        <v>0</v>
      </c>
      <c r="V80">
        <f>IF(orders[[#This Row],[Status]]="Delayed",1,0)</f>
        <v>0</v>
      </c>
      <c r="W80">
        <f>IF(orders[[#This Row],[Status]]="Cancelled",1,0)</f>
        <v>0</v>
      </c>
    </row>
    <row r="81" spans="1:23" x14ac:dyDescent="0.35">
      <c r="A81" t="s">
        <v>237</v>
      </c>
      <c r="B81" s="1">
        <v>45847</v>
      </c>
      <c r="C81" t="s">
        <v>238</v>
      </c>
      <c r="D81" t="s">
        <v>45</v>
      </c>
      <c r="E81" t="s">
        <v>46</v>
      </c>
      <c r="F81" t="s">
        <v>39</v>
      </c>
      <c r="G81" t="s">
        <v>93</v>
      </c>
      <c r="H81" s="7">
        <v>6</v>
      </c>
      <c r="I81" s="4">
        <v>40192.019999999997</v>
      </c>
      <c r="J81" s="23">
        <v>0.05</v>
      </c>
      <c r="K81" s="4">
        <v>38182.42</v>
      </c>
      <c r="L81" s="4">
        <v>31049.52</v>
      </c>
      <c r="M81" s="4">
        <v>7132.9</v>
      </c>
      <c r="N81" t="s">
        <v>98</v>
      </c>
      <c r="O81" s="7">
        <v>6</v>
      </c>
      <c r="P81" s="2">
        <v>45847.25</v>
      </c>
      <c r="Q81" t="s">
        <v>60</v>
      </c>
      <c r="R81">
        <v>7</v>
      </c>
      <c r="S81" t="s">
        <v>42</v>
      </c>
      <c r="T81">
        <f>IF(orders[[#This Row],[Status]]="Completed",1,0)</f>
        <v>0</v>
      </c>
      <c r="U81">
        <f>IF(orders[[#This Row],[Status]]="Pending",1,0)</f>
        <v>1</v>
      </c>
      <c r="V81">
        <f>IF(orders[[#This Row],[Status]]="Delayed",1,0)</f>
        <v>0</v>
      </c>
      <c r="W81">
        <f>IF(orders[[#This Row],[Status]]="Cancelled",1,0)</f>
        <v>0</v>
      </c>
    </row>
    <row r="82" spans="1:23" x14ac:dyDescent="0.35">
      <c r="A82" t="s">
        <v>239</v>
      </c>
      <c r="B82" s="1">
        <v>45953</v>
      </c>
      <c r="C82" t="s">
        <v>240</v>
      </c>
      <c r="D82" t="s">
        <v>58</v>
      </c>
      <c r="E82" t="s">
        <v>52</v>
      </c>
      <c r="F82" t="s">
        <v>72</v>
      </c>
      <c r="G82" t="s">
        <v>129</v>
      </c>
      <c r="H82" s="7">
        <v>1</v>
      </c>
      <c r="I82" s="4">
        <v>8056.45</v>
      </c>
      <c r="J82" s="23">
        <v>0</v>
      </c>
      <c r="K82" s="4">
        <v>8056.45</v>
      </c>
      <c r="L82" s="4">
        <v>5861.18</v>
      </c>
      <c r="M82" s="4">
        <v>2195.27</v>
      </c>
      <c r="N82" t="s">
        <v>48</v>
      </c>
      <c r="O82" s="7">
        <v>15</v>
      </c>
      <c r="P82" s="2">
        <v>45953.625</v>
      </c>
      <c r="Q82" t="s">
        <v>116</v>
      </c>
      <c r="R82">
        <v>10</v>
      </c>
      <c r="S82" t="s">
        <v>35</v>
      </c>
      <c r="T82">
        <f>IF(orders[[#This Row],[Status]]="Completed",1,0)</f>
        <v>0</v>
      </c>
      <c r="U82">
        <f>IF(orders[[#This Row],[Status]]="Pending",1,0)</f>
        <v>0</v>
      </c>
      <c r="V82">
        <f>IF(orders[[#This Row],[Status]]="Delayed",1,0)</f>
        <v>0</v>
      </c>
      <c r="W82">
        <f>IF(orders[[#This Row],[Status]]="Cancelled",1,0)</f>
        <v>1</v>
      </c>
    </row>
    <row r="83" spans="1:23" x14ac:dyDescent="0.35">
      <c r="A83" t="s">
        <v>241</v>
      </c>
      <c r="B83" s="1">
        <v>45870</v>
      </c>
      <c r="C83" t="s">
        <v>242</v>
      </c>
      <c r="D83" t="s">
        <v>21</v>
      </c>
      <c r="E83" t="s">
        <v>92</v>
      </c>
      <c r="F83" t="s">
        <v>72</v>
      </c>
      <c r="G83" t="s">
        <v>104</v>
      </c>
      <c r="H83" s="7">
        <v>6</v>
      </c>
      <c r="I83" s="4">
        <v>14686.02</v>
      </c>
      <c r="J83" s="23">
        <v>0.25</v>
      </c>
      <c r="K83" s="4">
        <v>11014.52</v>
      </c>
      <c r="L83" s="4">
        <v>7183.62</v>
      </c>
      <c r="M83" s="4">
        <v>3830.9</v>
      </c>
      <c r="N83" t="s">
        <v>48</v>
      </c>
      <c r="O83" s="7">
        <v>17</v>
      </c>
      <c r="P83" s="2">
        <v>45870.708333333336</v>
      </c>
      <c r="Q83" t="s">
        <v>80</v>
      </c>
      <c r="R83">
        <v>8</v>
      </c>
      <c r="S83" t="s">
        <v>42</v>
      </c>
      <c r="T83">
        <f>IF(orders[[#This Row],[Status]]="Completed",1,0)</f>
        <v>0</v>
      </c>
      <c r="U83">
        <f>IF(orders[[#This Row],[Status]]="Pending",1,0)</f>
        <v>0</v>
      </c>
      <c r="V83">
        <f>IF(orders[[#This Row],[Status]]="Delayed",1,0)</f>
        <v>0</v>
      </c>
      <c r="W83">
        <f>IF(orders[[#This Row],[Status]]="Cancelled",1,0)</f>
        <v>1</v>
      </c>
    </row>
    <row r="84" spans="1:23" x14ac:dyDescent="0.35">
      <c r="A84" t="s">
        <v>243</v>
      </c>
      <c r="B84" s="1">
        <v>45865</v>
      </c>
      <c r="C84" t="s">
        <v>244</v>
      </c>
      <c r="D84" t="s">
        <v>63</v>
      </c>
      <c r="E84" t="s">
        <v>31</v>
      </c>
      <c r="F84" t="s">
        <v>32</v>
      </c>
      <c r="G84" t="s">
        <v>33</v>
      </c>
      <c r="H84" s="7">
        <v>5</v>
      </c>
      <c r="I84" s="4">
        <v>17364.849999999999</v>
      </c>
      <c r="J84" s="23">
        <v>0.1</v>
      </c>
      <c r="K84" s="4">
        <v>15628.36</v>
      </c>
      <c r="L84" s="4">
        <v>9343.58</v>
      </c>
      <c r="M84" s="4">
        <v>6284.78</v>
      </c>
      <c r="N84" t="s">
        <v>25</v>
      </c>
      <c r="O84" s="7">
        <v>41</v>
      </c>
      <c r="P84" s="2">
        <v>45866.708333333336</v>
      </c>
      <c r="Q84" t="s">
        <v>60</v>
      </c>
      <c r="R84">
        <v>7</v>
      </c>
      <c r="S84" t="s">
        <v>42</v>
      </c>
      <c r="T84">
        <f>IF(orders[[#This Row],[Status]]="Completed",1,0)</f>
        <v>1</v>
      </c>
      <c r="U84">
        <f>IF(orders[[#This Row],[Status]]="Pending",1,0)</f>
        <v>0</v>
      </c>
      <c r="V84">
        <f>IF(orders[[#This Row],[Status]]="Delayed",1,0)</f>
        <v>0</v>
      </c>
      <c r="W84">
        <f>IF(orders[[#This Row],[Status]]="Cancelled",1,0)</f>
        <v>0</v>
      </c>
    </row>
    <row r="85" spans="1:23" x14ac:dyDescent="0.35">
      <c r="A85" t="s">
        <v>245</v>
      </c>
      <c r="B85" s="1">
        <v>45894</v>
      </c>
      <c r="C85" t="s">
        <v>246</v>
      </c>
      <c r="D85" t="s">
        <v>68</v>
      </c>
      <c r="E85" t="s">
        <v>78</v>
      </c>
      <c r="F85" t="s">
        <v>39</v>
      </c>
      <c r="G85" t="s">
        <v>40</v>
      </c>
      <c r="H85" s="7">
        <v>4</v>
      </c>
      <c r="I85" s="4">
        <v>31711.4</v>
      </c>
      <c r="J85" s="23">
        <v>0.15</v>
      </c>
      <c r="K85" s="4">
        <v>26954.69</v>
      </c>
      <c r="L85" s="4">
        <v>21379</v>
      </c>
      <c r="M85" s="4">
        <v>5575.69</v>
      </c>
      <c r="N85" t="s">
        <v>25</v>
      </c>
      <c r="O85" s="7">
        <v>38</v>
      </c>
      <c r="P85" s="2">
        <v>45895.583333333336</v>
      </c>
      <c r="Q85" t="s">
        <v>80</v>
      </c>
      <c r="R85">
        <v>8</v>
      </c>
      <c r="S85" t="s">
        <v>42</v>
      </c>
      <c r="T85">
        <f>IF(orders[[#This Row],[Status]]="Completed",1,0)</f>
        <v>1</v>
      </c>
      <c r="U85">
        <f>IF(orders[[#This Row],[Status]]="Pending",1,0)</f>
        <v>0</v>
      </c>
      <c r="V85">
        <f>IF(orders[[#This Row],[Status]]="Delayed",1,0)</f>
        <v>0</v>
      </c>
      <c r="W85">
        <f>IF(orders[[#This Row],[Status]]="Cancelled",1,0)</f>
        <v>0</v>
      </c>
    </row>
    <row r="86" spans="1:23" x14ac:dyDescent="0.35">
      <c r="A86" t="s">
        <v>247</v>
      </c>
      <c r="B86" s="1">
        <v>45995</v>
      </c>
      <c r="C86" t="s">
        <v>240</v>
      </c>
      <c r="D86" t="s">
        <v>30</v>
      </c>
      <c r="E86" t="s">
        <v>92</v>
      </c>
      <c r="F86" t="s">
        <v>72</v>
      </c>
      <c r="G86" t="s">
        <v>146</v>
      </c>
      <c r="H86" s="7">
        <v>5</v>
      </c>
      <c r="I86" s="4">
        <v>14871.15</v>
      </c>
      <c r="J86" s="23">
        <v>0.1</v>
      </c>
      <c r="K86" s="4">
        <v>13384.04</v>
      </c>
      <c r="L86" s="4">
        <v>10017.39</v>
      </c>
      <c r="M86" s="4">
        <v>3366.65</v>
      </c>
      <c r="N86" t="s">
        <v>25</v>
      </c>
      <c r="O86" s="7">
        <v>39</v>
      </c>
      <c r="P86" s="2">
        <v>45996.625</v>
      </c>
      <c r="Q86" t="s">
        <v>34</v>
      </c>
      <c r="R86">
        <v>12</v>
      </c>
      <c r="S86" t="s">
        <v>35</v>
      </c>
      <c r="T86">
        <f>IF(orders[[#This Row],[Status]]="Completed",1,0)</f>
        <v>1</v>
      </c>
      <c r="U86">
        <f>IF(orders[[#This Row],[Status]]="Pending",1,0)</f>
        <v>0</v>
      </c>
      <c r="V86">
        <f>IF(orders[[#This Row],[Status]]="Delayed",1,0)</f>
        <v>0</v>
      </c>
      <c r="W86">
        <f>IF(orders[[#This Row],[Status]]="Cancelled",1,0)</f>
        <v>0</v>
      </c>
    </row>
    <row r="87" spans="1:23" x14ac:dyDescent="0.35">
      <c r="A87" t="s">
        <v>248</v>
      </c>
      <c r="B87" s="1">
        <v>45710</v>
      </c>
      <c r="C87" t="s">
        <v>249</v>
      </c>
      <c r="D87" t="s">
        <v>63</v>
      </c>
      <c r="E87" t="s">
        <v>78</v>
      </c>
      <c r="F87" t="s">
        <v>72</v>
      </c>
      <c r="G87" t="s">
        <v>73</v>
      </c>
      <c r="H87" s="7">
        <v>5</v>
      </c>
      <c r="I87" s="4">
        <v>38904.35</v>
      </c>
      <c r="J87" s="23">
        <v>0</v>
      </c>
      <c r="K87" s="4">
        <v>38904.35</v>
      </c>
      <c r="L87" s="4">
        <v>29812.39</v>
      </c>
      <c r="M87" s="4">
        <v>9091.9599999999991</v>
      </c>
      <c r="N87" t="s">
        <v>98</v>
      </c>
      <c r="O87" s="7">
        <v>9</v>
      </c>
      <c r="P87" s="2">
        <v>45710.375</v>
      </c>
      <c r="Q87" t="s">
        <v>139</v>
      </c>
      <c r="R87">
        <v>2</v>
      </c>
      <c r="S87" t="s">
        <v>55</v>
      </c>
      <c r="T87">
        <f>IF(orders[[#This Row],[Status]]="Completed",1,0)</f>
        <v>0</v>
      </c>
      <c r="U87">
        <f>IF(orders[[#This Row],[Status]]="Pending",1,0)</f>
        <v>1</v>
      </c>
      <c r="V87">
        <f>IF(orders[[#This Row],[Status]]="Delayed",1,0)</f>
        <v>0</v>
      </c>
      <c r="W87">
        <f>IF(orders[[#This Row],[Status]]="Cancelled",1,0)</f>
        <v>0</v>
      </c>
    </row>
    <row r="88" spans="1:23" x14ac:dyDescent="0.35">
      <c r="A88" t="s">
        <v>250</v>
      </c>
      <c r="B88" s="1">
        <v>45937</v>
      </c>
      <c r="C88" t="s">
        <v>173</v>
      </c>
      <c r="D88" t="s">
        <v>30</v>
      </c>
      <c r="E88" t="s">
        <v>113</v>
      </c>
      <c r="F88" t="s">
        <v>72</v>
      </c>
      <c r="G88" t="s">
        <v>129</v>
      </c>
      <c r="H88" s="7">
        <v>5</v>
      </c>
      <c r="I88" s="4">
        <v>41708.6</v>
      </c>
      <c r="J88" s="23">
        <v>0.05</v>
      </c>
      <c r="K88" s="4">
        <v>39623.17</v>
      </c>
      <c r="L88" s="4">
        <v>21906.1</v>
      </c>
      <c r="M88" s="4">
        <v>17717.07</v>
      </c>
      <c r="N88" t="s">
        <v>25</v>
      </c>
      <c r="O88" s="7">
        <v>6</v>
      </c>
      <c r="P88" s="2">
        <v>45937.25</v>
      </c>
      <c r="Q88" t="s">
        <v>116</v>
      </c>
      <c r="R88">
        <v>10</v>
      </c>
      <c r="S88" t="s">
        <v>35</v>
      </c>
      <c r="T88">
        <f>IF(orders[[#This Row],[Status]]="Completed",1,0)</f>
        <v>1</v>
      </c>
      <c r="U88">
        <f>IF(orders[[#This Row],[Status]]="Pending",1,0)</f>
        <v>0</v>
      </c>
      <c r="V88">
        <f>IF(orders[[#This Row],[Status]]="Delayed",1,0)</f>
        <v>0</v>
      </c>
      <c r="W88">
        <f>IF(orders[[#This Row],[Status]]="Cancelled",1,0)</f>
        <v>0</v>
      </c>
    </row>
    <row r="89" spans="1:23" x14ac:dyDescent="0.35">
      <c r="A89" t="s">
        <v>251</v>
      </c>
      <c r="B89" s="1">
        <v>45874</v>
      </c>
      <c r="C89" t="s">
        <v>252</v>
      </c>
      <c r="D89" t="s">
        <v>63</v>
      </c>
      <c r="E89" t="s">
        <v>31</v>
      </c>
      <c r="F89" t="s">
        <v>39</v>
      </c>
      <c r="G89" t="s">
        <v>188</v>
      </c>
      <c r="H89" s="7">
        <v>6</v>
      </c>
      <c r="I89" s="4">
        <v>34056.720000000001</v>
      </c>
      <c r="J89" s="23">
        <v>0.05</v>
      </c>
      <c r="K89" s="4">
        <v>32353.88</v>
      </c>
      <c r="L89" s="4">
        <v>27697.53</v>
      </c>
      <c r="M89" s="4">
        <v>4656.3500000000004</v>
      </c>
      <c r="N89" t="s">
        <v>25</v>
      </c>
      <c r="O89" s="7">
        <v>11</v>
      </c>
      <c r="P89" s="2">
        <v>45874.458333333336</v>
      </c>
      <c r="Q89" t="s">
        <v>80</v>
      </c>
      <c r="R89">
        <v>8</v>
      </c>
      <c r="S89" t="s">
        <v>42</v>
      </c>
      <c r="T89">
        <f>IF(orders[[#This Row],[Status]]="Completed",1,0)</f>
        <v>1</v>
      </c>
      <c r="U89">
        <f>IF(orders[[#This Row],[Status]]="Pending",1,0)</f>
        <v>0</v>
      </c>
      <c r="V89">
        <f>IF(orders[[#This Row],[Status]]="Delayed",1,0)</f>
        <v>0</v>
      </c>
      <c r="W89">
        <f>IF(orders[[#This Row],[Status]]="Cancelled",1,0)</f>
        <v>0</v>
      </c>
    </row>
    <row r="90" spans="1:23" x14ac:dyDescent="0.35">
      <c r="A90" t="s">
        <v>253</v>
      </c>
      <c r="B90" s="1">
        <v>45909</v>
      </c>
      <c r="C90" t="s">
        <v>254</v>
      </c>
      <c r="D90" t="s">
        <v>21</v>
      </c>
      <c r="E90" t="s">
        <v>113</v>
      </c>
      <c r="F90" t="s">
        <v>39</v>
      </c>
      <c r="G90" t="s">
        <v>93</v>
      </c>
      <c r="H90" s="7">
        <v>3</v>
      </c>
      <c r="I90" s="4">
        <v>20913.09</v>
      </c>
      <c r="J90" s="23">
        <v>0.15</v>
      </c>
      <c r="K90" s="4">
        <v>17776.13</v>
      </c>
      <c r="L90" s="4">
        <v>10165.74</v>
      </c>
      <c r="M90" s="4">
        <v>7610.39</v>
      </c>
      <c r="N90" t="s">
        <v>25</v>
      </c>
      <c r="O90" s="7">
        <v>43</v>
      </c>
      <c r="P90" s="2">
        <v>45910.791666666664</v>
      </c>
      <c r="Q90" t="s">
        <v>41</v>
      </c>
      <c r="R90">
        <v>9</v>
      </c>
      <c r="S90" t="s">
        <v>42</v>
      </c>
      <c r="T90">
        <f>IF(orders[[#This Row],[Status]]="Completed",1,0)</f>
        <v>1</v>
      </c>
      <c r="U90">
        <f>IF(orders[[#This Row],[Status]]="Pending",1,0)</f>
        <v>0</v>
      </c>
      <c r="V90">
        <f>IF(orders[[#This Row],[Status]]="Delayed",1,0)</f>
        <v>0</v>
      </c>
      <c r="W90">
        <f>IF(orders[[#This Row],[Status]]="Cancelled",1,0)</f>
        <v>0</v>
      </c>
    </row>
    <row r="91" spans="1:23" x14ac:dyDescent="0.35">
      <c r="A91" t="s">
        <v>255</v>
      </c>
      <c r="B91" s="1">
        <v>45845</v>
      </c>
      <c r="C91" t="s">
        <v>62</v>
      </c>
      <c r="D91" t="s">
        <v>77</v>
      </c>
      <c r="E91" t="s">
        <v>52</v>
      </c>
      <c r="F91" t="s">
        <v>32</v>
      </c>
      <c r="G91" t="s">
        <v>33</v>
      </c>
      <c r="H91" s="7">
        <v>5</v>
      </c>
      <c r="I91" s="4">
        <v>32043.55</v>
      </c>
      <c r="J91" s="23">
        <v>0.1</v>
      </c>
      <c r="K91" s="4">
        <v>28839.200000000001</v>
      </c>
      <c r="L91" s="4">
        <v>19352.43</v>
      </c>
      <c r="M91" s="4">
        <v>9486.77</v>
      </c>
      <c r="N91" t="s">
        <v>85</v>
      </c>
      <c r="O91" s="7">
        <v>52</v>
      </c>
      <c r="P91" s="2">
        <v>45847.166666666664</v>
      </c>
      <c r="Q91" t="s">
        <v>60</v>
      </c>
      <c r="R91">
        <v>7</v>
      </c>
      <c r="S91" t="s">
        <v>42</v>
      </c>
      <c r="T91">
        <f>IF(orders[[#This Row],[Status]]="Completed",1,0)</f>
        <v>0</v>
      </c>
      <c r="U91">
        <f>IF(orders[[#This Row],[Status]]="Pending",1,0)</f>
        <v>0</v>
      </c>
      <c r="V91">
        <f>IF(orders[[#This Row],[Status]]="Delayed",1,0)</f>
        <v>1</v>
      </c>
      <c r="W91">
        <f>IF(orders[[#This Row],[Status]]="Cancelled",1,0)</f>
        <v>0</v>
      </c>
    </row>
    <row r="92" spans="1:23" x14ac:dyDescent="0.35">
      <c r="A92" t="s">
        <v>256</v>
      </c>
      <c r="B92" s="1">
        <v>45698</v>
      </c>
      <c r="C92" t="s">
        <v>200</v>
      </c>
      <c r="D92" t="s">
        <v>63</v>
      </c>
      <c r="E92" t="s">
        <v>59</v>
      </c>
      <c r="F92" t="s">
        <v>23</v>
      </c>
      <c r="G92" t="s">
        <v>136</v>
      </c>
      <c r="H92" s="7">
        <v>2</v>
      </c>
      <c r="I92" s="4">
        <v>11982.22</v>
      </c>
      <c r="J92" s="23">
        <v>0.05</v>
      </c>
      <c r="K92" s="4">
        <v>11383.11</v>
      </c>
      <c r="L92" s="4">
        <v>7773.47</v>
      </c>
      <c r="M92" s="4">
        <v>3609.64</v>
      </c>
      <c r="N92" t="s">
        <v>98</v>
      </c>
      <c r="O92" s="7">
        <v>10</v>
      </c>
      <c r="P92" s="2">
        <v>45698.416666666664</v>
      </c>
      <c r="Q92" t="s">
        <v>139</v>
      </c>
      <c r="R92">
        <v>2</v>
      </c>
      <c r="S92" t="s">
        <v>55</v>
      </c>
      <c r="T92">
        <f>IF(orders[[#This Row],[Status]]="Completed",1,0)</f>
        <v>0</v>
      </c>
      <c r="U92">
        <f>IF(orders[[#This Row],[Status]]="Pending",1,0)</f>
        <v>1</v>
      </c>
      <c r="V92">
        <f>IF(orders[[#This Row],[Status]]="Delayed",1,0)</f>
        <v>0</v>
      </c>
      <c r="W92">
        <f>IF(orders[[#This Row],[Status]]="Cancelled",1,0)</f>
        <v>0</v>
      </c>
    </row>
    <row r="93" spans="1:23" x14ac:dyDescent="0.35">
      <c r="A93" t="s">
        <v>257</v>
      </c>
      <c r="B93" s="1">
        <v>45814</v>
      </c>
      <c r="C93" t="s">
        <v>103</v>
      </c>
      <c r="D93" t="s">
        <v>68</v>
      </c>
      <c r="E93" t="s">
        <v>22</v>
      </c>
      <c r="F93" t="s">
        <v>72</v>
      </c>
      <c r="G93" t="s">
        <v>73</v>
      </c>
      <c r="H93" s="7">
        <v>2</v>
      </c>
      <c r="I93" s="4">
        <v>5425.74</v>
      </c>
      <c r="J93" s="23">
        <v>0.25</v>
      </c>
      <c r="K93" s="4">
        <v>4069.3</v>
      </c>
      <c r="L93" s="4">
        <v>2239.94</v>
      </c>
      <c r="M93" s="4">
        <v>1829.36</v>
      </c>
      <c r="N93" t="s">
        <v>25</v>
      </c>
      <c r="O93" s="7">
        <v>10</v>
      </c>
      <c r="P93" s="2">
        <v>45814.416666666664</v>
      </c>
      <c r="Q93" t="s">
        <v>99</v>
      </c>
      <c r="R93">
        <v>6</v>
      </c>
      <c r="S93" t="s">
        <v>27</v>
      </c>
      <c r="T93">
        <f>IF(orders[[#This Row],[Status]]="Completed",1,0)</f>
        <v>1</v>
      </c>
      <c r="U93">
        <f>IF(orders[[#This Row],[Status]]="Pending",1,0)</f>
        <v>0</v>
      </c>
      <c r="V93">
        <f>IF(orders[[#This Row],[Status]]="Delayed",1,0)</f>
        <v>0</v>
      </c>
      <c r="W93">
        <f>IF(orders[[#This Row],[Status]]="Cancelled",1,0)</f>
        <v>0</v>
      </c>
    </row>
    <row r="94" spans="1:23" x14ac:dyDescent="0.35">
      <c r="A94" t="s">
        <v>258</v>
      </c>
      <c r="B94" s="1">
        <v>45672</v>
      </c>
      <c r="C94" t="s">
        <v>259</v>
      </c>
      <c r="D94" t="s">
        <v>63</v>
      </c>
      <c r="E94" t="s">
        <v>46</v>
      </c>
      <c r="F94" t="s">
        <v>23</v>
      </c>
      <c r="G94" t="s">
        <v>136</v>
      </c>
      <c r="H94" s="7">
        <v>1</v>
      </c>
      <c r="I94" s="4">
        <v>626.74</v>
      </c>
      <c r="J94" s="23">
        <v>0.05</v>
      </c>
      <c r="K94" s="4">
        <v>595.4</v>
      </c>
      <c r="L94" s="4">
        <v>425.14</v>
      </c>
      <c r="M94" s="4">
        <v>170.26</v>
      </c>
      <c r="N94" t="s">
        <v>25</v>
      </c>
      <c r="O94" s="7">
        <v>5</v>
      </c>
      <c r="P94" s="2">
        <v>45672.208333333336</v>
      </c>
      <c r="Q94" t="s">
        <v>65</v>
      </c>
      <c r="R94">
        <v>1</v>
      </c>
      <c r="S94" t="s">
        <v>55</v>
      </c>
      <c r="T94">
        <f>IF(orders[[#This Row],[Status]]="Completed",1,0)</f>
        <v>1</v>
      </c>
      <c r="U94">
        <f>IF(orders[[#This Row],[Status]]="Pending",1,0)</f>
        <v>0</v>
      </c>
      <c r="V94">
        <f>IF(orders[[#This Row],[Status]]="Delayed",1,0)</f>
        <v>0</v>
      </c>
      <c r="W94">
        <f>IF(orders[[#This Row],[Status]]="Cancelled",1,0)</f>
        <v>0</v>
      </c>
    </row>
    <row r="95" spans="1:23" x14ac:dyDescent="0.35">
      <c r="A95" t="s">
        <v>260</v>
      </c>
      <c r="B95" s="1">
        <v>45958</v>
      </c>
      <c r="C95" t="s">
        <v>261</v>
      </c>
      <c r="D95" t="s">
        <v>58</v>
      </c>
      <c r="E95" t="s">
        <v>78</v>
      </c>
      <c r="F95" t="s">
        <v>39</v>
      </c>
      <c r="G95" t="s">
        <v>40</v>
      </c>
      <c r="H95" s="7">
        <v>3</v>
      </c>
      <c r="I95" s="4">
        <v>9043.44</v>
      </c>
      <c r="J95" s="23">
        <v>0.25</v>
      </c>
      <c r="K95" s="4">
        <v>6782.58</v>
      </c>
      <c r="L95" s="4">
        <v>5415.39</v>
      </c>
      <c r="M95" s="4">
        <v>1367.19</v>
      </c>
      <c r="N95" t="s">
        <v>85</v>
      </c>
      <c r="O95" s="7">
        <v>63</v>
      </c>
      <c r="P95" s="2">
        <v>45960.625</v>
      </c>
      <c r="Q95" t="s">
        <v>116</v>
      </c>
      <c r="R95">
        <v>10</v>
      </c>
      <c r="S95" t="s">
        <v>35</v>
      </c>
      <c r="T95">
        <f>IF(orders[[#This Row],[Status]]="Completed",1,0)</f>
        <v>0</v>
      </c>
      <c r="U95">
        <f>IF(orders[[#This Row],[Status]]="Pending",1,0)</f>
        <v>0</v>
      </c>
      <c r="V95">
        <f>IF(orders[[#This Row],[Status]]="Delayed",1,0)</f>
        <v>1</v>
      </c>
      <c r="W95">
        <f>IF(orders[[#This Row],[Status]]="Cancelled",1,0)</f>
        <v>0</v>
      </c>
    </row>
    <row r="96" spans="1:23" x14ac:dyDescent="0.35">
      <c r="A96" t="s">
        <v>262</v>
      </c>
      <c r="B96" s="1">
        <v>45722</v>
      </c>
      <c r="C96" t="s">
        <v>263</v>
      </c>
      <c r="D96" t="s">
        <v>21</v>
      </c>
      <c r="E96" t="s">
        <v>52</v>
      </c>
      <c r="F96" t="s">
        <v>39</v>
      </c>
      <c r="G96" t="s">
        <v>114</v>
      </c>
      <c r="H96" s="7">
        <v>1</v>
      </c>
      <c r="I96" s="4">
        <v>5718.92</v>
      </c>
      <c r="J96" s="23">
        <v>0.25</v>
      </c>
      <c r="K96" s="4">
        <v>4289.1899999999996</v>
      </c>
      <c r="L96" s="4">
        <v>3524.34</v>
      </c>
      <c r="M96" s="4">
        <v>764.85</v>
      </c>
      <c r="N96" t="s">
        <v>98</v>
      </c>
      <c r="O96" s="7">
        <v>7</v>
      </c>
      <c r="P96" s="2">
        <v>45722.291666666664</v>
      </c>
      <c r="Q96" t="s">
        <v>54</v>
      </c>
      <c r="R96">
        <v>3</v>
      </c>
      <c r="S96" t="s">
        <v>55</v>
      </c>
      <c r="T96">
        <f>IF(orders[[#This Row],[Status]]="Completed",1,0)</f>
        <v>0</v>
      </c>
      <c r="U96">
        <f>IF(orders[[#This Row],[Status]]="Pending",1,0)</f>
        <v>1</v>
      </c>
      <c r="V96">
        <f>IF(orders[[#This Row],[Status]]="Delayed",1,0)</f>
        <v>0</v>
      </c>
      <c r="W96">
        <f>IF(orders[[#This Row],[Status]]="Cancelled",1,0)</f>
        <v>0</v>
      </c>
    </row>
    <row r="97" spans="1:23" x14ac:dyDescent="0.35">
      <c r="A97" t="s">
        <v>264</v>
      </c>
      <c r="B97" s="1">
        <v>46002</v>
      </c>
      <c r="C97" t="s">
        <v>265</v>
      </c>
      <c r="D97" t="s">
        <v>68</v>
      </c>
      <c r="E97" t="s">
        <v>52</v>
      </c>
      <c r="F97" t="s">
        <v>39</v>
      </c>
      <c r="G97" t="s">
        <v>188</v>
      </c>
      <c r="H97" s="7">
        <v>2</v>
      </c>
      <c r="I97" s="4">
        <v>2012.24</v>
      </c>
      <c r="J97" s="23">
        <v>0</v>
      </c>
      <c r="K97" s="4">
        <v>2012.24</v>
      </c>
      <c r="L97" s="4">
        <v>1690.69</v>
      </c>
      <c r="M97" s="4">
        <v>321.55</v>
      </c>
      <c r="N97" t="s">
        <v>98</v>
      </c>
      <c r="O97" s="7">
        <v>8</v>
      </c>
      <c r="P97" s="2">
        <v>46002.333333333336</v>
      </c>
      <c r="Q97" t="s">
        <v>34</v>
      </c>
      <c r="R97">
        <v>12</v>
      </c>
      <c r="S97" t="s">
        <v>35</v>
      </c>
      <c r="T97">
        <f>IF(orders[[#This Row],[Status]]="Completed",1,0)</f>
        <v>0</v>
      </c>
      <c r="U97">
        <f>IF(orders[[#This Row],[Status]]="Pending",1,0)</f>
        <v>1</v>
      </c>
      <c r="V97">
        <f>IF(orders[[#This Row],[Status]]="Delayed",1,0)</f>
        <v>0</v>
      </c>
      <c r="W97">
        <f>IF(orders[[#This Row],[Status]]="Cancelled",1,0)</f>
        <v>0</v>
      </c>
    </row>
    <row r="98" spans="1:23" x14ac:dyDescent="0.35">
      <c r="A98" t="s">
        <v>266</v>
      </c>
      <c r="B98" s="1">
        <v>45984</v>
      </c>
      <c r="C98" t="s">
        <v>267</v>
      </c>
      <c r="D98" t="s">
        <v>149</v>
      </c>
      <c r="E98" t="s">
        <v>52</v>
      </c>
      <c r="F98" t="s">
        <v>23</v>
      </c>
      <c r="G98" t="s">
        <v>136</v>
      </c>
      <c r="H98" s="7">
        <v>7</v>
      </c>
      <c r="I98" s="4">
        <v>1746.64</v>
      </c>
      <c r="J98" s="23">
        <v>0.05</v>
      </c>
      <c r="K98" s="4">
        <v>1659.31</v>
      </c>
      <c r="L98" s="4">
        <v>1179.68</v>
      </c>
      <c r="M98" s="4">
        <v>479.63</v>
      </c>
      <c r="N98" t="s">
        <v>48</v>
      </c>
      <c r="O98" s="7">
        <v>14</v>
      </c>
      <c r="P98" s="2">
        <v>45984.583333333336</v>
      </c>
      <c r="Q98" t="s">
        <v>86</v>
      </c>
      <c r="R98">
        <v>11</v>
      </c>
      <c r="S98" t="s">
        <v>35</v>
      </c>
      <c r="T98">
        <f>IF(orders[[#This Row],[Status]]="Completed",1,0)</f>
        <v>0</v>
      </c>
      <c r="U98">
        <f>IF(orders[[#This Row],[Status]]="Pending",1,0)</f>
        <v>0</v>
      </c>
      <c r="V98">
        <f>IF(orders[[#This Row],[Status]]="Delayed",1,0)</f>
        <v>0</v>
      </c>
      <c r="W98">
        <f>IF(orders[[#This Row],[Status]]="Cancelled",1,0)</f>
        <v>1</v>
      </c>
    </row>
    <row r="99" spans="1:23" x14ac:dyDescent="0.35">
      <c r="A99" t="s">
        <v>268</v>
      </c>
      <c r="B99" s="1">
        <v>45666</v>
      </c>
      <c r="C99" t="s">
        <v>154</v>
      </c>
      <c r="D99" t="s">
        <v>68</v>
      </c>
      <c r="E99" t="s">
        <v>31</v>
      </c>
      <c r="F99" t="s">
        <v>39</v>
      </c>
      <c r="G99" t="s">
        <v>40</v>
      </c>
      <c r="H99" s="7">
        <v>2</v>
      </c>
      <c r="I99" s="4">
        <v>2632.86</v>
      </c>
      <c r="J99" s="23">
        <v>0.1</v>
      </c>
      <c r="K99" s="4">
        <v>2369.5700000000002</v>
      </c>
      <c r="L99" s="4">
        <v>1796.39</v>
      </c>
      <c r="M99" s="4">
        <v>573.17999999999995</v>
      </c>
      <c r="N99" t="s">
        <v>25</v>
      </c>
      <c r="O99" s="7">
        <v>39</v>
      </c>
      <c r="P99" s="2">
        <v>45667.625</v>
      </c>
      <c r="Q99" t="s">
        <v>65</v>
      </c>
      <c r="R99">
        <v>1</v>
      </c>
      <c r="S99" t="s">
        <v>55</v>
      </c>
      <c r="T99">
        <f>IF(orders[[#This Row],[Status]]="Completed",1,0)</f>
        <v>1</v>
      </c>
      <c r="U99">
        <f>IF(orders[[#This Row],[Status]]="Pending",1,0)</f>
        <v>0</v>
      </c>
      <c r="V99">
        <f>IF(orders[[#This Row],[Status]]="Delayed",1,0)</f>
        <v>0</v>
      </c>
      <c r="W99">
        <f>IF(orders[[#This Row],[Status]]="Cancelled",1,0)</f>
        <v>0</v>
      </c>
    </row>
    <row r="100" spans="1:23" x14ac:dyDescent="0.35">
      <c r="A100" t="s">
        <v>269</v>
      </c>
      <c r="B100" s="1">
        <v>46001</v>
      </c>
      <c r="C100" t="s">
        <v>270</v>
      </c>
      <c r="D100" t="s">
        <v>58</v>
      </c>
      <c r="E100" t="s">
        <v>113</v>
      </c>
      <c r="F100" t="s">
        <v>32</v>
      </c>
      <c r="G100" t="s">
        <v>33</v>
      </c>
      <c r="H100" s="7">
        <v>4</v>
      </c>
      <c r="I100" s="4">
        <v>24505.56</v>
      </c>
      <c r="J100" s="23">
        <v>0.1</v>
      </c>
      <c r="K100" s="4">
        <v>22055</v>
      </c>
      <c r="L100" s="4">
        <v>12709.01</v>
      </c>
      <c r="M100" s="4">
        <v>9345.99</v>
      </c>
      <c r="N100" t="s">
        <v>98</v>
      </c>
      <c r="O100" s="7">
        <v>2</v>
      </c>
      <c r="P100" s="2">
        <v>46001.083333333336</v>
      </c>
      <c r="Q100" t="s">
        <v>34</v>
      </c>
      <c r="R100">
        <v>12</v>
      </c>
      <c r="S100" t="s">
        <v>35</v>
      </c>
      <c r="T100">
        <f>IF(orders[[#This Row],[Status]]="Completed",1,0)</f>
        <v>0</v>
      </c>
      <c r="U100">
        <f>IF(orders[[#This Row],[Status]]="Pending",1,0)</f>
        <v>1</v>
      </c>
      <c r="V100">
        <f>IF(orders[[#This Row],[Status]]="Delayed",1,0)</f>
        <v>0</v>
      </c>
      <c r="W100">
        <f>IF(orders[[#This Row],[Status]]="Cancelled",1,0)</f>
        <v>0</v>
      </c>
    </row>
    <row r="101" spans="1:23" x14ac:dyDescent="0.35">
      <c r="A101" t="s">
        <v>271</v>
      </c>
      <c r="B101" s="1">
        <v>45786</v>
      </c>
      <c r="C101" t="s">
        <v>272</v>
      </c>
      <c r="D101" t="s">
        <v>77</v>
      </c>
      <c r="E101" t="s">
        <v>22</v>
      </c>
      <c r="F101" t="s">
        <v>39</v>
      </c>
      <c r="G101" t="s">
        <v>114</v>
      </c>
      <c r="H101" s="7">
        <v>5</v>
      </c>
      <c r="I101" s="4">
        <v>41364.15</v>
      </c>
      <c r="J101" s="23">
        <v>0.1</v>
      </c>
      <c r="K101" s="4">
        <v>37227.74</v>
      </c>
      <c r="L101" s="4">
        <v>26470.880000000001</v>
      </c>
      <c r="M101" s="4">
        <v>10756.86</v>
      </c>
      <c r="N101" t="s">
        <v>25</v>
      </c>
      <c r="O101" s="7">
        <v>48</v>
      </c>
      <c r="P101" s="2">
        <v>45788</v>
      </c>
      <c r="Q101" t="s">
        <v>74</v>
      </c>
      <c r="R101">
        <v>5</v>
      </c>
      <c r="S101" t="s">
        <v>27</v>
      </c>
      <c r="T101">
        <f>IF(orders[[#This Row],[Status]]="Completed",1,0)</f>
        <v>1</v>
      </c>
      <c r="U101">
        <f>IF(orders[[#This Row],[Status]]="Pending",1,0)</f>
        <v>0</v>
      </c>
      <c r="V101">
        <f>IF(orders[[#This Row],[Status]]="Delayed",1,0)</f>
        <v>0</v>
      </c>
      <c r="W101">
        <f>IF(orders[[#This Row],[Status]]="Cancelled",1,0)</f>
        <v>0</v>
      </c>
    </row>
    <row r="102" spans="1:23" x14ac:dyDescent="0.35">
      <c r="A102" t="s">
        <v>273</v>
      </c>
      <c r="B102" s="1">
        <v>45793</v>
      </c>
      <c r="C102" t="s">
        <v>145</v>
      </c>
      <c r="D102" t="s">
        <v>21</v>
      </c>
      <c r="E102" t="s">
        <v>31</v>
      </c>
      <c r="F102" t="s">
        <v>83</v>
      </c>
      <c r="G102" t="s">
        <v>107</v>
      </c>
      <c r="H102" s="7">
        <v>7</v>
      </c>
      <c r="I102" s="4">
        <v>58510.13</v>
      </c>
      <c r="J102" s="23">
        <v>0.25</v>
      </c>
      <c r="K102" s="4">
        <v>43882.6</v>
      </c>
      <c r="L102" s="4">
        <v>26377.360000000001</v>
      </c>
      <c r="M102" s="4">
        <v>17505.240000000002</v>
      </c>
      <c r="N102" t="s">
        <v>25</v>
      </c>
      <c r="O102" s="7">
        <v>45</v>
      </c>
      <c r="P102" s="2">
        <v>45794.875</v>
      </c>
      <c r="Q102" t="s">
        <v>74</v>
      </c>
      <c r="R102">
        <v>5</v>
      </c>
      <c r="S102" t="s">
        <v>27</v>
      </c>
      <c r="T102">
        <f>IF(orders[[#This Row],[Status]]="Completed",1,0)</f>
        <v>1</v>
      </c>
      <c r="U102">
        <f>IF(orders[[#This Row],[Status]]="Pending",1,0)</f>
        <v>0</v>
      </c>
      <c r="V102">
        <f>IF(orders[[#This Row],[Status]]="Delayed",1,0)</f>
        <v>0</v>
      </c>
      <c r="W102">
        <f>IF(orders[[#This Row],[Status]]="Cancelled",1,0)</f>
        <v>0</v>
      </c>
    </row>
    <row r="103" spans="1:23" x14ac:dyDescent="0.35">
      <c r="A103" t="s">
        <v>274</v>
      </c>
      <c r="B103" s="1">
        <v>45720</v>
      </c>
      <c r="C103" t="s">
        <v>275</v>
      </c>
      <c r="D103" t="s">
        <v>149</v>
      </c>
      <c r="E103" t="s">
        <v>59</v>
      </c>
      <c r="F103" t="s">
        <v>23</v>
      </c>
      <c r="G103" t="s">
        <v>24</v>
      </c>
      <c r="H103" s="7">
        <v>2</v>
      </c>
      <c r="I103" s="4">
        <v>8549.4599999999991</v>
      </c>
      <c r="J103" s="23">
        <v>0.15</v>
      </c>
      <c r="K103" s="4">
        <v>7267.04</v>
      </c>
      <c r="L103" s="4">
        <v>4883.32</v>
      </c>
      <c r="M103" s="4">
        <v>2383.7199999999998</v>
      </c>
      <c r="N103" t="s">
        <v>25</v>
      </c>
      <c r="O103" s="7">
        <v>12</v>
      </c>
      <c r="P103" s="2">
        <v>45720.5</v>
      </c>
      <c r="Q103" t="s">
        <v>54</v>
      </c>
      <c r="R103">
        <v>3</v>
      </c>
      <c r="S103" t="s">
        <v>55</v>
      </c>
      <c r="T103">
        <f>IF(orders[[#This Row],[Status]]="Completed",1,0)</f>
        <v>1</v>
      </c>
      <c r="U103">
        <f>IF(orders[[#This Row],[Status]]="Pending",1,0)</f>
        <v>0</v>
      </c>
      <c r="V103">
        <f>IF(orders[[#This Row],[Status]]="Delayed",1,0)</f>
        <v>0</v>
      </c>
      <c r="W103">
        <f>IF(orders[[#This Row],[Status]]="Cancelled",1,0)</f>
        <v>0</v>
      </c>
    </row>
    <row r="104" spans="1:23" x14ac:dyDescent="0.35">
      <c r="A104" t="s">
        <v>276</v>
      </c>
      <c r="B104" s="1">
        <v>45796</v>
      </c>
      <c r="C104" t="s">
        <v>277</v>
      </c>
      <c r="D104" t="s">
        <v>58</v>
      </c>
      <c r="E104" t="s">
        <v>46</v>
      </c>
      <c r="F104" t="s">
        <v>83</v>
      </c>
      <c r="G104" t="s">
        <v>155</v>
      </c>
      <c r="H104" s="7">
        <v>6</v>
      </c>
      <c r="I104" s="4">
        <v>44454.54</v>
      </c>
      <c r="J104" s="23">
        <v>0.05</v>
      </c>
      <c r="K104" s="4">
        <v>42231.81</v>
      </c>
      <c r="L104" s="4">
        <v>27816.86</v>
      </c>
      <c r="M104" s="4">
        <v>14414.95</v>
      </c>
      <c r="N104" t="s">
        <v>85</v>
      </c>
      <c r="O104" s="7">
        <v>70</v>
      </c>
      <c r="P104" s="2">
        <v>45798.916666666664</v>
      </c>
      <c r="Q104" t="s">
        <v>74</v>
      </c>
      <c r="R104">
        <v>5</v>
      </c>
      <c r="S104" t="s">
        <v>27</v>
      </c>
      <c r="T104">
        <f>IF(orders[[#This Row],[Status]]="Completed",1,0)</f>
        <v>0</v>
      </c>
      <c r="U104">
        <f>IF(orders[[#This Row],[Status]]="Pending",1,0)</f>
        <v>0</v>
      </c>
      <c r="V104">
        <f>IF(orders[[#This Row],[Status]]="Delayed",1,0)</f>
        <v>1</v>
      </c>
      <c r="W104">
        <f>IF(orders[[#This Row],[Status]]="Cancelled",1,0)</f>
        <v>0</v>
      </c>
    </row>
    <row r="105" spans="1:23" x14ac:dyDescent="0.35">
      <c r="A105" t="s">
        <v>278</v>
      </c>
      <c r="B105" s="1">
        <v>45738</v>
      </c>
      <c r="C105" t="s">
        <v>279</v>
      </c>
      <c r="D105" t="s">
        <v>58</v>
      </c>
      <c r="E105" t="s">
        <v>46</v>
      </c>
      <c r="F105" t="s">
        <v>39</v>
      </c>
      <c r="G105" t="s">
        <v>114</v>
      </c>
      <c r="H105" s="7">
        <v>6</v>
      </c>
      <c r="I105" s="4">
        <v>37815</v>
      </c>
      <c r="J105" s="23">
        <v>0</v>
      </c>
      <c r="K105" s="4">
        <v>37815</v>
      </c>
      <c r="L105" s="4">
        <v>26083.59</v>
      </c>
      <c r="M105" s="4">
        <v>11731.41</v>
      </c>
      <c r="N105" t="s">
        <v>85</v>
      </c>
      <c r="O105" s="7">
        <v>73</v>
      </c>
      <c r="P105" s="2">
        <v>45741.041666666664</v>
      </c>
      <c r="Q105" t="s">
        <v>54</v>
      </c>
      <c r="R105">
        <v>3</v>
      </c>
      <c r="S105" t="s">
        <v>55</v>
      </c>
      <c r="T105">
        <f>IF(orders[[#This Row],[Status]]="Completed",1,0)</f>
        <v>0</v>
      </c>
      <c r="U105">
        <f>IF(orders[[#This Row],[Status]]="Pending",1,0)</f>
        <v>0</v>
      </c>
      <c r="V105">
        <f>IF(orders[[#This Row],[Status]]="Delayed",1,0)</f>
        <v>1</v>
      </c>
      <c r="W105">
        <f>IF(orders[[#This Row],[Status]]="Cancelled",1,0)</f>
        <v>0</v>
      </c>
    </row>
    <row r="106" spans="1:23" x14ac:dyDescent="0.35">
      <c r="A106" t="s">
        <v>280</v>
      </c>
      <c r="B106" s="1">
        <v>45820</v>
      </c>
      <c r="C106" t="s">
        <v>281</v>
      </c>
      <c r="D106" t="s">
        <v>51</v>
      </c>
      <c r="E106" t="s">
        <v>22</v>
      </c>
      <c r="F106" t="s">
        <v>32</v>
      </c>
      <c r="G106" t="s">
        <v>33</v>
      </c>
      <c r="H106" s="7">
        <v>1</v>
      </c>
      <c r="I106" s="4">
        <v>4333.6899999999996</v>
      </c>
      <c r="J106" s="23">
        <v>0.1</v>
      </c>
      <c r="K106" s="4">
        <v>3900.32</v>
      </c>
      <c r="L106" s="4">
        <v>2880.93</v>
      </c>
      <c r="M106" s="4">
        <v>1019.39</v>
      </c>
      <c r="N106" t="s">
        <v>25</v>
      </c>
      <c r="O106" s="7">
        <v>14</v>
      </c>
      <c r="P106" s="2">
        <v>45820.583333333336</v>
      </c>
      <c r="Q106" t="s">
        <v>99</v>
      </c>
      <c r="R106">
        <v>6</v>
      </c>
      <c r="S106" t="s">
        <v>27</v>
      </c>
      <c r="T106">
        <f>IF(orders[[#This Row],[Status]]="Completed",1,0)</f>
        <v>1</v>
      </c>
      <c r="U106">
        <f>IF(orders[[#This Row],[Status]]="Pending",1,0)</f>
        <v>0</v>
      </c>
      <c r="V106">
        <f>IF(orders[[#This Row],[Status]]="Delayed",1,0)</f>
        <v>0</v>
      </c>
      <c r="W106">
        <f>IF(orders[[#This Row],[Status]]="Cancelled",1,0)</f>
        <v>0</v>
      </c>
    </row>
    <row r="107" spans="1:23" x14ac:dyDescent="0.35">
      <c r="A107" t="s">
        <v>282</v>
      </c>
      <c r="B107" s="1">
        <v>45946</v>
      </c>
      <c r="C107" t="s">
        <v>223</v>
      </c>
      <c r="D107" t="s">
        <v>21</v>
      </c>
      <c r="E107" t="s">
        <v>46</v>
      </c>
      <c r="F107" t="s">
        <v>72</v>
      </c>
      <c r="G107" t="s">
        <v>146</v>
      </c>
      <c r="H107" s="7">
        <v>7</v>
      </c>
      <c r="I107" s="4">
        <v>34527.85</v>
      </c>
      <c r="J107" s="23">
        <v>0</v>
      </c>
      <c r="K107" s="4">
        <v>34527.85</v>
      </c>
      <c r="L107" s="4">
        <v>29277.87</v>
      </c>
      <c r="M107" s="4">
        <v>5249.98</v>
      </c>
      <c r="N107" t="s">
        <v>98</v>
      </c>
      <c r="O107" s="7">
        <v>13</v>
      </c>
      <c r="P107" s="2">
        <v>45946.541666666664</v>
      </c>
      <c r="Q107" t="s">
        <v>116</v>
      </c>
      <c r="R107">
        <v>10</v>
      </c>
      <c r="S107" t="s">
        <v>35</v>
      </c>
      <c r="T107">
        <f>IF(orders[[#This Row],[Status]]="Completed",1,0)</f>
        <v>0</v>
      </c>
      <c r="U107">
        <f>IF(orders[[#This Row],[Status]]="Pending",1,0)</f>
        <v>1</v>
      </c>
      <c r="V107">
        <f>IF(orders[[#This Row],[Status]]="Delayed",1,0)</f>
        <v>0</v>
      </c>
      <c r="W107">
        <f>IF(orders[[#This Row],[Status]]="Cancelled",1,0)</f>
        <v>0</v>
      </c>
    </row>
    <row r="108" spans="1:23" x14ac:dyDescent="0.35">
      <c r="A108" t="s">
        <v>283</v>
      </c>
      <c r="B108" s="1">
        <v>45918</v>
      </c>
      <c r="C108" t="s">
        <v>284</v>
      </c>
      <c r="D108" t="s">
        <v>68</v>
      </c>
      <c r="E108" t="s">
        <v>46</v>
      </c>
      <c r="F108" t="s">
        <v>39</v>
      </c>
      <c r="G108" t="s">
        <v>114</v>
      </c>
      <c r="H108" s="7">
        <v>1</v>
      </c>
      <c r="I108" s="4">
        <v>1295.8499999999999</v>
      </c>
      <c r="J108" s="23">
        <v>0.15</v>
      </c>
      <c r="K108" s="4">
        <v>1101.47</v>
      </c>
      <c r="L108" s="4">
        <v>749.2</v>
      </c>
      <c r="M108" s="4">
        <v>352.27</v>
      </c>
      <c r="N108" t="s">
        <v>98</v>
      </c>
      <c r="O108" s="7">
        <v>18</v>
      </c>
      <c r="P108" s="2">
        <v>45918.75</v>
      </c>
      <c r="Q108" t="s">
        <v>41</v>
      </c>
      <c r="R108">
        <v>9</v>
      </c>
      <c r="S108" t="s">
        <v>42</v>
      </c>
      <c r="T108">
        <f>IF(orders[[#This Row],[Status]]="Completed",1,0)</f>
        <v>0</v>
      </c>
      <c r="U108">
        <f>IF(orders[[#This Row],[Status]]="Pending",1,0)</f>
        <v>1</v>
      </c>
      <c r="V108">
        <f>IF(orders[[#This Row],[Status]]="Delayed",1,0)</f>
        <v>0</v>
      </c>
      <c r="W108">
        <f>IF(orders[[#This Row],[Status]]="Cancelled",1,0)</f>
        <v>0</v>
      </c>
    </row>
    <row r="109" spans="1:23" x14ac:dyDescent="0.35">
      <c r="A109" t="s">
        <v>285</v>
      </c>
      <c r="B109" s="1">
        <v>45888</v>
      </c>
      <c r="C109" t="s">
        <v>286</v>
      </c>
      <c r="D109" t="s">
        <v>30</v>
      </c>
      <c r="E109" t="s">
        <v>52</v>
      </c>
      <c r="F109" t="s">
        <v>32</v>
      </c>
      <c r="G109" t="s">
        <v>33</v>
      </c>
      <c r="H109" s="7">
        <v>5</v>
      </c>
      <c r="I109" s="4">
        <v>39897.35</v>
      </c>
      <c r="J109" s="23">
        <v>0.05</v>
      </c>
      <c r="K109" s="4">
        <v>37902.480000000003</v>
      </c>
      <c r="L109" s="4">
        <v>33118.17</v>
      </c>
      <c r="M109" s="4">
        <v>4784.3100000000004</v>
      </c>
      <c r="N109" t="s">
        <v>25</v>
      </c>
      <c r="O109" s="7">
        <v>14</v>
      </c>
      <c r="P109" s="2">
        <v>45888.583333333336</v>
      </c>
      <c r="Q109" t="s">
        <v>80</v>
      </c>
      <c r="R109">
        <v>8</v>
      </c>
      <c r="S109" t="s">
        <v>42</v>
      </c>
      <c r="T109">
        <f>IF(orders[[#This Row],[Status]]="Completed",1,0)</f>
        <v>1</v>
      </c>
      <c r="U109">
        <f>IF(orders[[#This Row],[Status]]="Pending",1,0)</f>
        <v>0</v>
      </c>
      <c r="V109">
        <f>IF(orders[[#This Row],[Status]]="Delayed",1,0)</f>
        <v>0</v>
      </c>
      <c r="W109">
        <f>IF(orders[[#This Row],[Status]]="Cancelled",1,0)</f>
        <v>0</v>
      </c>
    </row>
    <row r="110" spans="1:23" x14ac:dyDescent="0.35">
      <c r="A110" t="s">
        <v>287</v>
      </c>
      <c r="B110" s="1">
        <v>45698</v>
      </c>
      <c r="C110" t="s">
        <v>288</v>
      </c>
      <c r="D110" t="s">
        <v>77</v>
      </c>
      <c r="E110" t="s">
        <v>92</v>
      </c>
      <c r="F110" t="s">
        <v>23</v>
      </c>
      <c r="G110" t="s">
        <v>24</v>
      </c>
      <c r="H110" s="7">
        <v>5</v>
      </c>
      <c r="I110" s="4">
        <v>15443.05</v>
      </c>
      <c r="J110" s="23">
        <v>0.05</v>
      </c>
      <c r="K110" s="4">
        <v>14670.9</v>
      </c>
      <c r="L110" s="4">
        <v>11743.75</v>
      </c>
      <c r="M110" s="4">
        <v>2927.15</v>
      </c>
      <c r="N110" t="s">
        <v>48</v>
      </c>
      <c r="O110" s="7">
        <v>15</v>
      </c>
      <c r="P110" s="2">
        <v>45698.625</v>
      </c>
      <c r="Q110" t="s">
        <v>139</v>
      </c>
      <c r="R110">
        <v>2</v>
      </c>
      <c r="S110" t="s">
        <v>55</v>
      </c>
      <c r="T110">
        <f>IF(orders[[#This Row],[Status]]="Completed",1,0)</f>
        <v>0</v>
      </c>
      <c r="U110">
        <f>IF(orders[[#This Row],[Status]]="Pending",1,0)</f>
        <v>0</v>
      </c>
      <c r="V110">
        <f>IF(orders[[#This Row],[Status]]="Delayed",1,0)</f>
        <v>0</v>
      </c>
      <c r="W110">
        <f>IF(orders[[#This Row],[Status]]="Cancelled",1,0)</f>
        <v>1</v>
      </c>
    </row>
    <row r="111" spans="1:23" x14ac:dyDescent="0.35">
      <c r="A111" t="s">
        <v>289</v>
      </c>
      <c r="B111" s="1">
        <v>45685</v>
      </c>
      <c r="C111" t="s">
        <v>290</v>
      </c>
      <c r="D111" t="s">
        <v>30</v>
      </c>
      <c r="E111" t="s">
        <v>59</v>
      </c>
      <c r="F111" t="s">
        <v>83</v>
      </c>
      <c r="G111" t="s">
        <v>155</v>
      </c>
      <c r="H111" s="7">
        <v>4</v>
      </c>
      <c r="I111" s="4">
        <v>15501.4</v>
      </c>
      <c r="J111" s="23">
        <v>0</v>
      </c>
      <c r="K111" s="4">
        <v>15501.4</v>
      </c>
      <c r="L111" s="4">
        <v>11142.23</v>
      </c>
      <c r="M111" s="4">
        <v>4359.17</v>
      </c>
      <c r="N111" t="s">
        <v>48</v>
      </c>
      <c r="O111" s="7">
        <v>21</v>
      </c>
      <c r="P111" s="2">
        <v>45685.875</v>
      </c>
      <c r="Q111" t="s">
        <v>65</v>
      </c>
      <c r="R111">
        <v>1</v>
      </c>
      <c r="S111" t="s">
        <v>55</v>
      </c>
      <c r="T111">
        <f>IF(orders[[#This Row],[Status]]="Completed",1,0)</f>
        <v>0</v>
      </c>
      <c r="U111">
        <f>IF(orders[[#This Row],[Status]]="Pending",1,0)</f>
        <v>0</v>
      </c>
      <c r="V111">
        <f>IF(orders[[#This Row],[Status]]="Delayed",1,0)</f>
        <v>0</v>
      </c>
      <c r="W111">
        <f>IF(orders[[#This Row],[Status]]="Cancelled",1,0)</f>
        <v>1</v>
      </c>
    </row>
    <row r="112" spans="1:23" x14ac:dyDescent="0.35">
      <c r="A112" t="s">
        <v>291</v>
      </c>
      <c r="B112" s="1">
        <v>45792</v>
      </c>
      <c r="C112" t="s">
        <v>292</v>
      </c>
      <c r="D112" t="s">
        <v>68</v>
      </c>
      <c r="E112" t="s">
        <v>113</v>
      </c>
      <c r="F112" t="s">
        <v>83</v>
      </c>
      <c r="G112" t="s">
        <v>107</v>
      </c>
      <c r="H112" s="7">
        <v>3</v>
      </c>
      <c r="I112" s="4">
        <v>17275.080000000002</v>
      </c>
      <c r="J112" s="23">
        <v>0.15</v>
      </c>
      <c r="K112" s="4">
        <v>14683.82</v>
      </c>
      <c r="L112" s="4">
        <v>11196.83</v>
      </c>
      <c r="M112" s="4">
        <v>3486.99</v>
      </c>
      <c r="N112" t="s">
        <v>48</v>
      </c>
      <c r="O112" s="7">
        <v>19</v>
      </c>
      <c r="P112" s="2">
        <v>45792.791666666664</v>
      </c>
      <c r="Q112" t="s">
        <v>74</v>
      </c>
      <c r="R112">
        <v>5</v>
      </c>
      <c r="S112" t="s">
        <v>27</v>
      </c>
      <c r="T112">
        <f>IF(orders[[#This Row],[Status]]="Completed",1,0)</f>
        <v>0</v>
      </c>
      <c r="U112">
        <f>IF(orders[[#This Row],[Status]]="Pending",1,0)</f>
        <v>0</v>
      </c>
      <c r="V112">
        <f>IF(orders[[#This Row],[Status]]="Delayed",1,0)</f>
        <v>0</v>
      </c>
      <c r="W112">
        <f>IF(orders[[#This Row],[Status]]="Cancelled",1,0)</f>
        <v>1</v>
      </c>
    </row>
    <row r="113" spans="1:23" x14ac:dyDescent="0.35">
      <c r="A113" t="s">
        <v>293</v>
      </c>
      <c r="B113" s="1">
        <v>45858</v>
      </c>
      <c r="C113" t="s">
        <v>157</v>
      </c>
      <c r="D113" t="s">
        <v>68</v>
      </c>
      <c r="E113" t="s">
        <v>78</v>
      </c>
      <c r="F113" t="s">
        <v>83</v>
      </c>
      <c r="G113" t="s">
        <v>182</v>
      </c>
      <c r="H113" s="7">
        <v>1</v>
      </c>
      <c r="I113" s="4">
        <v>2938.09</v>
      </c>
      <c r="J113" s="23">
        <v>0</v>
      </c>
      <c r="K113" s="4">
        <v>2938.09</v>
      </c>
      <c r="L113" s="4">
        <v>1715.06</v>
      </c>
      <c r="M113" s="4">
        <v>1223.03</v>
      </c>
      <c r="N113" t="s">
        <v>25</v>
      </c>
      <c r="O113" s="7">
        <v>14</v>
      </c>
      <c r="P113" s="2">
        <v>45858.583333333336</v>
      </c>
      <c r="Q113" t="s">
        <v>60</v>
      </c>
      <c r="R113">
        <v>7</v>
      </c>
      <c r="S113" t="s">
        <v>42</v>
      </c>
      <c r="T113">
        <f>IF(orders[[#This Row],[Status]]="Completed",1,0)</f>
        <v>1</v>
      </c>
      <c r="U113">
        <f>IF(orders[[#This Row],[Status]]="Pending",1,0)</f>
        <v>0</v>
      </c>
      <c r="V113">
        <f>IF(orders[[#This Row],[Status]]="Delayed",1,0)</f>
        <v>0</v>
      </c>
      <c r="W113">
        <f>IF(orders[[#This Row],[Status]]="Cancelled",1,0)</f>
        <v>0</v>
      </c>
    </row>
    <row r="114" spans="1:23" x14ac:dyDescent="0.35">
      <c r="A114" t="s">
        <v>294</v>
      </c>
      <c r="B114" s="1">
        <v>45985</v>
      </c>
      <c r="C114" t="s">
        <v>275</v>
      </c>
      <c r="D114" t="s">
        <v>21</v>
      </c>
      <c r="E114" t="s">
        <v>59</v>
      </c>
      <c r="F114" t="s">
        <v>23</v>
      </c>
      <c r="G114" t="s">
        <v>136</v>
      </c>
      <c r="H114" s="7">
        <v>5</v>
      </c>
      <c r="I114" s="4">
        <v>11365.3</v>
      </c>
      <c r="J114" s="23">
        <v>0.15</v>
      </c>
      <c r="K114" s="4">
        <v>9660.5</v>
      </c>
      <c r="L114" s="4">
        <v>8005.58</v>
      </c>
      <c r="M114" s="4">
        <v>1654.92</v>
      </c>
      <c r="N114" t="s">
        <v>48</v>
      </c>
      <c r="O114" s="7">
        <v>9</v>
      </c>
      <c r="P114" s="2">
        <v>45985.375</v>
      </c>
      <c r="Q114" t="s">
        <v>86</v>
      </c>
      <c r="R114">
        <v>11</v>
      </c>
      <c r="S114" t="s">
        <v>35</v>
      </c>
      <c r="T114">
        <f>IF(orders[[#This Row],[Status]]="Completed",1,0)</f>
        <v>0</v>
      </c>
      <c r="U114">
        <f>IF(orders[[#This Row],[Status]]="Pending",1,0)</f>
        <v>0</v>
      </c>
      <c r="V114">
        <f>IF(orders[[#This Row],[Status]]="Delayed",1,0)</f>
        <v>0</v>
      </c>
      <c r="W114">
        <f>IF(orders[[#This Row],[Status]]="Cancelled",1,0)</f>
        <v>1</v>
      </c>
    </row>
    <row r="115" spans="1:23" x14ac:dyDescent="0.35">
      <c r="A115" t="s">
        <v>295</v>
      </c>
      <c r="B115" s="1">
        <v>45925</v>
      </c>
      <c r="C115" t="s">
        <v>181</v>
      </c>
      <c r="D115" t="s">
        <v>68</v>
      </c>
      <c r="E115" t="s">
        <v>31</v>
      </c>
      <c r="F115" t="s">
        <v>32</v>
      </c>
      <c r="G115" t="s">
        <v>53</v>
      </c>
      <c r="H115" s="7">
        <v>1</v>
      </c>
      <c r="I115" s="4">
        <v>5419.26</v>
      </c>
      <c r="J115" s="23">
        <v>0.1</v>
      </c>
      <c r="K115" s="4">
        <v>4877.33</v>
      </c>
      <c r="L115" s="4">
        <v>3619.85</v>
      </c>
      <c r="M115" s="4">
        <v>1257.48</v>
      </c>
      <c r="N115" t="s">
        <v>25</v>
      </c>
      <c r="O115" s="7">
        <v>31</v>
      </c>
      <c r="P115" s="2">
        <v>45926.291666666664</v>
      </c>
      <c r="Q115" t="s">
        <v>41</v>
      </c>
      <c r="R115">
        <v>9</v>
      </c>
      <c r="S115" t="s">
        <v>42</v>
      </c>
      <c r="T115">
        <f>IF(orders[[#This Row],[Status]]="Completed",1,0)</f>
        <v>1</v>
      </c>
      <c r="U115">
        <f>IF(orders[[#This Row],[Status]]="Pending",1,0)</f>
        <v>0</v>
      </c>
      <c r="V115">
        <f>IF(orders[[#This Row],[Status]]="Delayed",1,0)</f>
        <v>0</v>
      </c>
      <c r="W115">
        <f>IF(orders[[#This Row],[Status]]="Cancelled",1,0)</f>
        <v>0</v>
      </c>
    </row>
    <row r="116" spans="1:23" x14ac:dyDescent="0.35">
      <c r="A116" t="s">
        <v>296</v>
      </c>
      <c r="B116" s="1">
        <v>45690</v>
      </c>
      <c r="C116" t="s">
        <v>297</v>
      </c>
      <c r="D116" t="s">
        <v>51</v>
      </c>
      <c r="E116" t="s">
        <v>46</v>
      </c>
      <c r="F116" t="s">
        <v>23</v>
      </c>
      <c r="G116" t="s">
        <v>110</v>
      </c>
      <c r="H116" s="7">
        <v>5</v>
      </c>
      <c r="I116" s="4">
        <v>1793.1</v>
      </c>
      <c r="J116" s="23">
        <v>0.15</v>
      </c>
      <c r="K116" s="4">
        <v>1524.14</v>
      </c>
      <c r="L116" s="4">
        <v>1334.24</v>
      </c>
      <c r="M116" s="4">
        <v>189.9</v>
      </c>
      <c r="N116" t="s">
        <v>85</v>
      </c>
      <c r="O116" s="7">
        <v>89</v>
      </c>
      <c r="P116" s="2">
        <v>45693.708333333336</v>
      </c>
      <c r="Q116" t="s">
        <v>139</v>
      </c>
      <c r="R116">
        <v>2</v>
      </c>
      <c r="S116" t="s">
        <v>55</v>
      </c>
      <c r="T116">
        <f>IF(orders[[#This Row],[Status]]="Completed",1,0)</f>
        <v>0</v>
      </c>
      <c r="U116">
        <f>IF(orders[[#This Row],[Status]]="Pending",1,0)</f>
        <v>0</v>
      </c>
      <c r="V116">
        <f>IF(orders[[#This Row],[Status]]="Delayed",1,0)</f>
        <v>1</v>
      </c>
      <c r="W116">
        <f>IF(orders[[#This Row],[Status]]="Cancelled",1,0)</f>
        <v>0</v>
      </c>
    </row>
    <row r="117" spans="1:23" x14ac:dyDescent="0.35">
      <c r="A117" t="s">
        <v>298</v>
      </c>
      <c r="B117" s="1">
        <v>45705</v>
      </c>
      <c r="C117" t="s">
        <v>299</v>
      </c>
      <c r="D117" t="s">
        <v>149</v>
      </c>
      <c r="E117" t="s">
        <v>92</v>
      </c>
      <c r="F117" t="s">
        <v>83</v>
      </c>
      <c r="G117" t="s">
        <v>107</v>
      </c>
      <c r="H117" s="7">
        <v>2</v>
      </c>
      <c r="I117" s="4">
        <v>12336.1</v>
      </c>
      <c r="J117" s="23">
        <v>0.1</v>
      </c>
      <c r="K117" s="4">
        <v>11102.49</v>
      </c>
      <c r="L117" s="4">
        <v>8438.1299999999992</v>
      </c>
      <c r="M117" s="4">
        <v>2664.36</v>
      </c>
      <c r="N117" t="s">
        <v>85</v>
      </c>
      <c r="O117" s="7">
        <v>95</v>
      </c>
      <c r="P117" s="2">
        <v>45708.958333333336</v>
      </c>
      <c r="Q117" t="s">
        <v>139</v>
      </c>
      <c r="R117">
        <v>2</v>
      </c>
      <c r="S117" t="s">
        <v>55</v>
      </c>
      <c r="T117">
        <f>IF(orders[[#This Row],[Status]]="Completed",1,0)</f>
        <v>0</v>
      </c>
      <c r="U117">
        <f>IF(orders[[#This Row],[Status]]="Pending",1,0)</f>
        <v>0</v>
      </c>
      <c r="V117">
        <f>IF(orders[[#This Row],[Status]]="Delayed",1,0)</f>
        <v>1</v>
      </c>
      <c r="W117">
        <f>IF(orders[[#This Row],[Status]]="Cancelled",1,0)</f>
        <v>0</v>
      </c>
    </row>
    <row r="118" spans="1:23" x14ac:dyDescent="0.35">
      <c r="A118" t="s">
        <v>300</v>
      </c>
      <c r="B118" s="1">
        <v>45719</v>
      </c>
      <c r="C118" t="s">
        <v>196</v>
      </c>
      <c r="D118" t="s">
        <v>68</v>
      </c>
      <c r="E118" t="s">
        <v>78</v>
      </c>
      <c r="F118" t="s">
        <v>39</v>
      </c>
      <c r="G118" t="s">
        <v>93</v>
      </c>
      <c r="H118" s="7">
        <v>1</v>
      </c>
      <c r="I118" s="4">
        <v>4442.1000000000004</v>
      </c>
      <c r="J118" s="23">
        <v>0</v>
      </c>
      <c r="K118" s="4">
        <v>4442.1000000000004</v>
      </c>
      <c r="L118" s="4">
        <v>3665.87</v>
      </c>
      <c r="M118" s="4">
        <v>776.23</v>
      </c>
      <c r="N118" t="s">
        <v>25</v>
      </c>
      <c r="O118" s="7">
        <v>28</v>
      </c>
      <c r="P118" s="2">
        <v>45720.166666666664</v>
      </c>
      <c r="Q118" t="s">
        <v>54</v>
      </c>
      <c r="R118">
        <v>3</v>
      </c>
      <c r="S118" t="s">
        <v>55</v>
      </c>
      <c r="T118">
        <f>IF(orders[[#This Row],[Status]]="Completed",1,0)</f>
        <v>1</v>
      </c>
      <c r="U118">
        <f>IF(orders[[#This Row],[Status]]="Pending",1,0)</f>
        <v>0</v>
      </c>
      <c r="V118">
        <f>IF(orders[[#This Row],[Status]]="Delayed",1,0)</f>
        <v>0</v>
      </c>
      <c r="W118">
        <f>IF(orders[[#This Row],[Status]]="Cancelled",1,0)</f>
        <v>0</v>
      </c>
    </row>
    <row r="119" spans="1:23" x14ac:dyDescent="0.35">
      <c r="A119" t="s">
        <v>301</v>
      </c>
      <c r="B119" s="1">
        <v>45873</v>
      </c>
      <c r="C119" t="s">
        <v>302</v>
      </c>
      <c r="D119" t="s">
        <v>30</v>
      </c>
      <c r="E119" t="s">
        <v>31</v>
      </c>
      <c r="F119" t="s">
        <v>72</v>
      </c>
      <c r="G119" t="s">
        <v>129</v>
      </c>
      <c r="H119" s="7">
        <v>2</v>
      </c>
      <c r="I119" s="4">
        <v>10416.08</v>
      </c>
      <c r="J119" s="23">
        <v>0.15</v>
      </c>
      <c r="K119" s="4">
        <v>8853.67</v>
      </c>
      <c r="L119" s="4">
        <v>7206.19</v>
      </c>
      <c r="M119" s="4">
        <v>1647.48</v>
      </c>
      <c r="N119" t="s">
        <v>25</v>
      </c>
      <c r="O119" s="7">
        <v>23</v>
      </c>
      <c r="P119" s="2">
        <v>45873.958333333336</v>
      </c>
      <c r="Q119" t="s">
        <v>80</v>
      </c>
      <c r="R119">
        <v>8</v>
      </c>
      <c r="S119" t="s">
        <v>42</v>
      </c>
      <c r="T119">
        <f>IF(orders[[#This Row],[Status]]="Completed",1,0)</f>
        <v>1</v>
      </c>
      <c r="U119">
        <f>IF(orders[[#This Row],[Status]]="Pending",1,0)</f>
        <v>0</v>
      </c>
      <c r="V119">
        <f>IF(orders[[#This Row],[Status]]="Delayed",1,0)</f>
        <v>0</v>
      </c>
      <c r="W119">
        <f>IF(orders[[#This Row],[Status]]="Cancelled",1,0)</f>
        <v>0</v>
      </c>
    </row>
    <row r="120" spans="1:23" x14ac:dyDescent="0.35">
      <c r="A120" t="s">
        <v>303</v>
      </c>
      <c r="B120" s="1">
        <v>45950</v>
      </c>
      <c r="C120" t="s">
        <v>304</v>
      </c>
      <c r="D120" t="s">
        <v>68</v>
      </c>
      <c r="E120" t="s">
        <v>22</v>
      </c>
      <c r="F120" t="s">
        <v>23</v>
      </c>
      <c r="G120" t="s">
        <v>110</v>
      </c>
      <c r="H120" s="7">
        <v>1</v>
      </c>
      <c r="I120" s="4">
        <v>5426.2</v>
      </c>
      <c r="J120" s="23">
        <v>0</v>
      </c>
      <c r="K120" s="4">
        <v>5426.2</v>
      </c>
      <c r="L120" s="4">
        <v>3603.01</v>
      </c>
      <c r="M120" s="4">
        <v>1823.19</v>
      </c>
      <c r="N120" t="s">
        <v>25</v>
      </c>
      <c r="O120" s="7">
        <v>31</v>
      </c>
      <c r="P120" s="2">
        <v>45951.291666666664</v>
      </c>
      <c r="Q120" t="s">
        <v>116</v>
      </c>
      <c r="R120">
        <v>10</v>
      </c>
      <c r="S120" t="s">
        <v>35</v>
      </c>
      <c r="T120">
        <f>IF(orders[[#This Row],[Status]]="Completed",1,0)</f>
        <v>1</v>
      </c>
      <c r="U120">
        <f>IF(orders[[#This Row],[Status]]="Pending",1,0)</f>
        <v>0</v>
      </c>
      <c r="V120">
        <f>IF(orders[[#This Row],[Status]]="Delayed",1,0)</f>
        <v>0</v>
      </c>
      <c r="W120">
        <f>IF(orders[[#This Row],[Status]]="Cancelled",1,0)</f>
        <v>0</v>
      </c>
    </row>
    <row r="121" spans="1:23" x14ac:dyDescent="0.35">
      <c r="A121" t="s">
        <v>305</v>
      </c>
      <c r="B121" s="1">
        <v>45756</v>
      </c>
      <c r="C121" t="s">
        <v>154</v>
      </c>
      <c r="D121" t="s">
        <v>51</v>
      </c>
      <c r="E121" t="s">
        <v>52</v>
      </c>
      <c r="F121" t="s">
        <v>23</v>
      </c>
      <c r="G121" t="s">
        <v>136</v>
      </c>
      <c r="H121" s="7">
        <v>3</v>
      </c>
      <c r="I121" s="4">
        <v>13652.61</v>
      </c>
      <c r="J121" s="23">
        <v>0.1</v>
      </c>
      <c r="K121" s="4">
        <v>12287.35</v>
      </c>
      <c r="L121" s="4">
        <v>7810.72</v>
      </c>
      <c r="M121" s="4">
        <v>4476.63</v>
      </c>
      <c r="N121" t="s">
        <v>85</v>
      </c>
      <c r="O121" s="7">
        <v>79</v>
      </c>
      <c r="P121" s="2">
        <v>45759.291666666664</v>
      </c>
      <c r="Q121" t="s">
        <v>26</v>
      </c>
      <c r="R121">
        <v>4</v>
      </c>
      <c r="S121" t="s">
        <v>27</v>
      </c>
      <c r="T121">
        <f>IF(orders[[#This Row],[Status]]="Completed",1,0)</f>
        <v>0</v>
      </c>
      <c r="U121">
        <f>IF(orders[[#This Row],[Status]]="Pending",1,0)</f>
        <v>0</v>
      </c>
      <c r="V121">
        <f>IF(orders[[#This Row],[Status]]="Delayed",1,0)</f>
        <v>1</v>
      </c>
      <c r="W121">
        <f>IF(orders[[#This Row],[Status]]="Cancelled",1,0)</f>
        <v>0</v>
      </c>
    </row>
    <row r="122" spans="1:23" x14ac:dyDescent="0.35">
      <c r="A122" t="s">
        <v>306</v>
      </c>
      <c r="B122" s="1">
        <v>45829</v>
      </c>
      <c r="C122" t="s">
        <v>307</v>
      </c>
      <c r="D122" t="s">
        <v>63</v>
      </c>
      <c r="E122" t="s">
        <v>46</v>
      </c>
      <c r="F122" t="s">
        <v>32</v>
      </c>
      <c r="G122" t="s">
        <v>33</v>
      </c>
      <c r="H122" s="7">
        <v>4</v>
      </c>
      <c r="I122" s="4">
        <v>20056.64</v>
      </c>
      <c r="J122" s="23">
        <v>0</v>
      </c>
      <c r="K122" s="4">
        <v>20056.64</v>
      </c>
      <c r="L122" s="4">
        <v>13880.46</v>
      </c>
      <c r="M122" s="4">
        <v>6176.18</v>
      </c>
      <c r="N122" t="s">
        <v>25</v>
      </c>
      <c r="O122" s="7">
        <v>14</v>
      </c>
      <c r="P122" s="2">
        <v>45829.583333333336</v>
      </c>
      <c r="Q122" t="s">
        <v>99</v>
      </c>
      <c r="R122">
        <v>6</v>
      </c>
      <c r="S122" t="s">
        <v>27</v>
      </c>
      <c r="T122">
        <f>IF(orders[[#This Row],[Status]]="Completed",1,0)</f>
        <v>1</v>
      </c>
      <c r="U122">
        <f>IF(orders[[#This Row],[Status]]="Pending",1,0)</f>
        <v>0</v>
      </c>
      <c r="V122">
        <f>IF(orders[[#This Row],[Status]]="Delayed",1,0)</f>
        <v>0</v>
      </c>
      <c r="W122">
        <f>IF(orders[[#This Row],[Status]]="Cancelled",1,0)</f>
        <v>0</v>
      </c>
    </row>
    <row r="123" spans="1:23" x14ac:dyDescent="0.35">
      <c r="A123" t="s">
        <v>308</v>
      </c>
      <c r="B123" s="1">
        <v>46017</v>
      </c>
      <c r="C123" t="s">
        <v>242</v>
      </c>
      <c r="D123" t="s">
        <v>63</v>
      </c>
      <c r="E123" t="s">
        <v>52</v>
      </c>
      <c r="F123" t="s">
        <v>32</v>
      </c>
      <c r="G123" t="s">
        <v>79</v>
      </c>
      <c r="H123" s="7">
        <v>6</v>
      </c>
      <c r="I123" s="4">
        <v>35157.78</v>
      </c>
      <c r="J123" s="23">
        <v>0.15</v>
      </c>
      <c r="K123" s="4">
        <v>29884.11</v>
      </c>
      <c r="L123" s="4">
        <v>21044.080000000002</v>
      </c>
      <c r="M123" s="4">
        <v>8840.0300000000007</v>
      </c>
      <c r="N123" t="s">
        <v>85</v>
      </c>
      <c r="O123" s="7">
        <v>91</v>
      </c>
      <c r="P123" s="2">
        <v>46020.791666666664</v>
      </c>
      <c r="Q123" t="s">
        <v>34</v>
      </c>
      <c r="R123">
        <v>12</v>
      </c>
      <c r="S123" t="s">
        <v>35</v>
      </c>
      <c r="T123">
        <f>IF(orders[[#This Row],[Status]]="Completed",1,0)</f>
        <v>0</v>
      </c>
      <c r="U123">
        <f>IF(orders[[#This Row],[Status]]="Pending",1,0)</f>
        <v>0</v>
      </c>
      <c r="V123">
        <f>IF(orders[[#This Row],[Status]]="Delayed",1,0)</f>
        <v>1</v>
      </c>
      <c r="W123">
        <f>IF(orders[[#This Row],[Status]]="Cancelled",1,0)</f>
        <v>0</v>
      </c>
    </row>
    <row r="124" spans="1:23" x14ac:dyDescent="0.35">
      <c r="A124" t="s">
        <v>309</v>
      </c>
      <c r="B124" s="1">
        <v>45871</v>
      </c>
      <c r="C124" t="s">
        <v>310</v>
      </c>
      <c r="D124" t="s">
        <v>58</v>
      </c>
      <c r="E124" t="s">
        <v>59</v>
      </c>
      <c r="F124" t="s">
        <v>23</v>
      </c>
      <c r="G124" t="s">
        <v>110</v>
      </c>
      <c r="H124" s="7">
        <v>6</v>
      </c>
      <c r="I124" s="4">
        <v>38631.24</v>
      </c>
      <c r="J124" s="23">
        <v>0.2</v>
      </c>
      <c r="K124" s="4">
        <v>30904.99</v>
      </c>
      <c r="L124" s="4">
        <v>19446.28</v>
      </c>
      <c r="M124" s="4">
        <v>11458.71</v>
      </c>
      <c r="N124" t="s">
        <v>25</v>
      </c>
      <c r="O124" s="7">
        <v>31</v>
      </c>
      <c r="P124" s="2">
        <v>45872.291666666664</v>
      </c>
      <c r="Q124" t="s">
        <v>80</v>
      </c>
      <c r="R124">
        <v>8</v>
      </c>
      <c r="S124" t="s">
        <v>42</v>
      </c>
      <c r="T124">
        <f>IF(orders[[#This Row],[Status]]="Completed",1,0)</f>
        <v>1</v>
      </c>
      <c r="U124">
        <f>IF(orders[[#This Row],[Status]]="Pending",1,0)</f>
        <v>0</v>
      </c>
      <c r="V124">
        <f>IF(orders[[#This Row],[Status]]="Delayed",1,0)</f>
        <v>0</v>
      </c>
      <c r="W124">
        <f>IF(orders[[#This Row],[Status]]="Cancelled",1,0)</f>
        <v>0</v>
      </c>
    </row>
    <row r="125" spans="1:23" x14ac:dyDescent="0.35">
      <c r="A125" t="s">
        <v>311</v>
      </c>
      <c r="B125" s="1">
        <v>45692</v>
      </c>
      <c r="C125" t="s">
        <v>312</v>
      </c>
      <c r="D125" t="s">
        <v>77</v>
      </c>
      <c r="E125" t="s">
        <v>52</v>
      </c>
      <c r="F125" t="s">
        <v>83</v>
      </c>
      <c r="G125" t="s">
        <v>152</v>
      </c>
      <c r="H125" s="7">
        <v>6</v>
      </c>
      <c r="I125" s="4">
        <v>37345.379999999997</v>
      </c>
      <c r="J125" s="23">
        <v>0.1</v>
      </c>
      <c r="K125" s="4">
        <v>33610.839999999997</v>
      </c>
      <c r="L125" s="4">
        <v>28408.46</v>
      </c>
      <c r="M125" s="4">
        <v>5202.38</v>
      </c>
      <c r="N125" t="s">
        <v>25</v>
      </c>
      <c r="O125" s="7">
        <v>4</v>
      </c>
      <c r="P125" s="2">
        <v>45692.166666666664</v>
      </c>
      <c r="Q125" t="s">
        <v>139</v>
      </c>
      <c r="R125">
        <v>2</v>
      </c>
      <c r="S125" t="s">
        <v>55</v>
      </c>
      <c r="T125">
        <f>IF(orders[[#This Row],[Status]]="Completed",1,0)</f>
        <v>1</v>
      </c>
      <c r="U125">
        <f>IF(orders[[#This Row],[Status]]="Pending",1,0)</f>
        <v>0</v>
      </c>
      <c r="V125">
        <f>IF(orders[[#This Row],[Status]]="Delayed",1,0)</f>
        <v>0</v>
      </c>
      <c r="W125">
        <f>IF(orders[[#This Row],[Status]]="Cancelled",1,0)</f>
        <v>0</v>
      </c>
    </row>
    <row r="126" spans="1:23" x14ac:dyDescent="0.35">
      <c r="A126" t="s">
        <v>313</v>
      </c>
      <c r="B126" s="1">
        <v>45884</v>
      </c>
      <c r="C126" t="s">
        <v>314</v>
      </c>
      <c r="D126" t="s">
        <v>45</v>
      </c>
      <c r="E126" t="s">
        <v>52</v>
      </c>
      <c r="F126" t="s">
        <v>72</v>
      </c>
      <c r="G126" t="s">
        <v>73</v>
      </c>
      <c r="H126" s="7">
        <v>2</v>
      </c>
      <c r="I126" s="4">
        <v>14822.6</v>
      </c>
      <c r="J126" s="23">
        <v>0.1</v>
      </c>
      <c r="K126" s="4">
        <v>13340.34</v>
      </c>
      <c r="L126" s="4">
        <v>9725.65</v>
      </c>
      <c r="M126" s="4">
        <v>3614.69</v>
      </c>
      <c r="N126" t="s">
        <v>25</v>
      </c>
      <c r="O126" s="7">
        <v>8</v>
      </c>
      <c r="P126" s="2">
        <v>45884.333333333336</v>
      </c>
      <c r="Q126" t="s">
        <v>80</v>
      </c>
      <c r="R126">
        <v>8</v>
      </c>
      <c r="S126" t="s">
        <v>42</v>
      </c>
      <c r="T126">
        <f>IF(orders[[#This Row],[Status]]="Completed",1,0)</f>
        <v>1</v>
      </c>
      <c r="U126">
        <f>IF(orders[[#This Row],[Status]]="Pending",1,0)</f>
        <v>0</v>
      </c>
      <c r="V126">
        <f>IF(orders[[#This Row],[Status]]="Delayed",1,0)</f>
        <v>0</v>
      </c>
      <c r="W126">
        <f>IF(orders[[#This Row],[Status]]="Cancelled",1,0)</f>
        <v>0</v>
      </c>
    </row>
    <row r="127" spans="1:23" x14ac:dyDescent="0.35">
      <c r="A127" t="s">
        <v>315</v>
      </c>
      <c r="B127" s="1">
        <v>45758</v>
      </c>
      <c r="C127" t="s">
        <v>316</v>
      </c>
      <c r="D127" t="s">
        <v>149</v>
      </c>
      <c r="E127" t="s">
        <v>22</v>
      </c>
      <c r="F127" t="s">
        <v>32</v>
      </c>
      <c r="G127" t="s">
        <v>33</v>
      </c>
      <c r="H127" s="7">
        <v>7</v>
      </c>
      <c r="I127" s="4">
        <v>12122.95</v>
      </c>
      <c r="J127" s="23">
        <v>0.15</v>
      </c>
      <c r="K127" s="4">
        <v>10304.51</v>
      </c>
      <c r="L127" s="4">
        <v>8994.67</v>
      </c>
      <c r="M127" s="4">
        <v>1309.8399999999999</v>
      </c>
      <c r="N127" t="s">
        <v>25</v>
      </c>
      <c r="O127" s="7">
        <v>13</v>
      </c>
      <c r="P127" s="2">
        <v>45758.541666666664</v>
      </c>
      <c r="Q127" t="s">
        <v>26</v>
      </c>
      <c r="R127">
        <v>4</v>
      </c>
      <c r="S127" t="s">
        <v>27</v>
      </c>
      <c r="T127">
        <f>IF(orders[[#This Row],[Status]]="Completed",1,0)</f>
        <v>1</v>
      </c>
      <c r="U127">
        <f>IF(orders[[#This Row],[Status]]="Pending",1,0)</f>
        <v>0</v>
      </c>
      <c r="V127">
        <f>IF(orders[[#This Row],[Status]]="Delayed",1,0)</f>
        <v>0</v>
      </c>
      <c r="W127">
        <f>IF(orders[[#This Row],[Status]]="Cancelled",1,0)</f>
        <v>0</v>
      </c>
    </row>
    <row r="128" spans="1:23" x14ac:dyDescent="0.35">
      <c r="A128" t="s">
        <v>317</v>
      </c>
      <c r="B128" s="1">
        <v>45788</v>
      </c>
      <c r="C128" t="s">
        <v>318</v>
      </c>
      <c r="D128" t="s">
        <v>38</v>
      </c>
      <c r="E128" t="s">
        <v>113</v>
      </c>
      <c r="F128" t="s">
        <v>83</v>
      </c>
      <c r="G128" t="s">
        <v>84</v>
      </c>
      <c r="H128" s="7">
        <v>5</v>
      </c>
      <c r="I128" s="4">
        <v>17497.95</v>
      </c>
      <c r="J128" s="23">
        <v>0</v>
      </c>
      <c r="K128" s="4">
        <v>17497.95</v>
      </c>
      <c r="L128" s="4">
        <v>14301.18</v>
      </c>
      <c r="M128" s="4">
        <v>3196.77</v>
      </c>
      <c r="N128" t="s">
        <v>25</v>
      </c>
      <c r="O128" s="7">
        <v>45</v>
      </c>
      <c r="P128" s="2">
        <v>45789.875</v>
      </c>
      <c r="Q128" t="s">
        <v>74</v>
      </c>
      <c r="R128">
        <v>5</v>
      </c>
      <c r="S128" t="s">
        <v>27</v>
      </c>
      <c r="T128">
        <f>IF(orders[[#This Row],[Status]]="Completed",1,0)</f>
        <v>1</v>
      </c>
      <c r="U128">
        <f>IF(orders[[#This Row],[Status]]="Pending",1,0)</f>
        <v>0</v>
      </c>
      <c r="V128">
        <f>IF(orders[[#This Row],[Status]]="Delayed",1,0)</f>
        <v>0</v>
      </c>
      <c r="W128">
        <f>IF(orders[[#This Row],[Status]]="Cancelled",1,0)</f>
        <v>0</v>
      </c>
    </row>
    <row r="129" spans="1:23" x14ac:dyDescent="0.35">
      <c r="A129" t="s">
        <v>319</v>
      </c>
      <c r="B129" s="1">
        <v>45914</v>
      </c>
      <c r="C129" t="s">
        <v>207</v>
      </c>
      <c r="D129" t="s">
        <v>58</v>
      </c>
      <c r="E129" t="s">
        <v>113</v>
      </c>
      <c r="F129" t="s">
        <v>39</v>
      </c>
      <c r="G129" t="s">
        <v>114</v>
      </c>
      <c r="H129" s="7">
        <v>6</v>
      </c>
      <c r="I129" s="4">
        <v>48384.6</v>
      </c>
      <c r="J129" s="23">
        <v>0.2</v>
      </c>
      <c r="K129" s="4">
        <v>38707.68</v>
      </c>
      <c r="L129" s="4">
        <v>28387.54</v>
      </c>
      <c r="M129" s="4">
        <v>10320.14</v>
      </c>
      <c r="N129" t="s">
        <v>85</v>
      </c>
      <c r="O129" s="7">
        <v>96</v>
      </c>
      <c r="P129" s="2">
        <v>45918</v>
      </c>
      <c r="Q129" t="s">
        <v>41</v>
      </c>
      <c r="R129">
        <v>9</v>
      </c>
      <c r="S129" t="s">
        <v>42</v>
      </c>
      <c r="T129">
        <f>IF(orders[[#This Row],[Status]]="Completed",1,0)</f>
        <v>0</v>
      </c>
      <c r="U129">
        <f>IF(orders[[#This Row],[Status]]="Pending",1,0)</f>
        <v>0</v>
      </c>
      <c r="V129">
        <f>IF(orders[[#This Row],[Status]]="Delayed",1,0)</f>
        <v>1</v>
      </c>
      <c r="W129">
        <f>IF(orders[[#This Row],[Status]]="Cancelled",1,0)</f>
        <v>0</v>
      </c>
    </row>
    <row r="130" spans="1:23" x14ac:dyDescent="0.35">
      <c r="A130" t="s">
        <v>320</v>
      </c>
      <c r="B130" s="1">
        <v>45662</v>
      </c>
      <c r="C130" t="s">
        <v>321</v>
      </c>
      <c r="D130" t="s">
        <v>77</v>
      </c>
      <c r="E130" t="s">
        <v>31</v>
      </c>
      <c r="F130" t="s">
        <v>32</v>
      </c>
      <c r="G130" t="s">
        <v>89</v>
      </c>
      <c r="H130" s="7">
        <v>3</v>
      </c>
      <c r="I130" s="4">
        <v>10384.59</v>
      </c>
      <c r="J130" s="23">
        <v>0</v>
      </c>
      <c r="K130" s="4">
        <v>10384.59</v>
      </c>
      <c r="L130" s="4">
        <v>8956.9500000000007</v>
      </c>
      <c r="M130" s="4">
        <v>1427.64</v>
      </c>
      <c r="N130" t="s">
        <v>85</v>
      </c>
      <c r="O130" s="7">
        <v>57</v>
      </c>
      <c r="P130" s="2">
        <v>45664.375</v>
      </c>
      <c r="Q130" t="s">
        <v>65</v>
      </c>
      <c r="R130">
        <v>1</v>
      </c>
      <c r="S130" t="s">
        <v>55</v>
      </c>
      <c r="T130">
        <f>IF(orders[[#This Row],[Status]]="Completed",1,0)</f>
        <v>0</v>
      </c>
      <c r="U130">
        <f>IF(orders[[#This Row],[Status]]="Pending",1,0)</f>
        <v>0</v>
      </c>
      <c r="V130">
        <f>IF(orders[[#This Row],[Status]]="Delayed",1,0)</f>
        <v>1</v>
      </c>
      <c r="W130">
        <f>IF(orders[[#This Row],[Status]]="Cancelled",1,0)</f>
        <v>0</v>
      </c>
    </row>
    <row r="131" spans="1:23" x14ac:dyDescent="0.35">
      <c r="A131" t="s">
        <v>322</v>
      </c>
      <c r="B131" s="1">
        <v>45875</v>
      </c>
      <c r="C131" t="s">
        <v>216</v>
      </c>
      <c r="D131" t="s">
        <v>63</v>
      </c>
      <c r="E131" t="s">
        <v>46</v>
      </c>
      <c r="F131" t="s">
        <v>83</v>
      </c>
      <c r="G131" t="s">
        <v>152</v>
      </c>
      <c r="H131" s="7">
        <v>6</v>
      </c>
      <c r="I131" s="4">
        <v>7156.02</v>
      </c>
      <c r="J131" s="23">
        <v>0.25</v>
      </c>
      <c r="K131" s="4">
        <v>5367.02</v>
      </c>
      <c r="L131" s="4">
        <v>3846.05</v>
      </c>
      <c r="M131" s="4">
        <v>1520.97</v>
      </c>
      <c r="N131" t="s">
        <v>85</v>
      </c>
      <c r="O131" s="7">
        <v>49</v>
      </c>
      <c r="P131" s="2">
        <v>45877.041666666664</v>
      </c>
      <c r="Q131" t="s">
        <v>80</v>
      </c>
      <c r="R131">
        <v>8</v>
      </c>
      <c r="S131" t="s">
        <v>42</v>
      </c>
      <c r="T131">
        <f>IF(orders[[#This Row],[Status]]="Completed",1,0)</f>
        <v>0</v>
      </c>
      <c r="U131">
        <f>IF(orders[[#This Row],[Status]]="Pending",1,0)</f>
        <v>0</v>
      </c>
      <c r="V131">
        <f>IF(orders[[#This Row],[Status]]="Delayed",1,0)</f>
        <v>1</v>
      </c>
      <c r="W131">
        <f>IF(orders[[#This Row],[Status]]="Cancelled",1,0)</f>
        <v>0</v>
      </c>
    </row>
    <row r="132" spans="1:23" x14ac:dyDescent="0.35">
      <c r="A132" t="s">
        <v>323</v>
      </c>
      <c r="B132" s="1">
        <v>45912</v>
      </c>
      <c r="C132" t="s">
        <v>324</v>
      </c>
      <c r="D132" t="s">
        <v>30</v>
      </c>
      <c r="E132" t="s">
        <v>31</v>
      </c>
      <c r="F132" t="s">
        <v>83</v>
      </c>
      <c r="G132" t="s">
        <v>84</v>
      </c>
      <c r="H132" s="7">
        <v>1</v>
      </c>
      <c r="I132" s="4">
        <v>4537.47</v>
      </c>
      <c r="J132" s="23">
        <v>0.15</v>
      </c>
      <c r="K132" s="4">
        <v>3856.85</v>
      </c>
      <c r="L132" s="4">
        <v>3250.34</v>
      </c>
      <c r="M132" s="4">
        <v>606.51</v>
      </c>
      <c r="N132" t="s">
        <v>48</v>
      </c>
      <c r="O132" s="7">
        <v>5</v>
      </c>
      <c r="P132" s="2">
        <v>45912.208333333336</v>
      </c>
      <c r="Q132" t="s">
        <v>41</v>
      </c>
      <c r="R132">
        <v>9</v>
      </c>
      <c r="S132" t="s">
        <v>42</v>
      </c>
      <c r="T132">
        <f>IF(orders[[#This Row],[Status]]="Completed",1,0)</f>
        <v>0</v>
      </c>
      <c r="U132">
        <f>IF(orders[[#This Row],[Status]]="Pending",1,0)</f>
        <v>0</v>
      </c>
      <c r="V132">
        <f>IF(orders[[#This Row],[Status]]="Delayed",1,0)</f>
        <v>0</v>
      </c>
      <c r="W132">
        <f>IF(orders[[#This Row],[Status]]="Cancelled",1,0)</f>
        <v>1</v>
      </c>
    </row>
    <row r="133" spans="1:23" x14ac:dyDescent="0.35">
      <c r="A133" t="s">
        <v>325</v>
      </c>
      <c r="B133" s="1">
        <v>46016</v>
      </c>
      <c r="C133" t="s">
        <v>179</v>
      </c>
      <c r="D133" t="s">
        <v>38</v>
      </c>
      <c r="E133" t="s">
        <v>113</v>
      </c>
      <c r="F133" t="s">
        <v>72</v>
      </c>
      <c r="G133" t="s">
        <v>73</v>
      </c>
      <c r="H133" s="7">
        <v>2</v>
      </c>
      <c r="I133" s="4">
        <v>2128.5</v>
      </c>
      <c r="J133" s="23">
        <v>0.15</v>
      </c>
      <c r="K133" s="4">
        <v>1809.22</v>
      </c>
      <c r="L133" s="4">
        <v>1208.9000000000001</v>
      </c>
      <c r="M133" s="4">
        <v>600.32000000000005</v>
      </c>
      <c r="N133" t="s">
        <v>48</v>
      </c>
      <c r="O133" s="7">
        <v>6</v>
      </c>
      <c r="P133" s="2">
        <v>46016.25</v>
      </c>
      <c r="Q133" t="s">
        <v>34</v>
      </c>
      <c r="R133">
        <v>12</v>
      </c>
      <c r="S133" t="s">
        <v>35</v>
      </c>
      <c r="T133">
        <f>IF(orders[[#This Row],[Status]]="Completed",1,0)</f>
        <v>0</v>
      </c>
      <c r="U133">
        <f>IF(orders[[#This Row],[Status]]="Pending",1,0)</f>
        <v>0</v>
      </c>
      <c r="V133">
        <f>IF(orders[[#This Row],[Status]]="Delayed",1,0)</f>
        <v>0</v>
      </c>
      <c r="W133">
        <f>IF(orders[[#This Row],[Status]]="Cancelled",1,0)</f>
        <v>1</v>
      </c>
    </row>
    <row r="134" spans="1:23" x14ac:dyDescent="0.35">
      <c r="A134" t="s">
        <v>326</v>
      </c>
      <c r="B134" s="1">
        <v>45940</v>
      </c>
      <c r="C134" t="s">
        <v>76</v>
      </c>
      <c r="D134" t="s">
        <v>77</v>
      </c>
      <c r="E134" t="s">
        <v>59</v>
      </c>
      <c r="F134" t="s">
        <v>72</v>
      </c>
      <c r="G134" t="s">
        <v>146</v>
      </c>
      <c r="H134" s="7">
        <v>7</v>
      </c>
      <c r="I134" s="4">
        <v>12906.74</v>
      </c>
      <c r="J134" s="23">
        <v>0.1</v>
      </c>
      <c r="K134" s="4">
        <v>11616.07</v>
      </c>
      <c r="L134" s="4">
        <v>7840.29</v>
      </c>
      <c r="M134" s="4">
        <v>3775.78</v>
      </c>
      <c r="N134" t="s">
        <v>48</v>
      </c>
      <c r="O134" s="7">
        <v>16</v>
      </c>
      <c r="P134" s="2">
        <v>45940.666666666664</v>
      </c>
      <c r="Q134" t="s">
        <v>116</v>
      </c>
      <c r="R134">
        <v>10</v>
      </c>
      <c r="S134" t="s">
        <v>35</v>
      </c>
      <c r="T134">
        <f>IF(orders[[#This Row],[Status]]="Completed",1,0)</f>
        <v>0</v>
      </c>
      <c r="U134">
        <f>IF(orders[[#This Row],[Status]]="Pending",1,0)</f>
        <v>0</v>
      </c>
      <c r="V134">
        <f>IF(orders[[#This Row],[Status]]="Delayed",1,0)</f>
        <v>0</v>
      </c>
      <c r="W134">
        <f>IF(orders[[#This Row],[Status]]="Cancelled",1,0)</f>
        <v>1</v>
      </c>
    </row>
    <row r="135" spans="1:23" x14ac:dyDescent="0.35">
      <c r="A135" t="s">
        <v>327</v>
      </c>
      <c r="B135" s="1">
        <v>45864</v>
      </c>
      <c r="C135" t="s">
        <v>254</v>
      </c>
      <c r="D135" t="s">
        <v>77</v>
      </c>
      <c r="E135" t="s">
        <v>113</v>
      </c>
      <c r="F135" t="s">
        <v>39</v>
      </c>
      <c r="G135" t="s">
        <v>47</v>
      </c>
      <c r="H135" s="7">
        <v>1</v>
      </c>
      <c r="I135" s="4">
        <v>8485.9599999999991</v>
      </c>
      <c r="J135" s="23">
        <v>0.1</v>
      </c>
      <c r="K135" s="4">
        <v>7637.36</v>
      </c>
      <c r="L135" s="4">
        <v>5254.37</v>
      </c>
      <c r="M135" s="4">
        <v>2382.9899999999998</v>
      </c>
      <c r="N135" t="s">
        <v>48</v>
      </c>
      <c r="O135" s="7">
        <v>8</v>
      </c>
      <c r="P135" s="2">
        <v>45864.333333333336</v>
      </c>
      <c r="Q135" t="s">
        <v>60</v>
      </c>
      <c r="R135">
        <v>7</v>
      </c>
      <c r="S135" t="s">
        <v>42</v>
      </c>
      <c r="T135">
        <f>IF(orders[[#This Row],[Status]]="Completed",1,0)</f>
        <v>0</v>
      </c>
      <c r="U135">
        <f>IF(orders[[#This Row],[Status]]="Pending",1,0)</f>
        <v>0</v>
      </c>
      <c r="V135">
        <f>IF(orders[[#This Row],[Status]]="Delayed",1,0)</f>
        <v>0</v>
      </c>
      <c r="W135">
        <f>IF(orders[[#This Row],[Status]]="Cancelled",1,0)</f>
        <v>1</v>
      </c>
    </row>
    <row r="136" spans="1:23" x14ac:dyDescent="0.35">
      <c r="A136" t="s">
        <v>328</v>
      </c>
      <c r="B136" s="1">
        <v>45672</v>
      </c>
      <c r="C136" t="s">
        <v>329</v>
      </c>
      <c r="D136" t="s">
        <v>58</v>
      </c>
      <c r="E136" t="s">
        <v>31</v>
      </c>
      <c r="F136" t="s">
        <v>83</v>
      </c>
      <c r="G136" t="s">
        <v>152</v>
      </c>
      <c r="H136" s="7">
        <v>7</v>
      </c>
      <c r="I136" s="4">
        <v>32692.66</v>
      </c>
      <c r="J136" s="23">
        <v>0.1</v>
      </c>
      <c r="K136" s="4">
        <v>29423.39</v>
      </c>
      <c r="L136" s="4">
        <v>21490.45</v>
      </c>
      <c r="M136" s="4">
        <v>7932.94</v>
      </c>
      <c r="N136" t="s">
        <v>48</v>
      </c>
      <c r="O136" s="7">
        <v>6</v>
      </c>
      <c r="P136" s="2">
        <v>45672.25</v>
      </c>
      <c r="Q136" t="s">
        <v>65</v>
      </c>
      <c r="R136">
        <v>1</v>
      </c>
      <c r="S136" t="s">
        <v>55</v>
      </c>
      <c r="T136">
        <f>IF(orders[[#This Row],[Status]]="Completed",1,0)</f>
        <v>0</v>
      </c>
      <c r="U136">
        <f>IF(orders[[#This Row],[Status]]="Pending",1,0)</f>
        <v>0</v>
      </c>
      <c r="V136">
        <f>IF(orders[[#This Row],[Status]]="Delayed",1,0)</f>
        <v>0</v>
      </c>
      <c r="W136">
        <f>IF(orders[[#This Row],[Status]]="Cancelled",1,0)</f>
        <v>1</v>
      </c>
    </row>
    <row r="137" spans="1:23" x14ac:dyDescent="0.35">
      <c r="A137" t="s">
        <v>330</v>
      </c>
      <c r="B137" s="1">
        <v>46003</v>
      </c>
      <c r="C137" t="s">
        <v>167</v>
      </c>
      <c r="D137" t="s">
        <v>38</v>
      </c>
      <c r="E137" t="s">
        <v>92</v>
      </c>
      <c r="F137" t="s">
        <v>83</v>
      </c>
      <c r="G137" t="s">
        <v>155</v>
      </c>
      <c r="H137" s="7">
        <v>1</v>
      </c>
      <c r="I137" s="4">
        <v>2521.89</v>
      </c>
      <c r="J137" s="23">
        <v>0</v>
      </c>
      <c r="K137" s="4">
        <v>2521.89</v>
      </c>
      <c r="L137" s="4">
        <v>1847.67</v>
      </c>
      <c r="M137" s="4">
        <v>674.22</v>
      </c>
      <c r="N137" t="s">
        <v>25</v>
      </c>
      <c r="O137" s="7">
        <v>14</v>
      </c>
      <c r="P137" s="2">
        <v>46003.583333333336</v>
      </c>
      <c r="Q137" t="s">
        <v>34</v>
      </c>
      <c r="R137">
        <v>12</v>
      </c>
      <c r="S137" t="s">
        <v>35</v>
      </c>
      <c r="T137">
        <f>IF(orders[[#This Row],[Status]]="Completed",1,0)</f>
        <v>1</v>
      </c>
      <c r="U137">
        <f>IF(orders[[#This Row],[Status]]="Pending",1,0)</f>
        <v>0</v>
      </c>
      <c r="V137">
        <f>IF(orders[[#This Row],[Status]]="Delayed",1,0)</f>
        <v>0</v>
      </c>
      <c r="W137">
        <f>IF(orders[[#This Row],[Status]]="Cancelled",1,0)</f>
        <v>0</v>
      </c>
    </row>
    <row r="138" spans="1:23" x14ac:dyDescent="0.35">
      <c r="A138" t="s">
        <v>331</v>
      </c>
      <c r="B138" s="1">
        <v>45699</v>
      </c>
      <c r="C138" t="s">
        <v>332</v>
      </c>
      <c r="D138" t="s">
        <v>21</v>
      </c>
      <c r="E138" t="s">
        <v>46</v>
      </c>
      <c r="F138" t="s">
        <v>72</v>
      </c>
      <c r="G138" t="s">
        <v>146</v>
      </c>
      <c r="H138" s="7">
        <v>1</v>
      </c>
      <c r="I138" s="4">
        <v>8456.3700000000008</v>
      </c>
      <c r="J138" s="23">
        <v>0.1</v>
      </c>
      <c r="K138" s="4">
        <v>7610.73</v>
      </c>
      <c r="L138" s="4">
        <v>5432.63</v>
      </c>
      <c r="M138" s="4">
        <v>2178.1</v>
      </c>
      <c r="N138" t="s">
        <v>25</v>
      </c>
      <c r="O138" s="7">
        <v>33</v>
      </c>
      <c r="P138" s="2">
        <v>45700.375</v>
      </c>
      <c r="Q138" t="s">
        <v>139</v>
      </c>
      <c r="R138">
        <v>2</v>
      </c>
      <c r="S138" t="s">
        <v>55</v>
      </c>
      <c r="T138">
        <f>IF(orders[[#This Row],[Status]]="Completed",1,0)</f>
        <v>1</v>
      </c>
      <c r="U138">
        <f>IF(orders[[#This Row],[Status]]="Pending",1,0)</f>
        <v>0</v>
      </c>
      <c r="V138">
        <f>IF(orders[[#This Row],[Status]]="Delayed",1,0)</f>
        <v>0</v>
      </c>
      <c r="W138">
        <f>IF(orders[[#This Row],[Status]]="Cancelled",1,0)</f>
        <v>0</v>
      </c>
    </row>
    <row r="139" spans="1:23" x14ac:dyDescent="0.35">
      <c r="A139" t="s">
        <v>333</v>
      </c>
      <c r="B139" s="1">
        <v>45836</v>
      </c>
      <c r="C139" t="s">
        <v>334</v>
      </c>
      <c r="D139" t="s">
        <v>45</v>
      </c>
      <c r="E139" t="s">
        <v>52</v>
      </c>
      <c r="F139" t="s">
        <v>32</v>
      </c>
      <c r="G139" t="s">
        <v>64</v>
      </c>
      <c r="H139" s="7">
        <v>4</v>
      </c>
      <c r="I139" s="4">
        <v>32883.08</v>
      </c>
      <c r="J139" s="23">
        <v>0.1</v>
      </c>
      <c r="K139" s="4">
        <v>29594.77</v>
      </c>
      <c r="L139" s="4">
        <v>19265.61</v>
      </c>
      <c r="M139" s="4">
        <v>10329.16</v>
      </c>
      <c r="N139" t="s">
        <v>25</v>
      </c>
      <c r="O139" s="7">
        <v>35</v>
      </c>
      <c r="P139" s="2">
        <v>45837.458333333336</v>
      </c>
      <c r="Q139" t="s">
        <v>99</v>
      </c>
      <c r="R139">
        <v>6</v>
      </c>
      <c r="S139" t="s">
        <v>27</v>
      </c>
      <c r="T139">
        <f>IF(orders[[#This Row],[Status]]="Completed",1,0)</f>
        <v>1</v>
      </c>
      <c r="U139">
        <f>IF(orders[[#This Row],[Status]]="Pending",1,0)</f>
        <v>0</v>
      </c>
      <c r="V139">
        <f>IF(orders[[#This Row],[Status]]="Delayed",1,0)</f>
        <v>0</v>
      </c>
      <c r="W139">
        <f>IF(orders[[#This Row],[Status]]="Cancelled",1,0)</f>
        <v>0</v>
      </c>
    </row>
    <row r="140" spans="1:23" x14ac:dyDescent="0.35">
      <c r="A140" t="s">
        <v>335</v>
      </c>
      <c r="B140" s="1">
        <v>45720</v>
      </c>
      <c r="C140" t="s">
        <v>50</v>
      </c>
      <c r="D140" t="s">
        <v>21</v>
      </c>
      <c r="E140" t="s">
        <v>22</v>
      </c>
      <c r="F140" t="s">
        <v>32</v>
      </c>
      <c r="G140" t="s">
        <v>64</v>
      </c>
      <c r="H140" s="7">
        <v>4</v>
      </c>
      <c r="I140" s="4">
        <v>15320.68</v>
      </c>
      <c r="J140" s="23">
        <v>0.2</v>
      </c>
      <c r="K140" s="4">
        <v>12256.54</v>
      </c>
      <c r="L140" s="4">
        <v>10491.33</v>
      </c>
      <c r="M140" s="4">
        <v>1765.21</v>
      </c>
      <c r="N140" t="s">
        <v>25</v>
      </c>
      <c r="O140" s="7">
        <v>35</v>
      </c>
      <c r="P140" s="2">
        <v>45721.458333333336</v>
      </c>
      <c r="Q140" t="s">
        <v>54</v>
      </c>
      <c r="R140">
        <v>3</v>
      </c>
      <c r="S140" t="s">
        <v>55</v>
      </c>
      <c r="T140">
        <f>IF(orders[[#This Row],[Status]]="Completed",1,0)</f>
        <v>1</v>
      </c>
      <c r="U140">
        <f>IF(orders[[#This Row],[Status]]="Pending",1,0)</f>
        <v>0</v>
      </c>
      <c r="V140">
        <f>IF(orders[[#This Row],[Status]]="Delayed",1,0)</f>
        <v>0</v>
      </c>
      <c r="W140">
        <f>IF(orders[[#This Row],[Status]]="Cancelled",1,0)</f>
        <v>0</v>
      </c>
    </row>
    <row r="141" spans="1:23" x14ac:dyDescent="0.35">
      <c r="A141" t="s">
        <v>336</v>
      </c>
      <c r="B141" s="1">
        <v>46009</v>
      </c>
      <c r="C141" t="s">
        <v>337</v>
      </c>
      <c r="D141" t="s">
        <v>38</v>
      </c>
      <c r="E141" t="s">
        <v>92</v>
      </c>
      <c r="F141" t="s">
        <v>23</v>
      </c>
      <c r="G141" t="s">
        <v>122</v>
      </c>
      <c r="H141" s="7">
        <v>5</v>
      </c>
      <c r="I141" s="4">
        <v>11621.85</v>
      </c>
      <c r="J141" s="23">
        <v>0.1</v>
      </c>
      <c r="K141" s="4">
        <v>10459.67</v>
      </c>
      <c r="L141" s="4">
        <v>7784.44</v>
      </c>
      <c r="M141" s="4">
        <v>2675.23</v>
      </c>
      <c r="N141" t="s">
        <v>48</v>
      </c>
      <c r="O141" s="7">
        <v>19</v>
      </c>
      <c r="P141" s="2">
        <v>46009.791666666664</v>
      </c>
      <c r="Q141" t="s">
        <v>34</v>
      </c>
      <c r="R141">
        <v>12</v>
      </c>
      <c r="S141" t="s">
        <v>35</v>
      </c>
      <c r="T141">
        <f>IF(orders[[#This Row],[Status]]="Completed",1,0)</f>
        <v>0</v>
      </c>
      <c r="U141">
        <f>IF(orders[[#This Row],[Status]]="Pending",1,0)</f>
        <v>0</v>
      </c>
      <c r="V141">
        <f>IF(orders[[#This Row],[Status]]="Delayed",1,0)</f>
        <v>0</v>
      </c>
      <c r="W141">
        <f>IF(orders[[#This Row],[Status]]="Cancelled",1,0)</f>
        <v>1</v>
      </c>
    </row>
    <row r="142" spans="1:23" x14ac:dyDescent="0.35">
      <c r="A142" t="s">
        <v>338</v>
      </c>
      <c r="B142" s="1">
        <v>45888</v>
      </c>
      <c r="C142" t="s">
        <v>339</v>
      </c>
      <c r="D142" t="s">
        <v>21</v>
      </c>
      <c r="E142" t="s">
        <v>92</v>
      </c>
      <c r="F142" t="s">
        <v>72</v>
      </c>
      <c r="G142" t="s">
        <v>73</v>
      </c>
      <c r="H142" s="7">
        <v>2</v>
      </c>
      <c r="I142" s="4">
        <v>14301.28</v>
      </c>
      <c r="J142" s="23">
        <v>0</v>
      </c>
      <c r="K142" s="4">
        <v>14301.28</v>
      </c>
      <c r="L142" s="4">
        <v>9790</v>
      </c>
      <c r="M142" s="4">
        <v>4511.28</v>
      </c>
      <c r="N142" t="s">
        <v>25</v>
      </c>
      <c r="O142" s="7">
        <v>31</v>
      </c>
      <c r="P142" s="2">
        <v>45889.291666666664</v>
      </c>
      <c r="Q142" t="s">
        <v>80</v>
      </c>
      <c r="R142">
        <v>8</v>
      </c>
      <c r="S142" t="s">
        <v>42</v>
      </c>
      <c r="T142">
        <f>IF(orders[[#This Row],[Status]]="Completed",1,0)</f>
        <v>1</v>
      </c>
      <c r="U142">
        <f>IF(orders[[#This Row],[Status]]="Pending",1,0)</f>
        <v>0</v>
      </c>
      <c r="V142">
        <f>IF(orders[[#This Row],[Status]]="Delayed",1,0)</f>
        <v>0</v>
      </c>
      <c r="W142">
        <f>IF(orders[[#This Row],[Status]]="Cancelled",1,0)</f>
        <v>0</v>
      </c>
    </row>
    <row r="143" spans="1:23" x14ac:dyDescent="0.35">
      <c r="A143" t="s">
        <v>340</v>
      </c>
      <c r="B143" s="1">
        <v>45898</v>
      </c>
      <c r="C143" t="s">
        <v>341</v>
      </c>
      <c r="D143" t="s">
        <v>51</v>
      </c>
      <c r="E143" t="s">
        <v>52</v>
      </c>
      <c r="F143" t="s">
        <v>23</v>
      </c>
      <c r="G143" t="s">
        <v>110</v>
      </c>
      <c r="H143" s="7">
        <v>3</v>
      </c>
      <c r="I143" s="4">
        <v>18376.29</v>
      </c>
      <c r="J143" s="23">
        <v>0.05</v>
      </c>
      <c r="K143" s="4">
        <v>17457.48</v>
      </c>
      <c r="L143" s="4">
        <v>13353.02</v>
      </c>
      <c r="M143" s="4">
        <v>4104.46</v>
      </c>
      <c r="N143" t="s">
        <v>85</v>
      </c>
      <c r="O143" s="7">
        <v>77</v>
      </c>
      <c r="P143" s="2">
        <v>45901.208333333336</v>
      </c>
      <c r="Q143" t="s">
        <v>80</v>
      </c>
      <c r="R143">
        <v>8</v>
      </c>
      <c r="S143" t="s">
        <v>42</v>
      </c>
      <c r="T143">
        <f>IF(orders[[#This Row],[Status]]="Completed",1,0)</f>
        <v>0</v>
      </c>
      <c r="U143">
        <f>IF(orders[[#This Row],[Status]]="Pending",1,0)</f>
        <v>0</v>
      </c>
      <c r="V143">
        <f>IF(orders[[#This Row],[Status]]="Delayed",1,0)</f>
        <v>1</v>
      </c>
      <c r="W143">
        <f>IF(orders[[#This Row],[Status]]="Cancelled",1,0)</f>
        <v>0</v>
      </c>
    </row>
    <row r="144" spans="1:23" x14ac:dyDescent="0.35">
      <c r="A144" t="s">
        <v>342</v>
      </c>
      <c r="B144" s="1">
        <v>45709</v>
      </c>
      <c r="C144" t="s">
        <v>343</v>
      </c>
      <c r="D144" t="s">
        <v>63</v>
      </c>
      <c r="E144" t="s">
        <v>113</v>
      </c>
      <c r="F144" t="s">
        <v>72</v>
      </c>
      <c r="G144" t="s">
        <v>146</v>
      </c>
      <c r="H144" s="7">
        <v>3</v>
      </c>
      <c r="I144" s="4">
        <v>17657.88</v>
      </c>
      <c r="J144" s="23">
        <v>0.1</v>
      </c>
      <c r="K144" s="4">
        <v>15892.09</v>
      </c>
      <c r="L144" s="4">
        <v>12768.17</v>
      </c>
      <c r="M144" s="4">
        <v>3123.92</v>
      </c>
      <c r="N144" t="s">
        <v>25</v>
      </c>
      <c r="O144" s="7">
        <v>25</v>
      </c>
      <c r="P144" s="2">
        <v>45710.041666666664</v>
      </c>
      <c r="Q144" t="s">
        <v>139</v>
      </c>
      <c r="R144">
        <v>2</v>
      </c>
      <c r="S144" t="s">
        <v>55</v>
      </c>
      <c r="T144">
        <f>IF(orders[[#This Row],[Status]]="Completed",1,0)</f>
        <v>1</v>
      </c>
      <c r="U144">
        <f>IF(orders[[#This Row],[Status]]="Pending",1,0)</f>
        <v>0</v>
      </c>
      <c r="V144">
        <f>IF(orders[[#This Row],[Status]]="Delayed",1,0)</f>
        <v>0</v>
      </c>
      <c r="W144">
        <f>IF(orders[[#This Row],[Status]]="Cancelled",1,0)</f>
        <v>0</v>
      </c>
    </row>
    <row r="145" spans="1:23" x14ac:dyDescent="0.35">
      <c r="A145" t="s">
        <v>344</v>
      </c>
      <c r="B145" s="1">
        <v>45753</v>
      </c>
      <c r="C145" t="s">
        <v>318</v>
      </c>
      <c r="D145" t="s">
        <v>51</v>
      </c>
      <c r="E145" t="s">
        <v>78</v>
      </c>
      <c r="F145" t="s">
        <v>39</v>
      </c>
      <c r="G145" t="s">
        <v>47</v>
      </c>
      <c r="H145" s="7">
        <v>3</v>
      </c>
      <c r="I145" s="4">
        <v>22822.5</v>
      </c>
      <c r="J145" s="23">
        <v>0.05</v>
      </c>
      <c r="K145" s="4">
        <v>21681.38</v>
      </c>
      <c r="L145" s="4">
        <v>18798.63</v>
      </c>
      <c r="M145" s="4">
        <v>2882.75</v>
      </c>
      <c r="N145" t="s">
        <v>25</v>
      </c>
      <c r="O145" s="7">
        <v>20</v>
      </c>
      <c r="P145" s="2">
        <v>45753.833333333336</v>
      </c>
      <c r="Q145" t="s">
        <v>26</v>
      </c>
      <c r="R145">
        <v>4</v>
      </c>
      <c r="S145" t="s">
        <v>27</v>
      </c>
      <c r="T145">
        <f>IF(orders[[#This Row],[Status]]="Completed",1,0)</f>
        <v>1</v>
      </c>
      <c r="U145">
        <f>IF(orders[[#This Row],[Status]]="Pending",1,0)</f>
        <v>0</v>
      </c>
      <c r="V145">
        <f>IF(orders[[#This Row],[Status]]="Delayed",1,0)</f>
        <v>0</v>
      </c>
      <c r="W145">
        <f>IF(orders[[#This Row],[Status]]="Cancelled",1,0)</f>
        <v>0</v>
      </c>
    </row>
    <row r="146" spans="1:23" x14ac:dyDescent="0.35">
      <c r="A146" t="s">
        <v>345</v>
      </c>
      <c r="B146" s="1">
        <v>45879</v>
      </c>
      <c r="C146" t="s">
        <v>249</v>
      </c>
      <c r="D146" t="s">
        <v>68</v>
      </c>
      <c r="E146" t="s">
        <v>46</v>
      </c>
      <c r="F146" t="s">
        <v>83</v>
      </c>
      <c r="G146" t="s">
        <v>107</v>
      </c>
      <c r="H146" s="7">
        <v>1</v>
      </c>
      <c r="I146" s="4">
        <v>5906.63</v>
      </c>
      <c r="J146" s="23">
        <v>0.05</v>
      </c>
      <c r="K146" s="4">
        <v>5611.3</v>
      </c>
      <c r="L146" s="4">
        <v>4011.24</v>
      </c>
      <c r="M146" s="4">
        <v>1600.06</v>
      </c>
      <c r="N146" t="s">
        <v>25</v>
      </c>
      <c r="O146" s="7">
        <v>25</v>
      </c>
      <c r="P146" s="2">
        <v>45880.041666666664</v>
      </c>
      <c r="Q146" t="s">
        <v>80</v>
      </c>
      <c r="R146">
        <v>8</v>
      </c>
      <c r="S146" t="s">
        <v>42</v>
      </c>
      <c r="T146">
        <f>IF(orders[[#This Row],[Status]]="Completed",1,0)</f>
        <v>1</v>
      </c>
      <c r="U146">
        <f>IF(orders[[#This Row],[Status]]="Pending",1,0)</f>
        <v>0</v>
      </c>
      <c r="V146">
        <f>IF(orders[[#This Row],[Status]]="Delayed",1,0)</f>
        <v>0</v>
      </c>
      <c r="W146">
        <f>IF(orders[[#This Row],[Status]]="Cancelled",1,0)</f>
        <v>0</v>
      </c>
    </row>
    <row r="147" spans="1:23" x14ac:dyDescent="0.35">
      <c r="A147" t="s">
        <v>346</v>
      </c>
      <c r="B147" s="1">
        <v>45888</v>
      </c>
      <c r="C147" t="s">
        <v>216</v>
      </c>
      <c r="D147" t="s">
        <v>21</v>
      </c>
      <c r="E147" t="s">
        <v>59</v>
      </c>
      <c r="F147" t="s">
        <v>39</v>
      </c>
      <c r="G147" t="s">
        <v>40</v>
      </c>
      <c r="H147" s="7">
        <v>4</v>
      </c>
      <c r="I147" s="4">
        <v>10078.84</v>
      </c>
      <c r="J147" s="23">
        <v>0.15</v>
      </c>
      <c r="K147" s="4">
        <v>8567.01</v>
      </c>
      <c r="L147" s="4">
        <v>5028.7700000000004</v>
      </c>
      <c r="M147" s="4">
        <v>3538.24</v>
      </c>
      <c r="N147" t="s">
        <v>25</v>
      </c>
      <c r="O147" s="7">
        <v>46</v>
      </c>
      <c r="P147" s="2">
        <v>45889.916666666664</v>
      </c>
      <c r="Q147" t="s">
        <v>80</v>
      </c>
      <c r="R147">
        <v>8</v>
      </c>
      <c r="S147" t="s">
        <v>42</v>
      </c>
      <c r="T147">
        <f>IF(orders[[#This Row],[Status]]="Completed",1,0)</f>
        <v>1</v>
      </c>
      <c r="U147">
        <f>IF(orders[[#This Row],[Status]]="Pending",1,0)</f>
        <v>0</v>
      </c>
      <c r="V147">
        <f>IF(orders[[#This Row],[Status]]="Delayed",1,0)</f>
        <v>0</v>
      </c>
      <c r="W147">
        <f>IF(orders[[#This Row],[Status]]="Cancelled",1,0)</f>
        <v>0</v>
      </c>
    </row>
    <row r="148" spans="1:23" x14ac:dyDescent="0.35">
      <c r="A148" t="s">
        <v>347</v>
      </c>
      <c r="B148" s="1">
        <v>45894</v>
      </c>
      <c r="C148" t="s">
        <v>95</v>
      </c>
      <c r="D148" t="s">
        <v>68</v>
      </c>
      <c r="E148" t="s">
        <v>92</v>
      </c>
      <c r="F148" t="s">
        <v>72</v>
      </c>
      <c r="G148" t="s">
        <v>146</v>
      </c>
      <c r="H148" s="7">
        <v>2</v>
      </c>
      <c r="I148" s="4">
        <v>11887.52</v>
      </c>
      <c r="J148" s="23">
        <v>0.1</v>
      </c>
      <c r="K148" s="4">
        <v>10698.77</v>
      </c>
      <c r="L148" s="4">
        <v>7440.49</v>
      </c>
      <c r="M148" s="4">
        <v>3258.28</v>
      </c>
      <c r="N148" t="s">
        <v>25</v>
      </c>
      <c r="O148" s="7">
        <v>22</v>
      </c>
      <c r="P148" s="2">
        <v>45894.916666666664</v>
      </c>
      <c r="Q148" t="s">
        <v>80</v>
      </c>
      <c r="R148">
        <v>8</v>
      </c>
      <c r="S148" t="s">
        <v>42</v>
      </c>
      <c r="T148">
        <f>IF(orders[[#This Row],[Status]]="Completed",1,0)</f>
        <v>1</v>
      </c>
      <c r="U148">
        <f>IF(orders[[#This Row],[Status]]="Pending",1,0)</f>
        <v>0</v>
      </c>
      <c r="V148">
        <f>IF(orders[[#This Row],[Status]]="Delayed",1,0)</f>
        <v>0</v>
      </c>
      <c r="W148">
        <f>IF(orders[[#This Row],[Status]]="Cancelled",1,0)</f>
        <v>0</v>
      </c>
    </row>
    <row r="149" spans="1:23" x14ac:dyDescent="0.35">
      <c r="A149" t="s">
        <v>348</v>
      </c>
      <c r="B149" s="1">
        <v>45800</v>
      </c>
      <c r="C149" t="s">
        <v>349</v>
      </c>
      <c r="D149" t="s">
        <v>30</v>
      </c>
      <c r="E149" t="s">
        <v>59</v>
      </c>
      <c r="F149" t="s">
        <v>83</v>
      </c>
      <c r="G149" t="s">
        <v>182</v>
      </c>
      <c r="H149" s="7">
        <v>1</v>
      </c>
      <c r="I149" s="4">
        <v>2703.54</v>
      </c>
      <c r="J149" s="23">
        <v>0.1</v>
      </c>
      <c r="K149" s="4">
        <v>2433.19</v>
      </c>
      <c r="L149" s="4">
        <v>1722.85</v>
      </c>
      <c r="M149" s="4">
        <v>710.34</v>
      </c>
      <c r="N149" t="s">
        <v>48</v>
      </c>
      <c r="O149" s="7">
        <v>7</v>
      </c>
      <c r="P149" s="2">
        <v>45800.291666666664</v>
      </c>
      <c r="Q149" t="s">
        <v>74</v>
      </c>
      <c r="R149">
        <v>5</v>
      </c>
      <c r="S149" t="s">
        <v>27</v>
      </c>
      <c r="T149">
        <f>IF(orders[[#This Row],[Status]]="Completed",1,0)</f>
        <v>0</v>
      </c>
      <c r="U149">
        <f>IF(orders[[#This Row],[Status]]="Pending",1,0)</f>
        <v>0</v>
      </c>
      <c r="V149">
        <f>IF(orders[[#This Row],[Status]]="Delayed",1,0)</f>
        <v>0</v>
      </c>
      <c r="W149">
        <f>IF(orders[[#This Row],[Status]]="Cancelled",1,0)</f>
        <v>1</v>
      </c>
    </row>
    <row r="150" spans="1:23" x14ac:dyDescent="0.35">
      <c r="A150" t="s">
        <v>350</v>
      </c>
      <c r="B150" s="1">
        <v>45828</v>
      </c>
      <c r="C150" t="s">
        <v>351</v>
      </c>
      <c r="D150" t="s">
        <v>149</v>
      </c>
      <c r="E150" t="s">
        <v>22</v>
      </c>
      <c r="F150" t="s">
        <v>32</v>
      </c>
      <c r="G150" t="s">
        <v>79</v>
      </c>
      <c r="H150" s="7">
        <v>7</v>
      </c>
      <c r="I150" s="4">
        <v>45427.55</v>
      </c>
      <c r="J150" s="23">
        <v>0.05</v>
      </c>
      <c r="K150" s="4">
        <v>43156.17</v>
      </c>
      <c r="L150" s="4">
        <v>36510.47</v>
      </c>
      <c r="M150" s="4">
        <v>6645.7</v>
      </c>
      <c r="N150" t="s">
        <v>25</v>
      </c>
      <c r="O150" s="7">
        <v>27</v>
      </c>
      <c r="P150" s="2">
        <v>45829.125</v>
      </c>
      <c r="Q150" t="s">
        <v>99</v>
      </c>
      <c r="R150">
        <v>6</v>
      </c>
      <c r="S150" t="s">
        <v>27</v>
      </c>
      <c r="T150">
        <f>IF(orders[[#This Row],[Status]]="Completed",1,0)</f>
        <v>1</v>
      </c>
      <c r="U150">
        <f>IF(orders[[#This Row],[Status]]="Pending",1,0)</f>
        <v>0</v>
      </c>
      <c r="V150">
        <f>IF(orders[[#This Row],[Status]]="Delayed",1,0)</f>
        <v>0</v>
      </c>
      <c r="W150">
        <f>IF(orders[[#This Row],[Status]]="Cancelled",1,0)</f>
        <v>0</v>
      </c>
    </row>
    <row r="151" spans="1:23" x14ac:dyDescent="0.35">
      <c r="A151" t="s">
        <v>352</v>
      </c>
      <c r="B151" s="1">
        <v>45686</v>
      </c>
      <c r="C151" t="s">
        <v>246</v>
      </c>
      <c r="D151" t="s">
        <v>30</v>
      </c>
      <c r="E151" t="s">
        <v>22</v>
      </c>
      <c r="F151" t="s">
        <v>32</v>
      </c>
      <c r="G151" t="s">
        <v>53</v>
      </c>
      <c r="H151" s="7">
        <v>4</v>
      </c>
      <c r="I151" s="4">
        <v>21299.56</v>
      </c>
      <c r="J151" s="23">
        <v>0.15</v>
      </c>
      <c r="K151" s="4">
        <v>18104.63</v>
      </c>
      <c r="L151" s="4">
        <v>12316.29</v>
      </c>
      <c r="M151" s="4">
        <v>5788.34</v>
      </c>
      <c r="N151" t="s">
        <v>25</v>
      </c>
      <c r="O151" s="7">
        <v>39</v>
      </c>
      <c r="P151" s="2">
        <v>45687.625</v>
      </c>
      <c r="Q151" t="s">
        <v>65</v>
      </c>
      <c r="R151">
        <v>1</v>
      </c>
      <c r="S151" t="s">
        <v>55</v>
      </c>
      <c r="T151">
        <f>IF(orders[[#This Row],[Status]]="Completed",1,0)</f>
        <v>1</v>
      </c>
      <c r="U151">
        <f>IF(orders[[#This Row],[Status]]="Pending",1,0)</f>
        <v>0</v>
      </c>
      <c r="V151">
        <f>IF(orders[[#This Row],[Status]]="Delayed",1,0)</f>
        <v>0</v>
      </c>
      <c r="W151">
        <f>IF(orders[[#This Row],[Status]]="Cancelled",1,0)</f>
        <v>0</v>
      </c>
    </row>
    <row r="152" spans="1:23" x14ac:dyDescent="0.35">
      <c r="A152" t="s">
        <v>353</v>
      </c>
      <c r="B152" s="1">
        <v>45693</v>
      </c>
      <c r="C152" t="s">
        <v>354</v>
      </c>
      <c r="D152" t="s">
        <v>38</v>
      </c>
      <c r="E152" t="s">
        <v>22</v>
      </c>
      <c r="F152" t="s">
        <v>23</v>
      </c>
      <c r="G152" t="s">
        <v>122</v>
      </c>
      <c r="H152" s="7">
        <v>4</v>
      </c>
      <c r="I152" s="4">
        <v>3185.56</v>
      </c>
      <c r="J152" s="23">
        <v>0.05</v>
      </c>
      <c r="K152" s="4">
        <v>3026.28</v>
      </c>
      <c r="L152" s="4">
        <v>2616.5100000000002</v>
      </c>
      <c r="M152" s="4">
        <v>409.77</v>
      </c>
      <c r="N152" t="s">
        <v>85</v>
      </c>
      <c r="O152" s="7">
        <v>59</v>
      </c>
      <c r="P152" s="2">
        <v>45695.458333333336</v>
      </c>
      <c r="Q152" t="s">
        <v>139</v>
      </c>
      <c r="R152">
        <v>2</v>
      </c>
      <c r="S152" t="s">
        <v>55</v>
      </c>
      <c r="T152">
        <f>IF(orders[[#This Row],[Status]]="Completed",1,0)</f>
        <v>0</v>
      </c>
      <c r="U152">
        <f>IF(orders[[#This Row],[Status]]="Pending",1,0)</f>
        <v>0</v>
      </c>
      <c r="V152">
        <f>IF(orders[[#This Row],[Status]]="Delayed",1,0)</f>
        <v>1</v>
      </c>
      <c r="W152">
        <f>IF(orders[[#This Row],[Status]]="Cancelled",1,0)</f>
        <v>0</v>
      </c>
    </row>
    <row r="153" spans="1:23" x14ac:dyDescent="0.35">
      <c r="A153" t="s">
        <v>355</v>
      </c>
      <c r="B153" s="1">
        <v>45670</v>
      </c>
      <c r="C153" t="s">
        <v>356</v>
      </c>
      <c r="D153" t="s">
        <v>77</v>
      </c>
      <c r="E153" t="s">
        <v>31</v>
      </c>
      <c r="F153" t="s">
        <v>72</v>
      </c>
      <c r="G153" t="s">
        <v>146</v>
      </c>
      <c r="H153" s="7">
        <v>6</v>
      </c>
      <c r="I153" s="4">
        <v>26593.08</v>
      </c>
      <c r="J153" s="23">
        <v>0.15</v>
      </c>
      <c r="K153" s="4">
        <v>22604.12</v>
      </c>
      <c r="L153" s="4">
        <v>16051.04</v>
      </c>
      <c r="M153" s="4">
        <v>6553.08</v>
      </c>
      <c r="N153" t="s">
        <v>25</v>
      </c>
      <c r="O153" s="7">
        <v>39</v>
      </c>
      <c r="P153" s="2">
        <v>45671.625</v>
      </c>
      <c r="Q153" t="s">
        <v>65</v>
      </c>
      <c r="R153">
        <v>1</v>
      </c>
      <c r="S153" t="s">
        <v>55</v>
      </c>
      <c r="T153">
        <f>IF(orders[[#This Row],[Status]]="Completed",1,0)</f>
        <v>1</v>
      </c>
      <c r="U153">
        <f>IF(orders[[#This Row],[Status]]="Pending",1,0)</f>
        <v>0</v>
      </c>
      <c r="V153">
        <f>IF(orders[[#This Row],[Status]]="Delayed",1,0)</f>
        <v>0</v>
      </c>
      <c r="W153">
        <f>IF(orders[[#This Row],[Status]]="Cancelled",1,0)</f>
        <v>0</v>
      </c>
    </row>
    <row r="154" spans="1:23" x14ac:dyDescent="0.35">
      <c r="A154" t="s">
        <v>357</v>
      </c>
      <c r="B154" s="1">
        <v>45817</v>
      </c>
      <c r="C154" t="s">
        <v>358</v>
      </c>
      <c r="D154" t="s">
        <v>63</v>
      </c>
      <c r="E154" t="s">
        <v>92</v>
      </c>
      <c r="F154" t="s">
        <v>72</v>
      </c>
      <c r="G154" t="s">
        <v>119</v>
      </c>
      <c r="H154" s="7">
        <v>6</v>
      </c>
      <c r="I154" s="4">
        <v>18099.36</v>
      </c>
      <c r="J154" s="23">
        <v>0</v>
      </c>
      <c r="K154" s="4">
        <v>18099.36</v>
      </c>
      <c r="L154" s="4">
        <v>15770.83</v>
      </c>
      <c r="M154" s="4">
        <v>2328.5300000000002</v>
      </c>
      <c r="N154" t="s">
        <v>85</v>
      </c>
      <c r="O154" s="7">
        <v>51</v>
      </c>
      <c r="P154" s="2">
        <v>45819.125</v>
      </c>
      <c r="Q154" t="s">
        <v>99</v>
      </c>
      <c r="R154">
        <v>6</v>
      </c>
      <c r="S154" t="s">
        <v>27</v>
      </c>
      <c r="T154">
        <f>IF(orders[[#This Row],[Status]]="Completed",1,0)</f>
        <v>0</v>
      </c>
      <c r="U154">
        <f>IF(orders[[#This Row],[Status]]="Pending",1,0)</f>
        <v>0</v>
      </c>
      <c r="V154">
        <f>IF(orders[[#This Row],[Status]]="Delayed",1,0)</f>
        <v>1</v>
      </c>
      <c r="W154">
        <f>IF(orders[[#This Row],[Status]]="Cancelled",1,0)</f>
        <v>0</v>
      </c>
    </row>
    <row r="155" spans="1:23" x14ac:dyDescent="0.35">
      <c r="A155" t="s">
        <v>359</v>
      </c>
      <c r="B155" s="1">
        <v>45984</v>
      </c>
      <c r="C155" t="s">
        <v>82</v>
      </c>
      <c r="D155" t="s">
        <v>21</v>
      </c>
      <c r="E155" t="s">
        <v>22</v>
      </c>
      <c r="F155" t="s">
        <v>32</v>
      </c>
      <c r="G155" t="s">
        <v>89</v>
      </c>
      <c r="H155" s="7">
        <v>2</v>
      </c>
      <c r="I155" s="4">
        <v>5787.12</v>
      </c>
      <c r="J155" s="23">
        <v>0.2</v>
      </c>
      <c r="K155" s="4">
        <v>4629.7</v>
      </c>
      <c r="L155" s="4">
        <v>2558.86</v>
      </c>
      <c r="M155" s="4">
        <v>2070.84</v>
      </c>
      <c r="N155" t="s">
        <v>25</v>
      </c>
      <c r="O155" s="7">
        <v>17</v>
      </c>
      <c r="P155" s="2">
        <v>45984.708333333336</v>
      </c>
      <c r="Q155" t="s">
        <v>86</v>
      </c>
      <c r="R155">
        <v>11</v>
      </c>
      <c r="S155" t="s">
        <v>35</v>
      </c>
      <c r="T155">
        <f>IF(orders[[#This Row],[Status]]="Completed",1,0)</f>
        <v>1</v>
      </c>
      <c r="U155">
        <f>IF(orders[[#This Row],[Status]]="Pending",1,0)</f>
        <v>0</v>
      </c>
      <c r="V155">
        <f>IF(orders[[#This Row],[Status]]="Delayed",1,0)</f>
        <v>0</v>
      </c>
      <c r="W155">
        <f>IF(orders[[#This Row],[Status]]="Cancelled",1,0)</f>
        <v>0</v>
      </c>
    </row>
    <row r="156" spans="1:23" x14ac:dyDescent="0.35">
      <c r="A156" t="s">
        <v>360</v>
      </c>
      <c r="B156" s="1">
        <v>45844</v>
      </c>
      <c r="C156" t="s">
        <v>361</v>
      </c>
      <c r="D156" t="s">
        <v>58</v>
      </c>
      <c r="E156" t="s">
        <v>31</v>
      </c>
      <c r="F156" t="s">
        <v>39</v>
      </c>
      <c r="G156" t="s">
        <v>47</v>
      </c>
      <c r="H156" s="7">
        <v>7</v>
      </c>
      <c r="I156" s="4">
        <v>36251.879999999997</v>
      </c>
      <c r="J156" s="23">
        <v>0.1</v>
      </c>
      <c r="K156" s="4">
        <v>32626.69</v>
      </c>
      <c r="L156" s="4">
        <v>27622.05</v>
      </c>
      <c r="M156" s="4">
        <v>5004.6400000000003</v>
      </c>
      <c r="N156" t="s">
        <v>25</v>
      </c>
      <c r="O156" s="7">
        <v>39</v>
      </c>
      <c r="P156" s="2">
        <v>45845.625</v>
      </c>
      <c r="Q156" t="s">
        <v>60</v>
      </c>
      <c r="R156">
        <v>7</v>
      </c>
      <c r="S156" t="s">
        <v>42</v>
      </c>
      <c r="T156">
        <f>IF(orders[[#This Row],[Status]]="Completed",1,0)</f>
        <v>1</v>
      </c>
      <c r="U156">
        <f>IF(orders[[#This Row],[Status]]="Pending",1,0)</f>
        <v>0</v>
      </c>
      <c r="V156">
        <f>IF(orders[[#This Row],[Status]]="Delayed",1,0)</f>
        <v>0</v>
      </c>
      <c r="W156">
        <f>IF(orders[[#This Row],[Status]]="Cancelled",1,0)</f>
        <v>0</v>
      </c>
    </row>
    <row r="157" spans="1:23" x14ac:dyDescent="0.35">
      <c r="A157" t="s">
        <v>362</v>
      </c>
      <c r="B157" s="1">
        <v>45900</v>
      </c>
      <c r="C157" t="s">
        <v>363</v>
      </c>
      <c r="D157" t="s">
        <v>149</v>
      </c>
      <c r="E157" t="s">
        <v>22</v>
      </c>
      <c r="F157" t="s">
        <v>83</v>
      </c>
      <c r="G157" t="s">
        <v>155</v>
      </c>
      <c r="H157" s="7">
        <v>2</v>
      </c>
      <c r="I157" s="4">
        <v>5682.82</v>
      </c>
      <c r="J157" s="23">
        <v>0.05</v>
      </c>
      <c r="K157" s="4">
        <v>5398.68</v>
      </c>
      <c r="L157" s="4">
        <v>4628.13</v>
      </c>
      <c r="M157" s="4">
        <v>770.55</v>
      </c>
      <c r="N157" t="s">
        <v>25</v>
      </c>
      <c r="O157" s="7">
        <v>9</v>
      </c>
      <c r="P157" s="2">
        <v>45900.375</v>
      </c>
      <c r="Q157" t="s">
        <v>80</v>
      </c>
      <c r="R157">
        <v>8</v>
      </c>
      <c r="S157" t="s">
        <v>42</v>
      </c>
      <c r="T157">
        <f>IF(orders[[#This Row],[Status]]="Completed",1,0)</f>
        <v>1</v>
      </c>
      <c r="U157">
        <f>IF(orders[[#This Row],[Status]]="Pending",1,0)</f>
        <v>0</v>
      </c>
      <c r="V157">
        <f>IF(orders[[#This Row],[Status]]="Delayed",1,0)</f>
        <v>0</v>
      </c>
      <c r="W157">
        <f>IF(orders[[#This Row],[Status]]="Cancelled",1,0)</f>
        <v>0</v>
      </c>
    </row>
    <row r="158" spans="1:23" x14ac:dyDescent="0.35">
      <c r="A158" t="s">
        <v>364</v>
      </c>
      <c r="B158" s="1">
        <v>45743</v>
      </c>
      <c r="C158" t="s">
        <v>365</v>
      </c>
      <c r="D158" t="s">
        <v>45</v>
      </c>
      <c r="E158" t="s">
        <v>113</v>
      </c>
      <c r="F158" t="s">
        <v>39</v>
      </c>
      <c r="G158" t="s">
        <v>47</v>
      </c>
      <c r="H158" s="7">
        <v>2</v>
      </c>
      <c r="I158" s="4">
        <v>13274.12</v>
      </c>
      <c r="J158" s="23">
        <v>0.1</v>
      </c>
      <c r="K158" s="4">
        <v>11946.71</v>
      </c>
      <c r="L158" s="4">
        <v>10359.43</v>
      </c>
      <c r="M158" s="4">
        <v>1587.28</v>
      </c>
      <c r="N158" t="s">
        <v>25</v>
      </c>
      <c r="O158" s="7">
        <v>12</v>
      </c>
      <c r="P158" s="2">
        <v>45743.5</v>
      </c>
      <c r="Q158" t="s">
        <v>54</v>
      </c>
      <c r="R158">
        <v>3</v>
      </c>
      <c r="S158" t="s">
        <v>55</v>
      </c>
      <c r="T158">
        <f>IF(orders[[#This Row],[Status]]="Completed",1,0)</f>
        <v>1</v>
      </c>
      <c r="U158">
        <f>IF(orders[[#This Row],[Status]]="Pending",1,0)</f>
        <v>0</v>
      </c>
      <c r="V158">
        <f>IF(orders[[#This Row],[Status]]="Delayed",1,0)</f>
        <v>0</v>
      </c>
      <c r="W158">
        <f>IF(orders[[#This Row],[Status]]="Cancelled",1,0)</f>
        <v>0</v>
      </c>
    </row>
    <row r="159" spans="1:23" x14ac:dyDescent="0.35">
      <c r="A159" t="s">
        <v>366</v>
      </c>
      <c r="B159" s="1">
        <v>45941</v>
      </c>
      <c r="C159" t="s">
        <v>259</v>
      </c>
      <c r="D159" t="s">
        <v>45</v>
      </c>
      <c r="E159" t="s">
        <v>92</v>
      </c>
      <c r="F159" t="s">
        <v>39</v>
      </c>
      <c r="G159" t="s">
        <v>114</v>
      </c>
      <c r="H159" s="7">
        <v>1</v>
      </c>
      <c r="I159" s="4">
        <v>741.11</v>
      </c>
      <c r="J159" s="23">
        <v>0.1</v>
      </c>
      <c r="K159" s="4">
        <v>667</v>
      </c>
      <c r="L159" s="4">
        <v>369.73</v>
      </c>
      <c r="M159" s="4">
        <v>297.27</v>
      </c>
      <c r="N159" t="s">
        <v>25</v>
      </c>
      <c r="O159" s="7">
        <v>24</v>
      </c>
      <c r="P159" s="2">
        <v>45942</v>
      </c>
      <c r="Q159" t="s">
        <v>116</v>
      </c>
      <c r="R159">
        <v>10</v>
      </c>
      <c r="S159" t="s">
        <v>35</v>
      </c>
      <c r="T159">
        <f>IF(orders[[#This Row],[Status]]="Completed",1,0)</f>
        <v>1</v>
      </c>
      <c r="U159">
        <f>IF(orders[[#This Row],[Status]]="Pending",1,0)</f>
        <v>0</v>
      </c>
      <c r="V159">
        <f>IF(orders[[#This Row],[Status]]="Delayed",1,0)</f>
        <v>0</v>
      </c>
      <c r="W159">
        <f>IF(orders[[#This Row],[Status]]="Cancelled",1,0)</f>
        <v>0</v>
      </c>
    </row>
    <row r="160" spans="1:23" x14ac:dyDescent="0.35">
      <c r="A160" t="s">
        <v>367</v>
      </c>
      <c r="B160" s="1">
        <v>45723</v>
      </c>
      <c r="C160" t="s">
        <v>368</v>
      </c>
      <c r="D160" t="s">
        <v>45</v>
      </c>
      <c r="E160" t="s">
        <v>31</v>
      </c>
      <c r="F160" t="s">
        <v>32</v>
      </c>
      <c r="G160" t="s">
        <v>79</v>
      </c>
      <c r="H160" s="7">
        <v>5</v>
      </c>
      <c r="I160" s="4">
        <v>28321.200000000001</v>
      </c>
      <c r="J160" s="23">
        <v>0</v>
      </c>
      <c r="K160" s="4">
        <v>28321.200000000001</v>
      </c>
      <c r="L160" s="4">
        <v>17181.38</v>
      </c>
      <c r="M160" s="4">
        <v>11139.82</v>
      </c>
      <c r="N160" t="s">
        <v>25</v>
      </c>
      <c r="O160" s="7">
        <v>15</v>
      </c>
      <c r="P160" s="2">
        <v>45723.625</v>
      </c>
      <c r="Q160" t="s">
        <v>54</v>
      </c>
      <c r="R160">
        <v>3</v>
      </c>
      <c r="S160" t="s">
        <v>55</v>
      </c>
      <c r="T160">
        <f>IF(orders[[#This Row],[Status]]="Completed",1,0)</f>
        <v>1</v>
      </c>
      <c r="U160">
        <f>IF(orders[[#This Row],[Status]]="Pending",1,0)</f>
        <v>0</v>
      </c>
      <c r="V160">
        <f>IF(orders[[#This Row],[Status]]="Delayed",1,0)</f>
        <v>0</v>
      </c>
      <c r="W160">
        <f>IF(orders[[#This Row],[Status]]="Cancelled",1,0)</f>
        <v>0</v>
      </c>
    </row>
    <row r="161" spans="1:23" x14ac:dyDescent="0.35">
      <c r="A161" t="s">
        <v>369</v>
      </c>
      <c r="B161" s="1">
        <v>45827</v>
      </c>
      <c r="C161" t="s">
        <v>299</v>
      </c>
      <c r="D161" t="s">
        <v>21</v>
      </c>
      <c r="E161" t="s">
        <v>22</v>
      </c>
      <c r="F161" t="s">
        <v>32</v>
      </c>
      <c r="G161" t="s">
        <v>89</v>
      </c>
      <c r="H161" s="7">
        <v>2</v>
      </c>
      <c r="I161" s="4">
        <v>13813.56</v>
      </c>
      <c r="J161" s="23">
        <v>0.15</v>
      </c>
      <c r="K161" s="4">
        <v>11741.53</v>
      </c>
      <c r="L161" s="4">
        <v>8990.99</v>
      </c>
      <c r="M161" s="4">
        <v>2750.54</v>
      </c>
      <c r="N161" t="s">
        <v>25</v>
      </c>
      <c r="O161" s="7">
        <v>33</v>
      </c>
      <c r="P161" s="2">
        <v>45828.375</v>
      </c>
      <c r="Q161" t="s">
        <v>99</v>
      </c>
      <c r="R161">
        <v>6</v>
      </c>
      <c r="S161" t="s">
        <v>27</v>
      </c>
      <c r="T161">
        <f>IF(orders[[#This Row],[Status]]="Completed",1,0)</f>
        <v>1</v>
      </c>
      <c r="U161">
        <f>IF(orders[[#This Row],[Status]]="Pending",1,0)</f>
        <v>0</v>
      </c>
      <c r="V161">
        <f>IF(orders[[#This Row],[Status]]="Delayed",1,0)</f>
        <v>0</v>
      </c>
      <c r="W161">
        <f>IF(orders[[#This Row],[Status]]="Cancelled",1,0)</f>
        <v>0</v>
      </c>
    </row>
    <row r="162" spans="1:23" x14ac:dyDescent="0.35">
      <c r="A162" t="s">
        <v>370</v>
      </c>
      <c r="B162" s="1">
        <v>45702</v>
      </c>
      <c r="C162" t="s">
        <v>221</v>
      </c>
      <c r="D162" t="s">
        <v>45</v>
      </c>
      <c r="E162" t="s">
        <v>46</v>
      </c>
      <c r="F162" t="s">
        <v>32</v>
      </c>
      <c r="G162" t="s">
        <v>64</v>
      </c>
      <c r="H162" s="7">
        <v>6</v>
      </c>
      <c r="I162" s="4">
        <v>34608.839999999997</v>
      </c>
      <c r="J162" s="23">
        <v>0.05</v>
      </c>
      <c r="K162" s="4">
        <v>32878.400000000001</v>
      </c>
      <c r="L162" s="4">
        <v>18359.5</v>
      </c>
      <c r="M162" s="4">
        <v>14518.9</v>
      </c>
      <c r="N162" t="s">
        <v>85</v>
      </c>
      <c r="O162" s="7">
        <v>75</v>
      </c>
      <c r="P162" s="2">
        <v>45705.125</v>
      </c>
      <c r="Q162" t="s">
        <v>139</v>
      </c>
      <c r="R162">
        <v>2</v>
      </c>
      <c r="S162" t="s">
        <v>55</v>
      </c>
      <c r="T162">
        <f>IF(orders[[#This Row],[Status]]="Completed",1,0)</f>
        <v>0</v>
      </c>
      <c r="U162">
        <f>IF(orders[[#This Row],[Status]]="Pending",1,0)</f>
        <v>0</v>
      </c>
      <c r="V162">
        <f>IF(orders[[#This Row],[Status]]="Delayed",1,0)</f>
        <v>1</v>
      </c>
      <c r="W162">
        <f>IF(orders[[#This Row],[Status]]="Cancelled",1,0)</f>
        <v>0</v>
      </c>
    </row>
    <row r="163" spans="1:23" x14ac:dyDescent="0.35">
      <c r="A163" t="s">
        <v>371</v>
      </c>
      <c r="B163" s="1">
        <v>45719</v>
      </c>
      <c r="C163" t="s">
        <v>372</v>
      </c>
      <c r="D163" t="s">
        <v>51</v>
      </c>
      <c r="E163" t="s">
        <v>31</v>
      </c>
      <c r="F163" t="s">
        <v>23</v>
      </c>
      <c r="G163" t="s">
        <v>24</v>
      </c>
      <c r="H163" s="7">
        <v>5</v>
      </c>
      <c r="I163" s="4">
        <v>21509.3</v>
      </c>
      <c r="J163" s="23">
        <v>0.2</v>
      </c>
      <c r="K163" s="4">
        <v>17207.439999999999</v>
      </c>
      <c r="L163" s="4">
        <v>9825.2900000000009</v>
      </c>
      <c r="M163" s="4">
        <v>7382.15</v>
      </c>
      <c r="N163" t="s">
        <v>25</v>
      </c>
      <c r="O163" s="7">
        <v>43</v>
      </c>
      <c r="P163" s="2">
        <v>45720.791666666664</v>
      </c>
      <c r="Q163" t="s">
        <v>54</v>
      </c>
      <c r="R163">
        <v>3</v>
      </c>
      <c r="S163" t="s">
        <v>55</v>
      </c>
      <c r="T163">
        <f>IF(orders[[#This Row],[Status]]="Completed",1,0)</f>
        <v>1</v>
      </c>
      <c r="U163">
        <f>IF(orders[[#This Row],[Status]]="Pending",1,0)</f>
        <v>0</v>
      </c>
      <c r="V163">
        <f>IF(orders[[#This Row],[Status]]="Delayed",1,0)</f>
        <v>0</v>
      </c>
      <c r="W163">
        <f>IF(orders[[#This Row],[Status]]="Cancelled",1,0)</f>
        <v>0</v>
      </c>
    </row>
    <row r="164" spans="1:23" x14ac:dyDescent="0.35">
      <c r="A164" t="s">
        <v>373</v>
      </c>
      <c r="B164" s="1">
        <v>45791</v>
      </c>
      <c r="C164" t="s">
        <v>221</v>
      </c>
      <c r="D164" t="s">
        <v>149</v>
      </c>
      <c r="E164" t="s">
        <v>22</v>
      </c>
      <c r="F164" t="s">
        <v>39</v>
      </c>
      <c r="G164" t="s">
        <v>47</v>
      </c>
      <c r="H164" s="7">
        <v>1</v>
      </c>
      <c r="I164" s="4">
        <v>8085.06</v>
      </c>
      <c r="J164" s="23">
        <v>0.15</v>
      </c>
      <c r="K164" s="4">
        <v>6872.3</v>
      </c>
      <c r="L164" s="4">
        <v>4281.1400000000003</v>
      </c>
      <c r="M164" s="4">
        <v>2591.16</v>
      </c>
      <c r="N164" t="s">
        <v>98</v>
      </c>
      <c r="O164" s="7">
        <v>21</v>
      </c>
      <c r="P164" s="2">
        <v>45791.875</v>
      </c>
      <c r="Q164" t="s">
        <v>74</v>
      </c>
      <c r="R164">
        <v>5</v>
      </c>
      <c r="S164" t="s">
        <v>27</v>
      </c>
      <c r="T164">
        <f>IF(orders[[#This Row],[Status]]="Completed",1,0)</f>
        <v>0</v>
      </c>
      <c r="U164">
        <f>IF(orders[[#This Row],[Status]]="Pending",1,0)</f>
        <v>1</v>
      </c>
      <c r="V164">
        <f>IF(orders[[#This Row],[Status]]="Delayed",1,0)</f>
        <v>0</v>
      </c>
      <c r="W164">
        <f>IF(orders[[#This Row],[Status]]="Cancelled",1,0)</f>
        <v>0</v>
      </c>
    </row>
    <row r="165" spans="1:23" x14ac:dyDescent="0.35">
      <c r="A165" t="s">
        <v>374</v>
      </c>
      <c r="B165" s="1">
        <v>45941</v>
      </c>
      <c r="C165" t="s">
        <v>375</v>
      </c>
      <c r="D165" t="s">
        <v>51</v>
      </c>
      <c r="E165" t="s">
        <v>113</v>
      </c>
      <c r="F165" t="s">
        <v>72</v>
      </c>
      <c r="G165" t="s">
        <v>104</v>
      </c>
      <c r="H165" s="7">
        <v>5</v>
      </c>
      <c r="I165" s="4">
        <v>13272.45</v>
      </c>
      <c r="J165" s="23">
        <v>0.05</v>
      </c>
      <c r="K165" s="4">
        <v>12608.83</v>
      </c>
      <c r="L165" s="4">
        <v>9067.07</v>
      </c>
      <c r="M165" s="4">
        <v>3541.76</v>
      </c>
      <c r="N165" t="s">
        <v>85</v>
      </c>
      <c r="O165" s="7">
        <v>75</v>
      </c>
      <c r="P165" s="2">
        <v>45944.125</v>
      </c>
      <c r="Q165" t="s">
        <v>116</v>
      </c>
      <c r="R165">
        <v>10</v>
      </c>
      <c r="S165" t="s">
        <v>35</v>
      </c>
      <c r="T165">
        <f>IF(orders[[#This Row],[Status]]="Completed",1,0)</f>
        <v>0</v>
      </c>
      <c r="U165">
        <f>IF(orders[[#This Row],[Status]]="Pending",1,0)</f>
        <v>0</v>
      </c>
      <c r="V165">
        <f>IF(orders[[#This Row],[Status]]="Delayed",1,0)</f>
        <v>1</v>
      </c>
      <c r="W165">
        <f>IF(orders[[#This Row],[Status]]="Cancelled",1,0)</f>
        <v>0</v>
      </c>
    </row>
    <row r="166" spans="1:23" x14ac:dyDescent="0.35">
      <c r="A166" t="s">
        <v>376</v>
      </c>
      <c r="B166" s="1">
        <v>45685</v>
      </c>
      <c r="C166" t="s">
        <v>377</v>
      </c>
      <c r="D166" t="s">
        <v>77</v>
      </c>
      <c r="E166" t="s">
        <v>59</v>
      </c>
      <c r="F166" t="s">
        <v>83</v>
      </c>
      <c r="G166" t="s">
        <v>152</v>
      </c>
      <c r="H166" s="7">
        <v>3</v>
      </c>
      <c r="I166" s="4">
        <v>930.15</v>
      </c>
      <c r="J166" s="23">
        <v>0.15</v>
      </c>
      <c r="K166" s="4">
        <v>790.63</v>
      </c>
      <c r="L166" s="4">
        <v>577.28</v>
      </c>
      <c r="M166" s="4">
        <v>213.35</v>
      </c>
      <c r="N166" t="s">
        <v>25</v>
      </c>
      <c r="O166" s="7">
        <v>30</v>
      </c>
      <c r="P166" s="2">
        <v>45686.25</v>
      </c>
      <c r="Q166" t="s">
        <v>65</v>
      </c>
      <c r="R166">
        <v>1</v>
      </c>
      <c r="S166" t="s">
        <v>55</v>
      </c>
      <c r="T166">
        <f>IF(orders[[#This Row],[Status]]="Completed",1,0)</f>
        <v>1</v>
      </c>
      <c r="U166">
        <f>IF(orders[[#This Row],[Status]]="Pending",1,0)</f>
        <v>0</v>
      </c>
      <c r="V166">
        <f>IF(orders[[#This Row],[Status]]="Delayed",1,0)</f>
        <v>0</v>
      </c>
      <c r="W166">
        <f>IF(orders[[#This Row],[Status]]="Cancelled",1,0)</f>
        <v>0</v>
      </c>
    </row>
    <row r="167" spans="1:23" x14ac:dyDescent="0.35">
      <c r="A167" t="s">
        <v>378</v>
      </c>
      <c r="B167" s="1">
        <v>45765</v>
      </c>
      <c r="C167" t="s">
        <v>379</v>
      </c>
      <c r="D167" t="s">
        <v>149</v>
      </c>
      <c r="E167" t="s">
        <v>78</v>
      </c>
      <c r="F167" t="s">
        <v>23</v>
      </c>
      <c r="G167" t="s">
        <v>24</v>
      </c>
      <c r="H167" s="7">
        <v>7</v>
      </c>
      <c r="I167" s="4">
        <v>26299.77</v>
      </c>
      <c r="J167" s="23">
        <v>0.05</v>
      </c>
      <c r="K167" s="4">
        <v>24984.78</v>
      </c>
      <c r="L167" s="4">
        <v>14024.11</v>
      </c>
      <c r="M167" s="4">
        <v>10960.67</v>
      </c>
      <c r="N167" t="s">
        <v>48</v>
      </c>
      <c r="O167" s="7">
        <v>11</v>
      </c>
      <c r="P167" s="2">
        <v>45765.458333333336</v>
      </c>
      <c r="Q167" t="s">
        <v>26</v>
      </c>
      <c r="R167">
        <v>4</v>
      </c>
      <c r="S167" t="s">
        <v>27</v>
      </c>
      <c r="T167">
        <f>IF(orders[[#This Row],[Status]]="Completed",1,0)</f>
        <v>0</v>
      </c>
      <c r="U167">
        <f>IF(orders[[#This Row],[Status]]="Pending",1,0)</f>
        <v>0</v>
      </c>
      <c r="V167">
        <f>IF(orders[[#This Row],[Status]]="Delayed",1,0)</f>
        <v>0</v>
      </c>
      <c r="W167">
        <f>IF(orders[[#This Row],[Status]]="Cancelled",1,0)</f>
        <v>1</v>
      </c>
    </row>
    <row r="168" spans="1:23" x14ac:dyDescent="0.35">
      <c r="A168" t="s">
        <v>380</v>
      </c>
      <c r="B168" s="1">
        <v>45701</v>
      </c>
      <c r="C168" t="s">
        <v>381</v>
      </c>
      <c r="D168" t="s">
        <v>51</v>
      </c>
      <c r="E168" t="s">
        <v>22</v>
      </c>
      <c r="F168" t="s">
        <v>72</v>
      </c>
      <c r="G168" t="s">
        <v>129</v>
      </c>
      <c r="H168" s="7">
        <v>5</v>
      </c>
      <c r="I168" s="4">
        <v>2128.25</v>
      </c>
      <c r="J168" s="23">
        <v>0</v>
      </c>
      <c r="K168" s="4">
        <v>2128.25</v>
      </c>
      <c r="L168" s="4">
        <v>1290.19</v>
      </c>
      <c r="M168" s="4">
        <v>838.06</v>
      </c>
      <c r="N168" t="s">
        <v>48</v>
      </c>
      <c r="O168" s="7">
        <v>14</v>
      </c>
      <c r="P168" s="2">
        <v>45701.583333333336</v>
      </c>
      <c r="Q168" t="s">
        <v>139</v>
      </c>
      <c r="R168">
        <v>2</v>
      </c>
      <c r="S168" t="s">
        <v>55</v>
      </c>
      <c r="T168">
        <f>IF(orders[[#This Row],[Status]]="Completed",1,0)</f>
        <v>0</v>
      </c>
      <c r="U168">
        <f>IF(orders[[#This Row],[Status]]="Pending",1,0)</f>
        <v>0</v>
      </c>
      <c r="V168">
        <f>IF(orders[[#This Row],[Status]]="Delayed",1,0)</f>
        <v>0</v>
      </c>
      <c r="W168">
        <f>IF(orders[[#This Row],[Status]]="Cancelled",1,0)</f>
        <v>1</v>
      </c>
    </row>
    <row r="169" spans="1:23" x14ac:dyDescent="0.35">
      <c r="A169" t="s">
        <v>382</v>
      </c>
      <c r="B169" s="1">
        <v>45997</v>
      </c>
      <c r="C169" t="s">
        <v>383</v>
      </c>
      <c r="D169" t="s">
        <v>149</v>
      </c>
      <c r="E169" t="s">
        <v>59</v>
      </c>
      <c r="F169" t="s">
        <v>39</v>
      </c>
      <c r="G169" t="s">
        <v>114</v>
      </c>
      <c r="H169" s="7">
        <v>2</v>
      </c>
      <c r="I169" s="4">
        <v>16230.74</v>
      </c>
      <c r="J169" s="23">
        <v>0.25</v>
      </c>
      <c r="K169" s="4">
        <v>12173.06</v>
      </c>
      <c r="L169" s="4">
        <v>8702.56</v>
      </c>
      <c r="M169" s="4">
        <v>3470.5</v>
      </c>
      <c r="N169" t="s">
        <v>25</v>
      </c>
      <c r="O169" s="7">
        <v>9</v>
      </c>
      <c r="P169" s="2">
        <v>45997.375</v>
      </c>
      <c r="Q169" t="s">
        <v>34</v>
      </c>
      <c r="R169">
        <v>12</v>
      </c>
      <c r="S169" t="s">
        <v>35</v>
      </c>
      <c r="T169">
        <f>IF(orders[[#This Row],[Status]]="Completed",1,0)</f>
        <v>1</v>
      </c>
      <c r="U169">
        <f>IF(orders[[#This Row],[Status]]="Pending",1,0)</f>
        <v>0</v>
      </c>
      <c r="V169">
        <f>IF(orders[[#This Row],[Status]]="Delayed",1,0)</f>
        <v>0</v>
      </c>
      <c r="W169">
        <f>IF(orders[[#This Row],[Status]]="Cancelled",1,0)</f>
        <v>0</v>
      </c>
    </row>
    <row r="170" spans="1:23" x14ac:dyDescent="0.35">
      <c r="A170" t="s">
        <v>384</v>
      </c>
      <c r="B170" s="1">
        <v>45943</v>
      </c>
      <c r="C170" t="s">
        <v>385</v>
      </c>
      <c r="D170" t="s">
        <v>77</v>
      </c>
      <c r="E170" t="s">
        <v>92</v>
      </c>
      <c r="F170" t="s">
        <v>32</v>
      </c>
      <c r="G170" t="s">
        <v>89</v>
      </c>
      <c r="H170" s="7">
        <v>1</v>
      </c>
      <c r="I170" s="4">
        <v>1902.82</v>
      </c>
      <c r="J170" s="23">
        <v>0.1</v>
      </c>
      <c r="K170" s="4">
        <v>1712.54</v>
      </c>
      <c r="L170" s="4">
        <v>1277.56</v>
      </c>
      <c r="M170" s="4">
        <v>434.98</v>
      </c>
      <c r="N170" t="s">
        <v>48</v>
      </c>
      <c r="O170" s="7">
        <v>3</v>
      </c>
      <c r="P170" s="2">
        <v>45943.125</v>
      </c>
      <c r="Q170" t="s">
        <v>116</v>
      </c>
      <c r="R170">
        <v>10</v>
      </c>
      <c r="S170" t="s">
        <v>35</v>
      </c>
      <c r="T170">
        <f>IF(orders[[#This Row],[Status]]="Completed",1,0)</f>
        <v>0</v>
      </c>
      <c r="U170">
        <f>IF(orders[[#This Row],[Status]]="Pending",1,0)</f>
        <v>0</v>
      </c>
      <c r="V170">
        <f>IF(orders[[#This Row],[Status]]="Delayed",1,0)</f>
        <v>0</v>
      </c>
      <c r="W170">
        <f>IF(orders[[#This Row],[Status]]="Cancelled",1,0)</f>
        <v>1</v>
      </c>
    </row>
    <row r="171" spans="1:23" x14ac:dyDescent="0.35">
      <c r="A171" t="s">
        <v>386</v>
      </c>
      <c r="B171" s="1">
        <v>45988</v>
      </c>
      <c r="C171" t="s">
        <v>95</v>
      </c>
      <c r="D171" t="s">
        <v>68</v>
      </c>
      <c r="E171" t="s">
        <v>113</v>
      </c>
      <c r="F171" t="s">
        <v>39</v>
      </c>
      <c r="G171" t="s">
        <v>188</v>
      </c>
      <c r="H171" s="7">
        <v>7</v>
      </c>
      <c r="I171" s="4">
        <v>47162.78</v>
      </c>
      <c r="J171" s="23">
        <v>0.1</v>
      </c>
      <c r="K171" s="4">
        <v>42446.5</v>
      </c>
      <c r="L171" s="4">
        <v>25424.29</v>
      </c>
      <c r="M171" s="4">
        <v>17022.21</v>
      </c>
      <c r="N171" t="s">
        <v>85</v>
      </c>
      <c r="O171" s="7">
        <v>71</v>
      </c>
      <c r="P171" s="2">
        <v>45990.958333333336</v>
      </c>
      <c r="Q171" t="s">
        <v>86</v>
      </c>
      <c r="R171">
        <v>11</v>
      </c>
      <c r="S171" t="s">
        <v>35</v>
      </c>
      <c r="T171">
        <f>IF(orders[[#This Row],[Status]]="Completed",1,0)</f>
        <v>0</v>
      </c>
      <c r="U171">
        <f>IF(orders[[#This Row],[Status]]="Pending",1,0)</f>
        <v>0</v>
      </c>
      <c r="V171">
        <f>IF(orders[[#This Row],[Status]]="Delayed",1,0)</f>
        <v>1</v>
      </c>
      <c r="W171">
        <f>IF(orders[[#This Row],[Status]]="Cancelled",1,0)</f>
        <v>0</v>
      </c>
    </row>
    <row r="172" spans="1:23" x14ac:dyDescent="0.35">
      <c r="A172" t="s">
        <v>387</v>
      </c>
      <c r="B172" s="1">
        <v>45785</v>
      </c>
      <c r="C172" t="s">
        <v>388</v>
      </c>
      <c r="D172" t="s">
        <v>21</v>
      </c>
      <c r="E172" t="s">
        <v>46</v>
      </c>
      <c r="F172" t="s">
        <v>83</v>
      </c>
      <c r="G172" t="s">
        <v>152</v>
      </c>
      <c r="H172" s="7">
        <v>2</v>
      </c>
      <c r="I172" s="4">
        <v>13235.36</v>
      </c>
      <c r="J172" s="23">
        <v>0.05</v>
      </c>
      <c r="K172" s="4">
        <v>12573.59</v>
      </c>
      <c r="L172" s="4">
        <v>8570.3799999999992</v>
      </c>
      <c r="M172" s="4">
        <v>4003.21</v>
      </c>
      <c r="N172" t="s">
        <v>25</v>
      </c>
      <c r="O172" s="7">
        <v>11</v>
      </c>
      <c r="P172" s="2">
        <v>45785.458333333336</v>
      </c>
      <c r="Q172" t="s">
        <v>74</v>
      </c>
      <c r="R172">
        <v>5</v>
      </c>
      <c r="S172" t="s">
        <v>27</v>
      </c>
      <c r="T172">
        <f>IF(orders[[#This Row],[Status]]="Completed",1,0)</f>
        <v>1</v>
      </c>
      <c r="U172">
        <f>IF(orders[[#This Row],[Status]]="Pending",1,0)</f>
        <v>0</v>
      </c>
      <c r="V172">
        <f>IF(orders[[#This Row],[Status]]="Delayed",1,0)</f>
        <v>0</v>
      </c>
      <c r="W172">
        <f>IF(orders[[#This Row],[Status]]="Cancelled",1,0)</f>
        <v>0</v>
      </c>
    </row>
    <row r="173" spans="1:23" x14ac:dyDescent="0.35">
      <c r="A173" t="s">
        <v>389</v>
      </c>
      <c r="B173" s="1">
        <v>46005</v>
      </c>
      <c r="C173" t="s">
        <v>390</v>
      </c>
      <c r="D173" t="s">
        <v>21</v>
      </c>
      <c r="E173" t="s">
        <v>92</v>
      </c>
      <c r="F173" t="s">
        <v>23</v>
      </c>
      <c r="G173" t="s">
        <v>110</v>
      </c>
      <c r="H173" s="7">
        <v>7</v>
      </c>
      <c r="I173" s="4">
        <v>13776.28</v>
      </c>
      <c r="J173" s="23">
        <v>0.05</v>
      </c>
      <c r="K173" s="4">
        <v>13087.47</v>
      </c>
      <c r="L173" s="4">
        <v>11104.1</v>
      </c>
      <c r="M173" s="4">
        <v>1983.37</v>
      </c>
      <c r="N173" t="s">
        <v>85</v>
      </c>
      <c r="O173" s="7">
        <v>55</v>
      </c>
      <c r="P173" s="2">
        <v>46007.291666666664</v>
      </c>
      <c r="Q173" t="s">
        <v>34</v>
      </c>
      <c r="R173">
        <v>12</v>
      </c>
      <c r="S173" t="s">
        <v>35</v>
      </c>
      <c r="T173">
        <f>IF(orders[[#This Row],[Status]]="Completed",1,0)</f>
        <v>0</v>
      </c>
      <c r="U173">
        <f>IF(orders[[#This Row],[Status]]="Pending",1,0)</f>
        <v>0</v>
      </c>
      <c r="V173">
        <f>IF(orders[[#This Row],[Status]]="Delayed",1,0)</f>
        <v>1</v>
      </c>
      <c r="W173">
        <f>IF(orders[[#This Row],[Status]]="Cancelled",1,0)</f>
        <v>0</v>
      </c>
    </row>
    <row r="174" spans="1:23" x14ac:dyDescent="0.35">
      <c r="A174" t="s">
        <v>391</v>
      </c>
      <c r="B174" s="1">
        <v>45888</v>
      </c>
      <c r="C174" t="s">
        <v>392</v>
      </c>
      <c r="D174" t="s">
        <v>45</v>
      </c>
      <c r="E174" t="s">
        <v>46</v>
      </c>
      <c r="F174" t="s">
        <v>23</v>
      </c>
      <c r="G174" t="s">
        <v>136</v>
      </c>
      <c r="H174" s="7">
        <v>6</v>
      </c>
      <c r="I174" s="4">
        <v>32023.439999999999</v>
      </c>
      <c r="J174" s="23">
        <v>0.25</v>
      </c>
      <c r="K174" s="4">
        <v>24017.58</v>
      </c>
      <c r="L174" s="4">
        <v>21126.75</v>
      </c>
      <c r="M174" s="4">
        <v>2890.83</v>
      </c>
      <c r="N174" t="s">
        <v>25</v>
      </c>
      <c r="O174" s="7">
        <v>18</v>
      </c>
      <c r="P174" s="2">
        <v>45888.75</v>
      </c>
      <c r="Q174" t="s">
        <v>80</v>
      </c>
      <c r="R174">
        <v>8</v>
      </c>
      <c r="S174" t="s">
        <v>42</v>
      </c>
      <c r="T174">
        <f>IF(orders[[#This Row],[Status]]="Completed",1,0)</f>
        <v>1</v>
      </c>
      <c r="U174">
        <f>IF(orders[[#This Row],[Status]]="Pending",1,0)</f>
        <v>0</v>
      </c>
      <c r="V174">
        <f>IF(orders[[#This Row],[Status]]="Delayed",1,0)</f>
        <v>0</v>
      </c>
      <c r="W174">
        <f>IF(orders[[#This Row],[Status]]="Cancelled",1,0)</f>
        <v>0</v>
      </c>
    </row>
    <row r="175" spans="1:23" x14ac:dyDescent="0.35">
      <c r="A175" t="s">
        <v>393</v>
      </c>
      <c r="B175" s="1">
        <v>45847</v>
      </c>
      <c r="C175" t="s">
        <v>299</v>
      </c>
      <c r="D175" t="s">
        <v>30</v>
      </c>
      <c r="E175" t="s">
        <v>59</v>
      </c>
      <c r="F175" t="s">
        <v>83</v>
      </c>
      <c r="G175" t="s">
        <v>182</v>
      </c>
      <c r="H175" s="7">
        <v>3</v>
      </c>
      <c r="I175" s="4">
        <v>1654.38</v>
      </c>
      <c r="J175" s="23">
        <v>0</v>
      </c>
      <c r="K175" s="4">
        <v>1654.38</v>
      </c>
      <c r="L175" s="4">
        <v>1448.87</v>
      </c>
      <c r="M175" s="4">
        <v>205.51</v>
      </c>
      <c r="N175" t="s">
        <v>25</v>
      </c>
      <c r="O175" s="7">
        <v>39</v>
      </c>
      <c r="P175" s="2">
        <v>45848.625</v>
      </c>
      <c r="Q175" t="s">
        <v>60</v>
      </c>
      <c r="R175">
        <v>7</v>
      </c>
      <c r="S175" t="s">
        <v>42</v>
      </c>
      <c r="T175">
        <f>IF(orders[[#This Row],[Status]]="Completed",1,0)</f>
        <v>1</v>
      </c>
      <c r="U175">
        <f>IF(orders[[#This Row],[Status]]="Pending",1,0)</f>
        <v>0</v>
      </c>
      <c r="V175">
        <f>IF(orders[[#This Row],[Status]]="Delayed",1,0)</f>
        <v>0</v>
      </c>
      <c r="W175">
        <f>IF(orders[[#This Row],[Status]]="Cancelled",1,0)</f>
        <v>0</v>
      </c>
    </row>
    <row r="176" spans="1:23" x14ac:dyDescent="0.35">
      <c r="A176" t="s">
        <v>394</v>
      </c>
      <c r="B176" s="1">
        <v>45882</v>
      </c>
      <c r="C176" t="s">
        <v>194</v>
      </c>
      <c r="D176" t="s">
        <v>45</v>
      </c>
      <c r="E176" t="s">
        <v>113</v>
      </c>
      <c r="F176" t="s">
        <v>72</v>
      </c>
      <c r="G176" t="s">
        <v>129</v>
      </c>
      <c r="H176" s="7">
        <v>6</v>
      </c>
      <c r="I176" s="4">
        <v>25127.1</v>
      </c>
      <c r="J176" s="23">
        <v>0.05</v>
      </c>
      <c r="K176" s="4">
        <v>23870.74</v>
      </c>
      <c r="L176" s="4">
        <v>20074.16</v>
      </c>
      <c r="M176" s="4">
        <v>3796.58</v>
      </c>
      <c r="N176" t="s">
        <v>25</v>
      </c>
      <c r="O176" s="7">
        <v>44</v>
      </c>
      <c r="P176" s="2">
        <v>45883.833333333336</v>
      </c>
      <c r="Q176" t="s">
        <v>80</v>
      </c>
      <c r="R176">
        <v>8</v>
      </c>
      <c r="S176" t="s">
        <v>42</v>
      </c>
      <c r="T176">
        <f>IF(orders[[#This Row],[Status]]="Completed",1,0)</f>
        <v>1</v>
      </c>
      <c r="U176">
        <f>IF(orders[[#This Row],[Status]]="Pending",1,0)</f>
        <v>0</v>
      </c>
      <c r="V176">
        <f>IF(orders[[#This Row],[Status]]="Delayed",1,0)</f>
        <v>0</v>
      </c>
      <c r="W176">
        <f>IF(orders[[#This Row],[Status]]="Cancelled",1,0)</f>
        <v>0</v>
      </c>
    </row>
    <row r="177" spans="1:23" x14ac:dyDescent="0.35">
      <c r="A177" t="s">
        <v>395</v>
      </c>
      <c r="B177" s="1">
        <v>45940</v>
      </c>
      <c r="C177" t="s">
        <v>261</v>
      </c>
      <c r="D177" t="s">
        <v>38</v>
      </c>
      <c r="E177" t="s">
        <v>52</v>
      </c>
      <c r="F177" t="s">
        <v>72</v>
      </c>
      <c r="G177" t="s">
        <v>73</v>
      </c>
      <c r="H177" s="7">
        <v>2</v>
      </c>
      <c r="I177" s="4">
        <v>544.6</v>
      </c>
      <c r="J177" s="23">
        <v>0.1</v>
      </c>
      <c r="K177" s="4">
        <v>490.14</v>
      </c>
      <c r="L177" s="4">
        <v>333.41</v>
      </c>
      <c r="M177" s="4">
        <v>156.72999999999999</v>
      </c>
      <c r="N177" t="s">
        <v>25</v>
      </c>
      <c r="O177" s="7">
        <v>10</v>
      </c>
      <c r="P177" s="2">
        <v>45940.416666666664</v>
      </c>
      <c r="Q177" t="s">
        <v>116</v>
      </c>
      <c r="R177">
        <v>10</v>
      </c>
      <c r="S177" t="s">
        <v>35</v>
      </c>
      <c r="T177">
        <f>IF(orders[[#This Row],[Status]]="Completed",1,0)</f>
        <v>1</v>
      </c>
      <c r="U177">
        <f>IF(orders[[#This Row],[Status]]="Pending",1,0)</f>
        <v>0</v>
      </c>
      <c r="V177">
        <f>IF(orders[[#This Row],[Status]]="Delayed",1,0)</f>
        <v>0</v>
      </c>
      <c r="W177">
        <f>IF(orders[[#This Row],[Status]]="Cancelled",1,0)</f>
        <v>0</v>
      </c>
    </row>
    <row r="178" spans="1:23" x14ac:dyDescent="0.35">
      <c r="A178" t="s">
        <v>396</v>
      </c>
      <c r="B178" s="1">
        <v>45778</v>
      </c>
      <c r="C178" t="s">
        <v>397</v>
      </c>
      <c r="D178" t="s">
        <v>51</v>
      </c>
      <c r="E178" t="s">
        <v>113</v>
      </c>
      <c r="F178" t="s">
        <v>23</v>
      </c>
      <c r="G178" t="s">
        <v>24</v>
      </c>
      <c r="H178" s="7">
        <v>2</v>
      </c>
      <c r="I178" s="4">
        <v>15683.1</v>
      </c>
      <c r="J178" s="23">
        <v>0.1</v>
      </c>
      <c r="K178" s="4">
        <v>14114.79</v>
      </c>
      <c r="L178" s="4">
        <v>10961.12</v>
      </c>
      <c r="M178" s="4">
        <v>3153.67</v>
      </c>
      <c r="N178" t="s">
        <v>25</v>
      </c>
      <c r="O178" s="7">
        <v>35</v>
      </c>
      <c r="P178" s="2">
        <v>45779.458333333336</v>
      </c>
      <c r="Q178" t="s">
        <v>74</v>
      </c>
      <c r="R178">
        <v>5</v>
      </c>
      <c r="S178" t="s">
        <v>27</v>
      </c>
      <c r="T178">
        <f>IF(orders[[#This Row],[Status]]="Completed",1,0)</f>
        <v>1</v>
      </c>
      <c r="U178">
        <f>IF(orders[[#This Row],[Status]]="Pending",1,0)</f>
        <v>0</v>
      </c>
      <c r="V178">
        <f>IF(orders[[#This Row],[Status]]="Delayed",1,0)</f>
        <v>0</v>
      </c>
      <c r="W178">
        <f>IF(orders[[#This Row],[Status]]="Cancelled",1,0)</f>
        <v>0</v>
      </c>
    </row>
    <row r="179" spans="1:23" x14ac:dyDescent="0.35">
      <c r="A179" t="s">
        <v>398</v>
      </c>
      <c r="B179" s="1">
        <v>45773</v>
      </c>
      <c r="C179" t="s">
        <v>399</v>
      </c>
      <c r="D179" t="s">
        <v>149</v>
      </c>
      <c r="E179" t="s">
        <v>113</v>
      </c>
      <c r="F179" t="s">
        <v>23</v>
      </c>
      <c r="G179" t="s">
        <v>122</v>
      </c>
      <c r="H179" s="7">
        <v>2</v>
      </c>
      <c r="I179" s="4">
        <v>16600.64</v>
      </c>
      <c r="J179" s="23">
        <v>0.1</v>
      </c>
      <c r="K179" s="4">
        <v>14940.58</v>
      </c>
      <c r="L179" s="4">
        <v>10271.280000000001</v>
      </c>
      <c r="M179" s="4">
        <v>4669.3</v>
      </c>
      <c r="N179" t="s">
        <v>48</v>
      </c>
      <c r="O179" s="7">
        <v>20</v>
      </c>
      <c r="P179" s="2">
        <v>45773.833333333336</v>
      </c>
      <c r="Q179" t="s">
        <v>26</v>
      </c>
      <c r="R179">
        <v>4</v>
      </c>
      <c r="S179" t="s">
        <v>27</v>
      </c>
      <c r="T179">
        <f>IF(orders[[#This Row],[Status]]="Completed",1,0)</f>
        <v>0</v>
      </c>
      <c r="U179">
        <f>IF(orders[[#This Row],[Status]]="Pending",1,0)</f>
        <v>0</v>
      </c>
      <c r="V179">
        <f>IF(orders[[#This Row],[Status]]="Delayed",1,0)</f>
        <v>0</v>
      </c>
      <c r="W179">
        <f>IF(orders[[#This Row],[Status]]="Cancelled",1,0)</f>
        <v>1</v>
      </c>
    </row>
    <row r="180" spans="1:23" x14ac:dyDescent="0.35">
      <c r="A180" t="s">
        <v>400</v>
      </c>
      <c r="B180" s="1">
        <v>45890</v>
      </c>
      <c r="C180" t="s">
        <v>337</v>
      </c>
      <c r="D180" t="s">
        <v>30</v>
      </c>
      <c r="E180" t="s">
        <v>46</v>
      </c>
      <c r="F180" t="s">
        <v>32</v>
      </c>
      <c r="G180" t="s">
        <v>33</v>
      </c>
      <c r="H180" s="7">
        <v>4</v>
      </c>
      <c r="I180" s="4">
        <v>8024.24</v>
      </c>
      <c r="J180" s="23">
        <v>0</v>
      </c>
      <c r="K180" s="4">
        <v>8024.24</v>
      </c>
      <c r="L180" s="4">
        <v>6130.63</v>
      </c>
      <c r="M180" s="4">
        <v>1893.61</v>
      </c>
      <c r="N180" t="s">
        <v>25</v>
      </c>
      <c r="O180" s="7">
        <v>18</v>
      </c>
      <c r="P180" s="2">
        <v>45890.75</v>
      </c>
      <c r="Q180" t="s">
        <v>80</v>
      </c>
      <c r="R180">
        <v>8</v>
      </c>
      <c r="S180" t="s">
        <v>42</v>
      </c>
      <c r="T180">
        <f>IF(orders[[#This Row],[Status]]="Completed",1,0)</f>
        <v>1</v>
      </c>
      <c r="U180">
        <f>IF(orders[[#This Row],[Status]]="Pending",1,0)</f>
        <v>0</v>
      </c>
      <c r="V180">
        <f>IF(orders[[#This Row],[Status]]="Delayed",1,0)</f>
        <v>0</v>
      </c>
      <c r="W180">
        <f>IF(orders[[#This Row],[Status]]="Cancelled",1,0)</f>
        <v>0</v>
      </c>
    </row>
    <row r="181" spans="1:23" x14ac:dyDescent="0.35">
      <c r="A181" t="s">
        <v>401</v>
      </c>
      <c r="B181" s="1">
        <v>45916</v>
      </c>
      <c r="C181" t="s">
        <v>402</v>
      </c>
      <c r="D181" t="s">
        <v>77</v>
      </c>
      <c r="E181" t="s">
        <v>52</v>
      </c>
      <c r="F181" t="s">
        <v>72</v>
      </c>
      <c r="G181" t="s">
        <v>104</v>
      </c>
      <c r="H181" s="7">
        <v>3</v>
      </c>
      <c r="I181" s="4">
        <v>5663.07</v>
      </c>
      <c r="J181" s="23">
        <v>0</v>
      </c>
      <c r="K181" s="4">
        <v>5663.07</v>
      </c>
      <c r="L181" s="4">
        <v>3692.96</v>
      </c>
      <c r="M181" s="4">
        <v>1970.11</v>
      </c>
      <c r="N181" t="s">
        <v>98</v>
      </c>
      <c r="O181" s="7">
        <v>14</v>
      </c>
      <c r="P181" s="2">
        <v>45916.583333333336</v>
      </c>
      <c r="Q181" t="s">
        <v>41</v>
      </c>
      <c r="R181">
        <v>9</v>
      </c>
      <c r="S181" t="s">
        <v>42</v>
      </c>
      <c r="T181">
        <f>IF(orders[[#This Row],[Status]]="Completed",1,0)</f>
        <v>0</v>
      </c>
      <c r="U181">
        <f>IF(orders[[#This Row],[Status]]="Pending",1,0)</f>
        <v>1</v>
      </c>
      <c r="V181">
        <f>IF(orders[[#This Row],[Status]]="Delayed",1,0)</f>
        <v>0</v>
      </c>
      <c r="W181">
        <f>IF(orders[[#This Row],[Status]]="Cancelled",1,0)</f>
        <v>0</v>
      </c>
    </row>
    <row r="182" spans="1:23" x14ac:dyDescent="0.35">
      <c r="A182" t="s">
        <v>403</v>
      </c>
      <c r="B182" s="1">
        <v>46016</v>
      </c>
      <c r="C182" t="s">
        <v>404</v>
      </c>
      <c r="D182" t="s">
        <v>38</v>
      </c>
      <c r="E182" t="s">
        <v>31</v>
      </c>
      <c r="F182" t="s">
        <v>83</v>
      </c>
      <c r="G182" t="s">
        <v>152</v>
      </c>
      <c r="H182" s="7">
        <v>7</v>
      </c>
      <c r="I182" s="4">
        <v>45104.92</v>
      </c>
      <c r="J182" s="23">
        <v>0.05</v>
      </c>
      <c r="K182" s="4">
        <v>42849.67</v>
      </c>
      <c r="L182" s="4">
        <v>32139.26</v>
      </c>
      <c r="M182" s="4">
        <v>10710.41</v>
      </c>
      <c r="N182" t="s">
        <v>25</v>
      </c>
      <c r="O182" s="7">
        <v>22</v>
      </c>
      <c r="P182" s="2">
        <v>46016.916666666664</v>
      </c>
      <c r="Q182" t="s">
        <v>34</v>
      </c>
      <c r="R182">
        <v>12</v>
      </c>
      <c r="S182" t="s">
        <v>35</v>
      </c>
      <c r="T182">
        <f>IF(orders[[#This Row],[Status]]="Completed",1,0)</f>
        <v>1</v>
      </c>
      <c r="U182">
        <f>IF(orders[[#This Row],[Status]]="Pending",1,0)</f>
        <v>0</v>
      </c>
      <c r="V182">
        <f>IF(orders[[#This Row],[Status]]="Delayed",1,0)</f>
        <v>0</v>
      </c>
      <c r="W182">
        <f>IF(orders[[#This Row],[Status]]="Cancelled",1,0)</f>
        <v>0</v>
      </c>
    </row>
    <row r="183" spans="1:23" x14ac:dyDescent="0.35">
      <c r="A183" t="s">
        <v>405</v>
      </c>
      <c r="B183" s="1">
        <v>45855</v>
      </c>
      <c r="C183" t="s">
        <v>406</v>
      </c>
      <c r="D183" t="s">
        <v>77</v>
      </c>
      <c r="E183" t="s">
        <v>31</v>
      </c>
      <c r="F183" t="s">
        <v>72</v>
      </c>
      <c r="G183" t="s">
        <v>119</v>
      </c>
      <c r="H183" s="7">
        <v>2</v>
      </c>
      <c r="I183" s="4">
        <v>4531.4399999999996</v>
      </c>
      <c r="J183" s="23">
        <v>0.2</v>
      </c>
      <c r="K183" s="4">
        <v>3625.15</v>
      </c>
      <c r="L183" s="4">
        <v>2620.4</v>
      </c>
      <c r="M183" s="4">
        <v>1004.75</v>
      </c>
      <c r="N183" t="s">
        <v>48</v>
      </c>
      <c r="O183" s="7">
        <v>5</v>
      </c>
      <c r="P183" s="2">
        <v>45855.208333333336</v>
      </c>
      <c r="Q183" t="s">
        <v>60</v>
      </c>
      <c r="R183">
        <v>7</v>
      </c>
      <c r="S183" t="s">
        <v>42</v>
      </c>
      <c r="T183">
        <f>IF(orders[[#This Row],[Status]]="Completed",1,0)</f>
        <v>0</v>
      </c>
      <c r="U183">
        <f>IF(orders[[#This Row],[Status]]="Pending",1,0)</f>
        <v>0</v>
      </c>
      <c r="V183">
        <f>IF(orders[[#This Row],[Status]]="Delayed",1,0)</f>
        <v>0</v>
      </c>
      <c r="W183">
        <f>IF(orders[[#This Row],[Status]]="Cancelled",1,0)</f>
        <v>1</v>
      </c>
    </row>
    <row r="184" spans="1:23" x14ac:dyDescent="0.35">
      <c r="A184" t="s">
        <v>407</v>
      </c>
      <c r="B184" s="1">
        <v>45794</v>
      </c>
      <c r="C184" t="s">
        <v>57</v>
      </c>
      <c r="D184" t="s">
        <v>21</v>
      </c>
      <c r="E184" t="s">
        <v>31</v>
      </c>
      <c r="F184" t="s">
        <v>32</v>
      </c>
      <c r="G184" t="s">
        <v>53</v>
      </c>
      <c r="H184" s="7">
        <v>2</v>
      </c>
      <c r="I184" s="4">
        <v>15247.78</v>
      </c>
      <c r="J184" s="23">
        <v>0</v>
      </c>
      <c r="K184" s="4">
        <v>15247.78</v>
      </c>
      <c r="L184" s="4">
        <v>8509.4599999999991</v>
      </c>
      <c r="M184" s="4">
        <v>6738.32</v>
      </c>
      <c r="N184" t="s">
        <v>85</v>
      </c>
      <c r="O184" s="7">
        <v>91</v>
      </c>
      <c r="P184" s="2">
        <v>45797.791666666664</v>
      </c>
      <c r="Q184" t="s">
        <v>74</v>
      </c>
      <c r="R184">
        <v>5</v>
      </c>
      <c r="S184" t="s">
        <v>27</v>
      </c>
      <c r="T184">
        <f>IF(orders[[#This Row],[Status]]="Completed",1,0)</f>
        <v>0</v>
      </c>
      <c r="U184">
        <f>IF(orders[[#This Row],[Status]]="Pending",1,0)</f>
        <v>0</v>
      </c>
      <c r="V184">
        <f>IF(orders[[#This Row],[Status]]="Delayed",1,0)</f>
        <v>1</v>
      </c>
      <c r="W184">
        <f>IF(orders[[#This Row],[Status]]="Cancelled",1,0)</f>
        <v>0</v>
      </c>
    </row>
    <row r="185" spans="1:23" x14ac:dyDescent="0.35">
      <c r="A185" t="s">
        <v>408</v>
      </c>
      <c r="B185" s="1">
        <v>45975</v>
      </c>
      <c r="C185" t="s">
        <v>409</v>
      </c>
      <c r="D185" t="s">
        <v>21</v>
      </c>
      <c r="E185" t="s">
        <v>59</v>
      </c>
      <c r="F185" t="s">
        <v>23</v>
      </c>
      <c r="G185" t="s">
        <v>110</v>
      </c>
      <c r="H185" s="7">
        <v>7</v>
      </c>
      <c r="I185" s="4">
        <v>34596.17</v>
      </c>
      <c r="J185" s="23">
        <v>0.15</v>
      </c>
      <c r="K185" s="4">
        <v>29406.74</v>
      </c>
      <c r="L185" s="4">
        <v>23846.87</v>
      </c>
      <c r="M185" s="4">
        <v>5559.87</v>
      </c>
      <c r="N185" t="s">
        <v>85</v>
      </c>
      <c r="O185" s="7">
        <v>84</v>
      </c>
      <c r="P185" s="2">
        <v>45978.5</v>
      </c>
      <c r="Q185" t="s">
        <v>86</v>
      </c>
      <c r="R185">
        <v>11</v>
      </c>
      <c r="S185" t="s">
        <v>35</v>
      </c>
      <c r="T185">
        <f>IF(orders[[#This Row],[Status]]="Completed",1,0)</f>
        <v>0</v>
      </c>
      <c r="U185">
        <f>IF(orders[[#This Row],[Status]]="Pending",1,0)</f>
        <v>0</v>
      </c>
      <c r="V185">
        <f>IF(orders[[#This Row],[Status]]="Delayed",1,0)</f>
        <v>1</v>
      </c>
      <c r="W185">
        <f>IF(orders[[#This Row],[Status]]="Cancelled",1,0)</f>
        <v>0</v>
      </c>
    </row>
    <row r="186" spans="1:23" x14ac:dyDescent="0.35">
      <c r="A186" t="s">
        <v>410</v>
      </c>
      <c r="B186" s="1">
        <v>45822</v>
      </c>
      <c r="C186" t="s">
        <v>181</v>
      </c>
      <c r="D186" t="s">
        <v>45</v>
      </c>
      <c r="E186" t="s">
        <v>113</v>
      </c>
      <c r="F186" t="s">
        <v>23</v>
      </c>
      <c r="G186" t="s">
        <v>122</v>
      </c>
      <c r="H186" s="7">
        <v>6</v>
      </c>
      <c r="I186" s="4">
        <v>18473.939999999999</v>
      </c>
      <c r="J186" s="23">
        <v>0.15</v>
      </c>
      <c r="K186" s="4">
        <v>15702.85</v>
      </c>
      <c r="L186" s="4">
        <v>8698.2199999999993</v>
      </c>
      <c r="M186" s="4">
        <v>7004.63</v>
      </c>
      <c r="N186" t="s">
        <v>25</v>
      </c>
      <c r="O186" s="7">
        <v>31</v>
      </c>
      <c r="P186" s="2">
        <v>45823.291666666664</v>
      </c>
      <c r="Q186" t="s">
        <v>99</v>
      </c>
      <c r="R186">
        <v>6</v>
      </c>
      <c r="S186" t="s">
        <v>27</v>
      </c>
      <c r="T186">
        <f>IF(orders[[#This Row],[Status]]="Completed",1,0)</f>
        <v>1</v>
      </c>
      <c r="U186">
        <f>IF(orders[[#This Row],[Status]]="Pending",1,0)</f>
        <v>0</v>
      </c>
      <c r="V186">
        <f>IF(orders[[#This Row],[Status]]="Delayed",1,0)</f>
        <v>0</v>
      </c>
      <c r="W186">
        <f>IF(orders[[#This Row],[Status]]="Cancelled",1,0)</f>
        <v>0</v>
      </c>
    </row>
    <row r="187" spans="1:23" x14ac:dyDescent="0.35">
      <c r="A187" t="s">
        <v>411</v>
      </c>
      <c r="B187" s="1">
        <v>45882</v>
      </c>
      <c r="C187" t="s">
        <v>261</v>
      </c>
      <c r="D187" t="s">
        <v>51</v>
      </c>
      <c r="E187" t="s">
        <v>22</v>
      </c>
      <c r="F187" t="s">
        <v>32</v>
      </c>
      <c r="G187" t="s">
        <v>53</v>
      </c>
      <c r="H187" s="7">
        <v>6</v>
      </c>
      <c r="I187" s="4">
        <v>42617.94</v>
      </c>
      <c r="J187" s="23">
        <v>0.15</v>
      </c>
      <c r="K187" s="4">
        <v>36225.25</v>
      </c>
      <c r="L187" s="4">
        <v>23428.37</v>
      </c>
      <c r="M187" s="4">
        <v>12796.88</v>
      </c>
      <c r="N187" t="s">
        <v>25</v>
      </c>
      <c r="O187" s="7">
        <v>20</v>
      </c>
      <c r="P187" s="2">
        <v>45882.833333333336</v>
      </c>
      <c r="Q187" t="s">
        <v>80</v>
      </c>
      <c r="R187">
        <v>8</v>
      </c>
      <c r="S187" t="s">
        <v>42</v>
      </c>
      <c r="T187">
        <f>IF(orders[[#This Row],[Status]]="Completed",1,0)</f>
        <v>1</v>
      </c>
      <c r="U187">
        <f>IF(orders[[#This Row],[Status]]="Pending",1,0)</f>
        <v>0</v>
      </c>
      <c r="V187">
        <f>IF(orders[[#This Row],[Status]]="Delayed",1,0)</f>
        <v>0</v>
      </c>
      <c r="W187">
        <f>IF(orders[[#This Row],[Status]]="Cancelled",1,0)</f>
        <v>0</v>
      </c>
    </row>
    <row r="188" spans="1:23" x14ac:dyDescent="0.35">
      <c r="A188" t="s">
        <v>412</v>
      </c>
      <c r="B188" s="1">
        <v>45964</v>
      </c>
      <c r="C188" t="s">
        <v>290</v>
      </c>
      <c r="D188" t="s">
        <v>30</v>
      </c>
      <c r="E188" t="s">
        <v>52</v>
      </c>
      <c r="F188" t="s">
        <v>83</v>
      </c>
      <c r="G188" t="s">
        <v>155</v>
      </c>
      <c r="H188" s="7">
        <v>2</v>
      </c>
      <c r="I188" s="4">
        <v>8539.9</v>
      </c>
      <c r="J188" s="23">
        <v>0.2</v>
      </c>
      <c r="K188" s="4">
        <v>6831.92</v>
      </c>
      <c r="L188" s="4">
        <v>3770.91</v>
      </c>
      <c r="M188" s="4">
        <v>3061.01</v>
      </c>
      <c r="N188" t="s">
        <v>48</v>
      </c>
      <c r="O188" s="7">
        <v>23</v>
      </c>
      <c r="P188" s="2">
        <v>45964.958333333336</v>
      </c>
      <c r="Q188" t="s">
        <v>86</v>
      </c>
      <c r="R188">
        <v>11</v>
      </c>
      <c r="S188" t="s">
        <v>35</v>
      </c>
      <c r="T188">
        <f>IF(orders[[#This Row],[Status]]="Completed",1,0)</f>
        <v>0</v>
      </c>
      <c r="U188">
        <f>IF(orders[[#This Row],[Status]]="Pending",1,0)</f>
        <v>0</v>
      </c>
      <c r="V188">
        <f>IF(orders[[#This Row],[Status]]="Delayed",1,0)</f>
        <v>0</v>
      </c>
      <c r="W188">
        <f>IF(orders[[#This Row],[Status]]="Cancelled",1,0)</f>
        <v>1</v>
      </c>
    </row>
    <row r="189" spans="1:23" x14ac:dyDescent="0.35">
      <c r="A189" t="s">
        <v>413</v>
      </c>
      <c r="B189" s="1">
        <v>45891</v>
      </c>
      <c r="C189" t="s">
        <v>192</v>
      </c>
      <c r="D189" t="s">
        <v>63</v>
      </c>
      <c r="E189" t="s">
        <v>22</v>
      </c>
      <c r="F189" t="s">
        <v>23</v>
      </c>
      <c r="G189" t="s">
        <v>69</v>
      </c>
      <c r="H189" s="7">
        <v>1</v>
      </c>
      <c r="I189" s="4">
        <v>7762.13</v>
      </c>
      <c r="J189" s="23">
        <v>0.05</v>
      </c>
      <c r="K189" s="4">
        <v>7374.02</v>
      </c>
      <c r="L189" s="4">
        <v>4971.17</v>
      </c>
      <c r="M189" s="4">
        <v>2402.85</v>
      </c>
      <c r="N189" t="s">
        <v>25</v>
      </c>
      <c r="O189" s="7">
        <v>22</v>
      </c>
      <c r="P189" s="2">
        <v>45891.916666666664</v>
      </c>
      <c r="Q189" t="s">
        <v>80</v>
      </c>
      <c r="R189">
        <v>8</v>
      </c>
      <c r="S189" t="s">
        <v>42</v>
      </c>
      <c r="T189">
        <f>IF(orders[[#This Row],[Status]]="Completed",1,0)</f>
        <v>1</v>
      </c>
      <c r="U189">
        <f>IF(orders[[#This Row],[Status]]="Pending",1,0)</f>
        <v>0</v>
      </c>
      <c r="V189">
        <f>IF(orders[[#This Row],[Status]]="Delayed",1,0)</f>
        <v>0</v>
      </c>
      <c r="W189">
        <f>IF(orders[[#This Row],[Status]]="Cancelled",1,0)</f>
        <v>0</v>
      </c>
    </row>
    <row r="190" spans="1:23" x14ac:dyDescent="0.35">
      <c r="A190" t="s">
        <v>414</v>
      </c>
      <c r="B190" s="1">
        <v>45829</v>
      </c>
      <c r="C190" t="s">
        <v>415</v>
      </c>
      <c r="D190" t="s">
        <v>38</v>
      </c>
      <c r="E190" t="s">
        <v>59</v>
      </c>
      <c r="F190" t="s">
        <v>39</v>
      </c>
      <c r="G190" t="s">
        <v>114</v>
      </c>
      <c r="H190" s="7">
        <v>4</v>
      </c>
      <c r="I190" s="4">
        <v>31595.68</v>
      </c>
      <c r="J190" s="23">
        <v>0.05</v>
      </c>
      <c r="K190" s="4">
        <v>30015.9</v>
      </c>
      <c r="L190" s="4">
        <v>17134.37</v>
      </c>
      <c r="M190" s="4">
        <v>12881.53</v>
      </c>
      <c r="N190" t="s">
        <v>85</v>
      </c>
      <c r="O190" s="7">
        <v>95</v>
      </c>
      <c r="P190" s="2">
        <v>45832.958333333336</v>
      </c>
      <c r="Q190" t="s">
        <v>99</v>
      </c>
      <c r="R190">
        <v>6</v>
      </c>
      <c r="S190" t="s">
        <v>27</v>
      </c>
      <c r="T190">
        <f>IF(orders[[#This Row],[Status]]="Completed",1,0)</f>
        <v>0</v>
      </c>
      <c r="U190">
        <f>IF(orders[[#This Row],[Status]]="Pending",1,0)</f>
        <v>0</v>
      </c>
      <c r="V190">
        <f>IF(orders[[#This Row],[Status]]="Delayed",1,0)</f>
        <v>1</v>
      </c>
      <c r="W190">
        <f>IF(orders[[#This Row],[Status]]="Cancelled",1,0)</f>
        <v>0</v>
      </c>
    </row>
    <row r="191" spans="1:23" x14ac:dyDescent="0.35">
      <c r="A191" t="s">
        <v>416</v>
      </c>
      <c r="B191" s="1">
        <v>45809</v>
      </c>
      <c r="C191" t="s">
        <v>29</v>
      </c>
      <c r="D191" t="s">
        <v>38</v>
      </c>
      <c r="E191" t="s">
        <v>52</v>
      </c>
      <c r="F191" t="s">
        <v>23</v>
      </c>
      <c r="G191" t="s">
        <v>24</v>
      </c>
      <c r="H191" s="7">
        <v>6</v>
      </c>
      <c r="I191" s="4">
        <v>9187.56</v>
      </c>
      <c r="J191" s="23">
        <v>0.1</v>
      </c>
      <c r="K191" s="4">
        <v>8268.7999999999993</v>
      </c>
      <c r="L191" s="4">
        <v>7040.54</v>
      </c>
      <c r="M191" s="4">
        <v>1228.26</v>
      </c>
      <c r="N191" t="s">
        <v>25</v>
      </c>
      <c r="O191" s="7">
        <v>14</v>
      </c>
      <c r="P191" s="2">
        <v>45809.583333333336</v>
      </c>
      <c r="Q191" t="s">
        <v>99</v>
      </c>
      <c r="R191">
        <v>6</v>
      </c>
      <c r="S191" t="s">
        <v>27</v>
      </c>
      <c r="T191">
        <f>IF(orders[[#This Row],[Status]]="Completed",1,0)</f>
        <v>1</v>
      </c>
      <c r="U191">
        <f>IF(orders[[#This Row],[Status]]="Pending",1,0)</f>
        <v>0</v>
      </c>
      <c r="V191">
        <f>IF(orders[[#This Row],[Status]]="Delayed",1,0)</f>
        <v>0</v>
      </c>
      <c r="W191">
        <f>IF(orders[[#This Row],[Status]]="Cancelled",1,0)</f>
        <v>0</v>
      </c>
    </row>
    <row r="192" spans="1:23" x14ac:dyDescent="0.35">
      <c r="A192" t="s">
        <v>417</v>
      </c>
      <c r="B192" s="1">
        <v>45972</v>
      </c>
      <c r="C192" t="s">
        <v>418</v>
      </c>
      <c r="D192" t="s">
        <v>45</v>
      </c>
      <c r="E192" t="s">
        <v>22</v>
      </c>
      <c r="F192" t="s">
        <v>39</v>
      </c>
      <c r="G192" t="s">
        <v>188</v>
      </c>
      <c r="H192" s="7">
        <v>1</v>
      </c>
      <c r="I192" s="4">
        <v>169.4</v>
      </c>
      <c r="J192" s="23">
        <v>0.05</v>
      </c>
      <c r="K192" s="4">
        <v>160.93</v>
      </c>
      <c r="L192" s="4">
        <v>110.59</v>
      </c>
      <c r="M192" s="4">
        <v>50.34</v>
      </c>
      <c r="N192" t="s">
        <v>25</v>
      </c>
      <c r="O192" s="7">
        <v>18</v>
      </c>
      <c r="P192" s="2">
        <v>45972.75</v>
      </c>
      <c r="Q192" t="s">
        <v>86</v>
      </c>
      <c r="R192">
        <v>11</v>
      </c>
      <c r="S192" t="s">
        <v>35</v>
      </c>
      <c r="T192">
        <f>IF(orders[[#This Row],[Status]]="Completed",1,0)</f>
        <v>1</v>
      </c>
      <c r="U192">
        <f>IF(orders[[#This Row],[Status]]="Pending",1,0)</f>
        <v>0</v>
      </c>
      <c r="V192">
        <f>IF(orders[[#This Row],[Status]]="Delayed",1,0)</f>
        <v>0</v>
      </c>
      <c r="W192">
        <f>IF(orders[[#This Row],[Status]]="Cancelled",1,0)</f>
        <v>0</v>
      </c>
    </row>
    <row r="193" spans="1:23" x14ac:dyDescent="0.35">
      <c r="A193" t="s">
        <v>419</v>
      </c>
      <c r="B193" s="1">
        <v>45817</v>
      </c>
      <c r="C193" t="s">
        <v>420</v>
      </c>
      <c r="D193" t="s">
        <v>21</v>
      </c>
      <c r="E193" t="s">
        <v>78</v>
      </c>
      <c r="F193" t="s">
        <v>32</v>
      </c>
      <c r="G193" t="s">
        <v>64</v>
      </c>
      <c r="H193" s="7">
        <v>4</v>
      </c>
      <c r="I193" s="4">
        <v>33463.279999999999</v>
      </c>
      <c r="J193" s="23">
        <v>0.15</v>
      </c>
      <c r="K193" s="4">
        <v>28443.79</v>
      </c>
      <c r="L193" s="4">
        <v>19957.12</v>
      </c>
      <c r="M193" s="4">
        <v>8486.67</v>
      </c>
      <c r="N193" t="s">
        <v>48</v>
      </c>
      <c r="O193" s="7">
        <v>3</v>
      </c>
      <c r="P193" s="2">
        <v>45817.125</v>
      </c>
      <c r="Q193" t="s">
        <v>99</v>
      </c>
      <c r="R193">
        <v>6</v>
      </c>
      <c r="S193" t="s">
        <v>27</v>
      </c>
      <c r="T193">
        <f>IF(orders[[#This Row],[Status]]="Completed",1,0)</f>
        <v>0</v>
      </c>
      <c r="U193">
        <f>IF(orders[[#This Row],[Status]]="Pending",1,0)</f>
        <v>0</v>
      </c>
      <c r="V193">
        <f>IF(orders[[#This Row],[Status]]="Delayed",1,0)</f>
        <v>0</v>
      </c>
      <c r="W193">
        <f>IF(orders[[#This Row],[Status]]="Cancelled",1,0)</f>
        <v>1</v>
      </c>
    </row>
    <row r="194" spans="1:23" x14ac:dyDescent="0.35">
      <c r="A194" t="s">
        <v>421</v>
      </c>
      <c r="B194" s="1">
        <v>45753</v>
      </c>
      <c r="C194" t="s">
        <v>422</v>
      </c>
      <c r="D194" t="s">
        <v>45</v>
      </c>
      <c r="E194" t="s">
        <v>46</v>
      </c>
      <c r="F194" t="s">
        <v>32</v>
      </c>
      <c r="G194" t="s">
        <v>53</v>
      </c>
      <c r="H194" s="7">
        <v>2</v>
      </c>
      <c r="I194" s="4">
        <v>15432.5</v>
      </c>
      <c r="J194" s="23">
        <v>0.1</v>
      </c>
      <c r="K194" s="4">
        <v>13889.25</v>
      </c>
      <c r="L194" s="4">
        <v>9242.61</v>
      </c>
      <c r="M194" s="4">
        <v>4646.6400000000003</v>
      </c>
      <c r="N194" t="s">
        <v>25</v>
      </c>
      <c r="O194" s="7">
        <v>46</v>
      </c>
      <c r="P194" s="2">
        <v>45754.916666666664</v>
      </c>
      <c r="Q194" t="s">
        <v>26</v>
      </c>
      <c r="R194">
        <v>4</v>
      </c>
      <c r="S194" t="s">
        <v>27</v>
      </c>
      <c r="T194">
        <f>IF(orders[[#This Row],[Status]]="Completed",1,0)</f>
        <v>1</v>
      </c>
      <c r="U194">
        <f>IF(orders[[#This Row],[Status]]="Pending",1,0)</f>
        <v>0</v>
      </c>
      <c r="V194">
        <f>IF(orders[[#This Row],[Status]]="Delayed",1,0)</f>
        <v>0</v>
      </c>
      <c r="W194">
        <f>IF(orders[[#This Row],[Status]]="Cancelled",1,0)</f>
        <v>0</v>
      </c>
    </row>
    <row r="195" spans="1:23" x14ac:dyDescent="0.35">
      <c r="A195" t="s">
        <v>423</v>
      </c>
      <c r="B195" s="1">
        <v>45890</v>
      </c>
      <c r="C195" t="s">
        <v>424</v>
      </c>
      <c r="D195" t="s">
        <v>149</v>
      </c>
      <c r="E195" t="s">
        <v>59</v>
      </c>
      <c r="F195" t="s">
        <v>23</v>
      </c>
      <c r="G195" t="s">
        <v>69</v>
      </c>
      <c r="H195" s="7">
        <v>3</v>
      </c>
      <c r="I195" s="4">
        <v>1838.91</v>
      </c>
      <c r="J195" s="23">
        <v>0.2</v>
      </c>
      <c r="K195" s="4">
        <v>1471.13</v>
      </c>
      <c r="L195" s="4">
        <v>1113.76</v>
      </c>
      <c r="M195" s="4">
        <v>357.37</v>
      </c>
      <c r="N195" t="s">
        <v>98</v>
      </c>
      <c r="O195" s="7">
        <v>1</v>
      </c>
      <c r="P195" s="2">
        <v>45890.041666666664</v>
      </c>
      <c r="Q195" t="s">
        <v>80</v>
      </c>
      <c r="R195">
        <v>8</v>
      </c>
      <c r="S195" t="s">
        <v>42</v>
      </c>
      <c r="T195">
        <f>IF(orders[[#This Row],[Status]]="Completed",1,0)</f>
        <v>0</v>
      </c>
      <c r="U195">
        <f>IF(orders[[#This Row],[Status]]="Pending",1,0)</f>
        <v>1</v>
      </c>
      <c r="V195">
        <f>IF(orders[[#This Row],[Status]]="Delayed",1,0)</f>
        <v>0</v>
      </c>
      <c r="W195">
        <f>IF(orders[[#This Row],[Status]]="Cancelled",1,0)</f>
        <v>0</v>
      </c>
    </row>
    <row r="196" spans="1:23" x14ac:dyDescent="0.35">
      <c r="A196" t="s">
        <v>425</v>
      </c>
      <c r="B196" s="1">
        <v>45837</v>
      </c>
      <c r="C196" t="s">
        <v>426</v>
      </c>
      <c r="D196" t="s">
        <v>30</v>
      </c>
      <c r="E196" t="s">
        <v>59</v>
      </c>
      <c r="F196" t="s">
        <v>72</v>
      </c>
      <c r="G196" t="s">
        <v>119</v>
      </c>
      <c r="H196" s="7">
        <v>5</v>
      </c>
      <c r="I196" s="4">
        <v>35529.199999999997</v>
      </c>
      <c r="J196" s="23">
        <v>0</v>
      </c>
      <c r="K196" s="4">
        <v>35529.199999999997</v>
      </c>
      <c r="L196" s="4">
        <v>28737.96</v>
      </c>
      <c r="M196" s="4">
        <v>6791.24</v>
      </c>
      <c r="N196" t="s">
        <v>25</v>
      </c>
      <c r="O196" s="7">
        <v>6</v>
      </c>
      <c r="P196" s="2">
        <v>45837.25</v>
      </c>
      <c r="Q196" t="s">
        <v>99</v>
      </c>
      <c r="R196">
        <v>6</v>
      </c>
      <c r="S196" t="s">
        <v>27</v>
      </c>
      <c r="T196">
        <f>IF(orders[[#This Row],[Status]]="Completed",1,0)</f>
        <v>1</v>
      </c>
      <c r="U196">
        <f>IF(orders[[#This Row],[Status]]="Pending",1,0)</f>
        <v>0</v>
      </c>
      <c r="V196">
        <f>IF(orders[[#This Row],[Status]]="Delayed",1,0)</f>
        <v>0</v>
      </c>
      <c r="W196">
        <f>IF(orders[[#This Row],[Status]]="Cancelled",1,0)</f>
        <v>0</v>
      </c>
    </row>
    <row r="197" spans="1:23" x14ac:dyDescent="0.35">
      <c r="A197" t="s">
        <v>427</v>
      </c>
      <c r="B197" s="1">
        <v>45770</v>
      </c>
      <c r="C197" t="s">
        <v>428</v>
      </c>
      <c r="D197" t="s">
        <v>51</v>
      </c>
      <c r="E197" t="s">
        <v>78</v>
      </c>
      <c r="F197" t="s">
        <v>39</v>
      </c>
      <c r="G197" t="s">
        <v>93</v>
      </c>
      <c r="H197" s="7">
        <v>5</v>
      </c>
      <c r="I197" s="4">
        <v>19863.349999999999</v>
      </c>
      <c r="J197" s="23">
        <v>0.2</v>
      </c>
      <c r="K197" s="4">
        <v>15890.68</v>
      </c>
      <c r="L197" s="4">
        <v>12138.71</v>
      </c>
      <c r="M197" s="4">
        <v>3751.97</v>
      </c>
      <c r="N197" t="s">
        <v>25</v>
      </c>
      <c r="O197" s="7">
        <v>6</v>
      </c>
      <c r="P197" s="2">
        <v>45770.25</v>
      </c>
      <c r="Q197" t="s">
        <v>26</v>
      </c>
      <c r="R197">
        <v>4</v>
      </c>
      <c r="S197" t="s">
        <v>27</v>
      </c>
      <c r="T197">
        <f>IF(orders[[#This Row],[Status]]="Completed",1,0)</f>
        <v>1</v>
      </c>
      <c r="U197">
        <f>IF(orders[[#This Row],[Status]]="Pending",1,0)</f>
        <v>0</v>
      </c>
      <c r="V197">
        <f>IF(orders[[#This Row],[Status]]="Delayed",1,0)</f>
        <v>0</v>
      </c>
      <c r="W197">
        <f>IF(orders[[#This Row],[Status]]="Cancelled",1,0)</f>
        <v>0</v>
      </c>
    </row>
    <row r="198" spans="1:23" x14ac:dyDescent="0.35">
      <c r="A198" t="s">
        <v>429</v>
      </c>
      <c r="B198" s="1">
        <v>45975</v>
      </c>
      <c r="C198" t="s">
        <v>430</v>
      </c>
      <c r="D198" t="s">
        <v>68</v>
      </c>
      <c r="E198" t="s">
        <v>59</v>
      </c>
      <c r="F198" t="s">
        <v>83</v>
      </c>
      <c r="G198" t="s">
        <v>107</v>
      </c>
      <c r="H198" s="7">
        <v>2</v>
      </c>
      <c r="I198" s="4">
        <v>4624.66</v>
      </c>
      <c r="J198" s="23">
        <v>0.05</v>
      </c>
      <c r="K198" s="4">
        <v>4393.43</v>
      </c>
      <c r="L198" s="4">
        <v>3501.16</v>
      </c>
      <c r="M198" s="4">
        <v>892.27</v>
      </c>
      <c r="N198" t="s">
        <v>25</v>
      </c>
      <c r="O198" s="7">
        <v>21</v>
      </c>
      <c r="P198" s="2">
        <v>45975.875</v>
      </c>
      <c r="Q198" t="s">
        <v>86</v>
      </c>
      <c r="R198">
        <v>11</v>
      </c>
      <c r="S198" t="s">
        <v>35</v>
      </c>
      <c r="T198">
        <f>IF(orders[[#This Row],[Status]]="Completed",1,0)</f>
        <v>1</v>
      </c>
      <c r="U198">
        <f>IF(orders[[#This Row],[Status]]="Pending",1,0)</f>
        <v>0</v>
      </c>
      <c r="V198">
        <f>IF(orders[[#This Row],[Status]]="Delayed",1,0)</f>
        <v>0</v>
      </c>
      <c r="W198">
        <f>IF(orders[[#This Row],[Status]]="Cancelled",1,0)</f>
        <v>0</v>
      </c>
    </row>
    <row r="199" spans="1:23" x14ac:dyDescent="0.35">
      <c r="A199" t="s">
        <v>431</v>
      </c>
      <c r="B199" s="1">
        <v>45709</v>
      </c>
      <c r="C199" t="s">
        <v>432</v>
      </c>
      <c r="D199" t="s">
        <v>58</v>
      </c>
      <c r="E199" t="s">
        <v>52</v>
      </c>
      <c r="F199" t="s">
        <v>23</v>
      </c>
      <c r="G199" t="s">
        <v>122</v>
      </c>
      <c r="H199" s="7">
        <v>6</v>
      </c>
      <c r="I199" s="4">
        <v>44925.18</v>
      </c>
      <c r="J199" s="23">
        <v>0.1</v>
      </c>
      <c r="K199" s="4">
        <v>40432.660000000003</v>
      </c>
      <c r="L199" s="4">
        <v>34326.17</v>
      </c>
      <c r="M199" s="4">
        <v>6106.49</v>
      </c>
      <c r="N199" t="s">
        <v>25</v>
      </c>
      <c r="O199" s="7">
        <v>28</v>
      </c>
      <c r="P199" s="2">
        <v>45710.166666666664</v>
      </c>
      <c r="Q199" t="s">
        <v>139</v>
      </c>
      <c r="R199">
        <v>2</v>
      </c>
      <c r="S199" t="s">
        <v>55</v>
      </c>
      <c r="T199">
        <f>IF(orders[[#This Row],[Status]]="Completed",1,0)</f>
        <v>1</v>
      </c>
      <c r="U199">
        <f>IF(orders[[#This Row],[Status]]="Pending",1,0)</f>
        <v>0</v>
      </c>
      <c r="V199">
        <f>IF(orders[[#This Row],[Status]]="Delayed",1,0)</f>
        <v>0</v>
      </c>
      <c r="W199">
        <f>IF(orders[[#This Row],[Status]]="Cancelled",1,0)</f>
        <v>0</v>
      </c>
    </row>
    <row r="200" spans="1:23" x14ac:dyDescent="0.35">
      <c r="A200" t="s">
        <v>433</v>
      </c>
      <c r="B200" s="1">
        <v>45925</v>
      </c>
      <c r="C200" t="s">
        <v>434</v>
      </c>
      <c r="D200" t="s">
        <v>58</v>
      </c>
      <c r="E200" t="s">
        <v>22</v>
      </c>
      <c r="F200" t="s">
        <v>83</v>
      </c>
      <c r="G200" t="s">
        <v>152</v>
      </c>
      <c r="H200" s="7">
        <v>1</v>
      </c>
      <c r="I200" s="4">
        <v>1792.17</v>
      </c>
      <c r="J200" s="23">
        <v>0.05</v>
      </c>
      <c r="K200" s="4">
        <v>1702.56</v>
      </c>
      <c r="L200" s="4">
        <v>1421.59</v>
      </c>
      <c r="M200" s="4">
        <v>280.97000000000003</v>
      </c>
      <c r="N200" t="s">
        <v>85</v>
      </c>
      <c r="O200" s="7">
        <v>81</v>
      </c>
      <c r="P200" s="2">
        <v>45928.375</v>
      </c>
      <c r="Q200" t="s">
        <v>41</v>
      </c>
      <c r="R200">
        <v>9</v>
      </c>
      <c r="S200" t="s">
        <v>42</v>
      </c>
      <c r="T200">
        <f>IF(orders[[#This Row],[Status]]="Completed",1,0)</f>
        <v>0</v>
      </c>
      <c r="U200">
        <f>IF(orders[[#This Row],[Status]]="Pending",1,0)</f>
        <v>0</v>
      </c>
      <c r="V200">
        <f>IF(orders[[#This Row],[Status]]="Delayed",1,0)</f>
        <v>1</v>
      </c>
      <c r="W200">
        <f>IF(orders[[#This Row],[Status]]="Cancelled",1,0)</f>
        <v>0</v>
      </c>
    </row>
    <row r="201" spans="1:23" x14ac:dyDescent="0.35">
      <c r="A201" t="s">
        <v>435</v>
      </c>
      <c r="B201" s="1">
        <v>45952</v>
      </c>
      <c r="C201" t="s">
        <v>310</v>
      </c>
      <c r="D201" t="s">
        <v>45</v>
      </c>
      <c r="E201" t="s">
        <v>22</v>
      </c>
      <c r="F201" t="s">
        <v>23</v>
      </c>
      <c r="G201" t="s">
        <v>24</v>
      </c>
      <c r="H201" s="7">
        <v>3</v>
      </c>
      <c r="I201" s="4">
        <v>24179.85</v>
      </c>
      <c r="J201" s="23">
        <v>0.15</v>
      </c>
      <c r="K201" s="4">
        <v>20552.87</v>
      </c>
      <c r="L201" s="4">
        <v>15875.84</v>
      </c>
      <c r="M201" s="4">
        <v>4677.03</v>
      </c>
      <c r="N201" t="s">
        <v>48</v>
      </c>
      <c r="O201" s="7">
        <v>6</v>
      </c>
      <c r="P201" s="2">
        <v>45952.25</v>
      </c>
      <c r="Q201" t="s">
        <v>116</v>
      </c>
      <c r="R201">
        <v>10</v>
      </c>
      <c r="S201" t="s">
        <v>35</v>
      </c>
      <c r="T201">
        <f>IF(orders[[#This Row],[Status]]="Completed",1,0)</f>
        <v>0</v>
      </c>
      <c r="U201">
        <f>IF(orders[[#This Row],[Status]]="Pending",1,0)</f>
        <v>0</v>
      </c>
      <c r="V201">
        <f>IF(orders[[#This Row],[Status]]="Delayed",1,0)</f>
        <v>0</v>
      </c>
      <c r="W201">
        <f>IF(orders[[#This Row],[Status]]="Cancelled",1,0)</f>
        <v>1</v>
      </c>
    </row>
    <row r="202" spans="1:23" x14ac:dyDescent="0.35">
      <c r="A202" t="s">
        <v>436</v>
      </c>
      <c r="B202" s="1">
        <v>45770</v>
      </c>
      <c r="C202" t="s">
        <v>437</v>
      </c>
      <c r="D202" t="s">
        <v>149</v>
      </c>
      <c r="E202" t="s">
        <v>92</v>
      </c>
      <c r="F202" t="s">
        <v>72</v>
      </c>
      <c r="G202" t="s">
        <v>73</v>
      </c>
      <c r="H202" s="7">
        <v>7</v>
      </c>
      <c r="I202" s="4">
        <v>13068.58</v>
      </c>
      <c r="J202" s="23">
        <v>0.05</v>
      </c>
      <c r="K202" s="4">
        <v>12415.15</v>
      </c>
      <c r="L202" s="4">
        <v>7707.7</v>
      </c>
      <c r="M202" s="4">
        <v>4707.45</v>
      </c>
      <c r="N202" t="s">
        <v>25</v>
      </c>
      <c r="O202" s="7">
        <v>32</v>
      </c>
      <c r="P202" s="2">
        <v>45771.333333333336</v>
      </c>
      <c r="Q202" t="s">
        <v>26</v>
      </c>
      <c r="R202">
        <v>4</v>
      </c>
      <c r="S202" t="s">
        <v>27</v>
      </c>
      <c r="T202">
        <f>IF(orders[[#This Row],[Status]]="Completed",1,0)</f>
        <v>1</v>
      </c>
      <c r="U202">
        <f>IF(orders[[#This Row],[Status]]="Pending",1,0)</f>
        <v>0</v>
      </c>
      <c r="V202">
        <f>IF(orders[[#This Row],[Status]]="Delayed",1,0)</f>
        <v>0</v>
      </c>
      <c r="W202">
        <f>IF(orders[[#This Row],[Status]]="Cancelled",1,0)</f>
        <v>0</v>
      </c>
    </row>
    <row r="203" spans="1:23" x14ac:dyDescent="0.35">
      <c r="A203" t="s">
        <v>438</v>
      </c>
      <c r="B203" s="1">
        <v>45758</v>
      </c>
      <c r="C203" t="s">
        <v>312</v>
      </c>
      <c r="D203" t="s">
        <v>30</v>
      </c>
      <c r="E203" t="s">
        <v>59</v>
      </c>
      <c r="F203" t="s">
        <v>72</v>
      </c>
      <c r="G203" t="s">
        <v>104</v>
      </c>
      <c r="H203" s="7">
        <v>4</v>
      </c>
      <c r="I203" s="4">
        <v>21097</v>
      </c>
      <c r="J203" s="23">
        <v>0.2</v>
      </c>
      <c r="K203" s="4">
        <v>16877.599999999999</v>
      </c>
      <c r="L203" s="4">
        <v>12834.43</v>
      </c>
      <c r="M203" s="4">
        <v>4043.17</v>
      </c>
      <c r="N203" t="s">
        <v>85</v>
      </c>
      <c r="O203" s="7">
        <v>75</v>
      </c>
      <c r="P203" s="2">
        <v>45761.125</v>
      </c>
      <c r="Q203" t="s">
        <v>26</v>
      </c>
      <c r="R203">
        <v>4</v>
      </c>
      <c r="S203" t="s">
        <v>27</v>
      </c>
      <c r="T203">
        <f>IF(orders[[#This Row],[Status]]="Completed",1,0)</f>
        <v>0</v>
      </c>
      <c r="U203">
        <f>IF(orders[[#This Row],[Status]]="Pending",1,0)</f>
        <v>0</v>
      </c>
      <c r="V203">
        <f>IF(orders[[#This Row],[Status]]="Delayed",1,0)</f>
        <v>1</v>
      </c>
      <c r="W203">
        <f>IF(orders[[#This Row],[Status]]="Cancelled",1,0)</f>
        <v>0</v>
      </c>
    </row>
    <row r="204" spans="1:23" x14ac:dyDescent="0.35">
      <c r="A204" t="s">
        <v>439</v>
      </c>
      <c r="B204" s="1">
        <v>45770</v>
      </c>
      <c r="C204" t="s">
        <v>321</v>
      </c>
      <c r="D204" t="s">
        <v>63</v>
      </c>
      <c r="E204" t="s">
        <v>31</v>
      </c>
      <c r="F204" t="s">
        <v>72</v>
      </c>
      <c r="G204" t="s">
        <v>146</v>
      </c>
      <c r="H204" s="7">
        <v>2</v>
      </c>
      <c r="I204" s="4">
        <v>4025.54</v>
      </c>
      <c r="J204" s="23">
        <v>0.2</v>
      </c>
      <c r="K204" s="4">
        <v>3220.43</v>
      </c>
      <c r="L204" s="4">
        <v>2309.0700000000002</v>
      </c>
      <c r="M204" s="4">
        <v>911.36</v>
      </c>
      <c r="N204" t="s">
        <v>85</v>
      </c>
      <c r="O204" s="7">
        <v>86</v>
      </c>
      <c r="P204" s="2">
        <v>45773.583333333336</v>
      </c>
      <c r="Q204" t="s">
        <v>26</v>
      </c>
      <c r="R204">
        <v>4</v>
      </c>
      <c r="S204" t="s">
        <v>27</v>
      </c>
      <c r="T204">
        <f>IF(orders[[#This Row],[Status]]="Completed",1,0)</f>
        <v>0</v>
      </c>
      <c r="U204">
        <f>IF(orders[[#This Row],[Status]]="Pending",1,0)</f>
        <v>0</v>
      </c>
      <c r="V204">
        <f>IF(orders[[#This Row],[Status]]="Delayed",1,0)</f>
        <v>1</v>
      </c>
      <c r="W204">
        <f>IF(orders[[#This Row],[Status]]="Cancelled",1,0)</f>
        <v>0</v>
      </c>
    </row>
    <row r="205" spans="1:23" x14ac:dyDescent="0.35">
      <c r="A205" t="s">
        <v>440</v>
      </c>
      <c r="B205" s="1">
        <v>45738</v>
      </c>
      <c r="C205" t="s">
        <v>341</v>
      </c>
      <c r="D205" t="s">
        <v>58</v>
      </c>
      <c r="E205" t="s">
        <v>113</v>
      </c>
      <c r="F205" t="s">
        <v>72</v>
      </c>
      <c r="G205" t="s">
        <v>73</v>
      </c>
      <c r="H205" s="7">
        <v>3</v>
      </c>
      <c r="I205" s="4">
        <v>14118.99</v>
      </c>
      <c r="J205" s="23">
        <v>0.2</v>
      </c>
      <c r="K205" s="4">
        <v>11295.19</v>
      </c>
      <c r="L205" s="4">
        <v>8885.73</v>
      </c>
      <c r="M205" s="4">
        <v>2409.46</v>
      </c>
      <c r="N205" t="s">
        <v>98</v>
      </c>
      <c r="O205" s="7">
        <v>13</v>
      </c>
      <c r="P205" s="2">
        <v>45738.541666666664</v>
      </c>
      <c r="Q205" t="s">
        <v>54</v>
      </c>
      <c r="R205">
        <v>3</v>
      </c>
      <c r="S205" t="s">
        <v>55</v>
      </c>
      <c r="T205">
        <f>IF(orders[[#This Row],[Status]]="Completed",1,0)</f>
        <v>0</v>
      </c>
      <c r="U205">
        <f>IF(orders[[#This Row],[Status]]="Pending",1,0)</f>
        <v>1</v>
      </c>
      <c r="V205">
        <f>IF(orders[[#This Row],[Status]]="Delayed",1,0)</f>
        <v>0</v>
      </c>
      <c r="W205">
        <f>IF(orders[[#This Row],[Status]]="Cancelled",1,0)</f>
        <v>0</v>
      </c>
    </row>
    <row r="206" spans="1:23" x14ac:dyDescent="0.35">
      <c r="A206" t="s">
        <v>441</v>
      </c>
      <c r="B206" s="1">
        <v>45844</v>
      </c>
      <c r="C206" t="s">
        <v>242</v>
      </c>
      <c r="D206" t="s">
        <v>30</v>
      </c>
      <c r="E206" t="s">
        <v>46</v>
      </c>
      <c r="F206" t="s">
        <v>32</v>
      </c>
      <c r="G206" t="s">
        <v>53</v>
      </c>
      <c r="H206" s="7">
        <v>3</v>
      </c>
      <c r="I206" s="4">
        <v>17583.57</v>
      </c>
      <c r="J206" s="23">
        <v>0</v>
      </c>
      <c r="K206" s="4">
        <v>17583.57</v>
      </c>
      <c r="L206" s="4">
        <v>14504.11</v>
      </c>
      <c r="M206" s="4">
        <v>3079.46</v>
      </c>
      <c r="N206" t="s">
        <v>48</v>
      </c>
      <c r="O206" s="7">
        <v>15</v>
      </c>
      <c r="P206" s="2">
        <v>45844.625</v>
      </c>
      <c r="Q206" t="s">
        <v>60</v>
      </c>
      <c r="R206">
        <v>7</v>
      </c>
      <c r="S206" t="s">
        <v>42</v>
      </c>
      <c r="T206">
        <f>IF(orders[[#This Row],[Status]]="Completed",1,0)</f>
        <v>0</v>
      </c>
      <c r="U206">
        <f>IF(orders[[#This Row],[Status]]="Pending",1,0)</f>
        <v>0</v>
      </c>
      <c r="V206">
        <f>IF(orders[[#This Row],[Status]]="Delayed",1,0)</f>
        <v>0</v>
      </c>
      <c r="W206">
        <f>IF(orders[[#This Row],[Status]]="Cancelled",1,0)</f>
        <v>1</v>
      </c>
    </row>
    <row r="207" spans="1:23" x14ac:dyDescent="0.35">
      <c r="A207" t="s">
        <v>442</v>
      </c>
      <c r="B207" s="1">
        <v>45770</v>
      </c>
      <c r="C207" t="s">
        <v>443</v>
      </c>
      <c r="D207" t="s">
        <v>51</v>
      </c>
      <c r="E207" t="s">
        <v>46</v>
      </c>
      <c r="F207" t="s">
        <v>32</v>
      </c>
      <c r="G207" t="s">
        <v>33</v>
      </c>
      <c r="H207" s="7">
        <v>6</v>
      </c>
      <c r="I207" s="4">
        <v>10430.4</v>
      </c>
      <c r="J207" s="23">
        <v>0.2</v>
      </c>
      <c r="K207" s="4">
        <v>8344.32</v>
      </c>
      <c r="L207" s="4">
        <v>6634.55</v>
      </c>
      <c r="M207" s="4">
        <v>1709.77</v>
      </c>
      <c r="N207" t="s">
        <v>25</v>
      </c>
      <c r="O207" s="7">
        <v>24</v>
      </c>
      <c r="P207" s="2">
        <v>45771</v>
      </c>
      <c r="Q207" t="s">
        <v>26</v>
      </c>
      <c r="R207">
        <v>4</v>
      </c>
      <c r="S207" t="s">
        <v>27</v>
      </c>
      <c r="T207">
        <f>IF(orders[[#This Row],[Status]]="Completed",1,0)</f>
        <v>1</v>
      </c>
      <c r="U207">
        <f>IF(orders[[#This Row],[Status]]="Pending",1,0)</f>
        <v>0</v>
      </c>
      <c r="V207">
        <f>IF(orders[[#This Row],[Status]]="Delayed",1,0)</f>
        <v>0</v>
      </c>
      <c r="W207">
        <f>IF(orders[[#This Row],[Status]]="Cancelled",1,0)</f>
        <v>0</v>
      </c>
    </row>
    <row r="208" spans="1:23" x14ac:dyDescent="0.35">
      <c r="A208" t="s">
        <v>444</v>
      </c>
      <c r="B208" s="1">
        <v>45659</v>
      </c>
      <c r="C208" t="s">
        <v>349</v>
      </c>
      <c r="D208" t="s">
        <v>77</v>
      </c>
      <c r="E208" t="s">
        <v>92</v>
      </c>
      <c r="F208" t="s">
        <v>39</v>
      </c>
      <c r="G208" t="s">
        <v>40</v>
      </c>
      <c r="H208" s="7">
        <v>4</v>
      </c>
      <c r="I208" s="4">
        <v>17997.599999999999</v>
      </c>
      <c r="J208" s="23">
        <v>0.15</v>
      </c>
      <c r="K208" s="4">
        <v>15297.96</v>
      </c>
      <c r="L208" s="4">
        <v>12687.6</v>
      </c>
      <c r="M208" s="4">
        <v>2610.36</v>
      </c>
      <c r="N208" t="s">
        <v>48</v>
      </c>
      <c r="O208" s="7">
        <v>2</v>
      </c>
      <c r="P208" s="2">
        <v>45659.083333333336</v>
      </c>
      <c r="Q208" t="s">
        <v>65</v>
      </c>
      <c r="R208">
        <v>1</v>
      </c>
      <c r="S208" t="s">
        <v>55</v>
      </c>
      <c r="T208">
        <f>IF(orders[[#This Row],[Status]]="Completed",1,0)</f>
        <v>0</v>
      </c>
      <c r="U208">
        <f>IF(orders[[#This Row],[Status]]="Pending",1,0)</f>
        <v>0</v>
      </c>
      <c r="V208">
        <f>IF(orders[[#This Row],[Status]]="Delayed",1,0)</f>
        <v>0</v>
      </c>
      <c r="W208">
        <f>IF(orders[[#This Row],[Status]]="Cancelled",1,0)</f>
        <v>1</v>
      </c>
    </row>
    <row r="209" spans="1:23" x14ac:dyDescent="0.35">
      <c r="A209" t="s">
        <v>445</v>
      </c>
      <c r="B209" s="1">
        <v>45787</v>
      </c>
      <c r="C209" t="s">
        <v>446</v>
      </c>
      <c r="D209" t="s">
        <v>149</v>
      </c>
      <c r="E209" t="s">
        <v>92</v>
      </c>
      <c r="F209" t="s">
        <v>83</v>
      </c>
      <c r="G209" t="s">
        <v>182</v>
      </c>
      <c r="H209" s="7">
        <v>3</v>
      </c>
      <c r="I209" s="4">
        <v>12199.95</v>
      </c>
      <c r="J209" s="23">
        <v>0</v>
      </c>
      <c r="K209" s="4">
        <v>12199.95</v>
      </c>
      <c r="L209" s="4">
        <v>6967.1</v>
      </c>
      <c r="M209" s="4">
        <v>5232.8500000000004</v>
      </c>
      <c r="N209" t="s">
        <v>48</v>
      </c>
      <c r="O209" s="7">
        <v>17</v>
      </c>
      <c r="P209" s="2">
        <v>45787.708333333336</v>
      </c>
      <c r="Q209" t="s">
        <v>74</v>
      </c>
      <c r="R209">
        <v>5</v>
      </c>
      <c r="S209" t="s">
        <v>27</v>
      </c>
      <c r="T209">
        <f>IF(orders[[#This Row],[Status]]="Completed",1,0)</f>
        <v>0</v>
      </c>
      <c r="U209">
        <f>IF(orders[[#This Row],[Status]]="Pending",1,0)</f>
        <v>0</v>
      </c>
      <c r="V209">
        <f>IF(orders[[#This Row],[Status]]="Delayed",1,0)</f>
        <v>0</v>
      </c>
      <c r="W209">
        <f>IF(orders[[#This Row],[Status]]="Cancelled",1,0)</f>
        <v>1</v>
      </c>
    </row>
    <row r="210" spans="1:23" x14ac:dyDescent="0.35">
      <c r="A210" t="s">
        <v>447</v>
      </c>
      <c r="B210" s="1">
        <v>45877</v>
      </c>
      <c r="C210" t="s">
        <v>448</v>
      </c>
      <c r="D210" t="s">
        <v>21</v>
      </c>
      <c r="E210" t="s">
        <v>52</v>
      </c>
      <c r="F210" t="s">
        <v>23</v>
      </c>
      <c r="G210" t="s">
        <v>110</v>
      </c>
      <c r="H210" s="7">
        <v>6</v>
      </c>
      <c r="I210" s="4">
        <v>4458.96</v>
      </c>
      <c r="J210" s="23">
        <v>0</v>
      </c>
      <c r="K210" s="4">
        <v>4458.96</v>
      </c>
      <c r="L210" s="4">
        <v>2498.96</v>
      </c>
      <c r="M210" s="4">
        <v>1960</v>
      </c>
      <c r="N210" t="s">
        <v>25</v>
      </c>
      <c r="O210" s="7">
        <v>13</v>
      </c>
      <c r="P210" s="2">
        <v>45877.541666666664</v>
      </c>
      <c r="Q210" t="s">
        <v>80</v>
      </c>
      <c r="R210">
        <v>8</v>
      </c>
      <c r="S210" t="s">
        <v>42</v>
      </c>
      <c r="T210">
        <f>IF(orders[[#This Row],[Status]]="Completed",1,0)</f>
        <v>1</v>
      </c>
      <c r="U210">
        <f>IF(orders[[#This Row],[Status]]="Pending",1,0)</f>
        <v>0</v>
      </c>
      <c r="V210">
        <f>IF(orders[[#This Row],[Status]]="Delayed",1,0)</f>
        <v>0</v>
      </c>
      <c r="W210">
        <f>IF(orders[[#This Row],[Status]]="Cancelled",1,0)</f>
        <v>0</v>
      </c>
    </row>
    <row r="211" spans="1:23" x14ac:dyDescent="0.35">
      <c r="A211" t="s">
        <v>449</v>
      </c>
      <c r="B211" s="1">
        <v>45711</v>
      </c>
      <c r="C211" t="s">
        <v>341</v>
      </c>
      <c r="D211" t="s">
        <v>30</v>
      </c>
      <c r="E211" t="s">
        <v>92</v>
      </c>
      <c r="F211" t="s">
        <v>23</v>
      </c>
      <c r="G211" t="s">
        <v>69</v>
      </c>
      <c r="H211" s="7">
        <v>1</v>
      </c>
      <c r="I211" s="4">
        <v>6982.87</v>
      </c>
      <c r="J211" s="23">
        <v>0</v>
      </c>
      <c r="K211" s="4">
        <v>6982.87</v>
      </c>
      <c r="L211" s="4">
        <v>4436.25</v>
      </c>
      <c r="M211" s="4">
        <v>2546.62</v>
      </c>
      <c r="N211" t="s">
        <v>25</v>
      </c>
      <c r="O211" s="7">
        <v>16</v>
      </c>
      <c r="P211" s="2">
        <v>45711.666666666664</v>
      </c>
      <c r="Q211" t="s">
        <v>139</v>
      </c>
      <c r="R211">
        <v>2</v>
      </c>
      <c r="S211" t="s">
        <v>55</v>
      </c>
      <c r="T211">
        <f>IF(orders[[#This Row],[Status]]="Completed",1,0)</f>
        <v>1</v>
      </c>
      <c r="U211">
        <f>IF(orders[[#This Row],[Status]]="Pending",1,0)</f>
        <v>0</v>
      </c>
      <c r="V211">
        <f>IF(orders[[#This Row],[Status]]="Delayed",1,0)</f>
        <v>0</v>
      </c>
      <c r="W211">
        <f>IF(orders[[#This Row],[Status]]="Cancelled",1,0)</f>
        <v>0</v>
      </c>
    </row>
    <row r="212" spans="1:23" x14ac:dyDescent="0.35">
      <c r="A212" t="s">
        <v>450</v>
      </c>
      <c r="B212" s="1">
        <v>46000</v>
      </c>
      <c r="C212" t="s">
        <v>451</v>
      </c>
      <c r="D212" t="s">
        <v>51</v>
      </c>
      <c r="E212" t="s">
        <v>22</v>
      </c>
      <c r="F212" t="s">
        <v>32</v>
      </c>
      <c r="G212" t="s">
        <v>89</v>
      </c>
      <c r="H212" s="7">
        <v>6</v>
      </c>
      <c r="I212" s="4">
        <v>17717.7</v>
      </c>
      <c r="J212" s="23">
        <v>0</v>
      </c>
      <c r="K212" s="4">
        <v>17717.7</v>
      </c>
      <c r="L212" s="4">
        <v>15010.79</v>
      </c>
      <c r="M212" s="4">
        <v>2706.91</v>
      </c>
      <c r="N212" t="s">
        <v>85</v>
      </c>
      <c r="O212" s="7">
        <v>57</v>
      </c>
      <c r="P212" s="2">
        <v>46002.375</v>
      </c>
      <c r="Q212" t="s">
        <v>34</v>
      </c>
      <c r="R212">
        <v>12</v>
      </c>
      <c r="S212" t="s">
        <v>35</v>
      </c>
      <c r="T212">
        <f>IF(orders[[#This Row],[Status]]="Completed",1,0)</f>
        <v>0</v>
      </c>
      <c r="U212">
        <f>IF(orders[[#This Row],[Status]]="Pending",1,0)</f>
        <v>0</v>
      </c>
      <c r="V212">
        <f>IF(orders[[#This Row],[Status]]="Delayed",1,0)</f>
        <v>1</v>
      </c>
      <c r="W212">
        <f>IF(orders[[#This Row],[Status]]="Cancelled",1,0)</f>
        <v>0</v>
      </c>
    </row>
    <row r="213" spans="1:23" x14ac:dyDescent="0.35">
      <c r="A213" t="s">
        <v>452</v>
      </c>
      <c r="B213" s="1">
        <v>45881</v>
      </c>
      <c r="C213" t="s">
        <v>223</v>
      </c>
      <c r="D213" t="s">
        <v>63</v>
      </c>
      <c r="E213" t="s">
        <v>52</v>
      </c>
      <c r="F213" t="s">
        <v>23</v>
      </c>
      <c r="G213" t="s">
        <v>136</v>
      </c>
      <c r="H213" s="7">
        <v>1</v>
      </c>
      <c r="I213" s="4">
        <v>4947.76</v>
      </c>
      <c r="J213" s="23">
        <v>0.1</v>
      </c>
      <c r="K213" s="4">
        <v>4452.9799999999996</v>
      </c>
      <c r="L213" s="4">
        <v>3659.49</v>
      </c>
      <c r="M213" s="4">
        <v>793.49</v>
      </c>
      <c r="N213" t="s">
        <v>25</v>
      </c>
      <c r="O213" s="7">
        <v>26</v>
      </c>
      <c r="P213" s="2">
        <v>45882.083333333336</v>
      </c>
      <c r="Q213" t="s">
        <v>80</v>
      </c>
      <c r="R213">
        <v>8</v>
      </c>
      <c r="S213" t="s">
        <v>42</v>
      </c>
      <c r="T213">
        <f>IF(orders[[#This Row],[Status]]="Completed",1,0)</f>
        <v>1</v>
      </c>
      <c r="U213">
        <f>IF(orders[[#This Row],[Status]]="Pending",1,0)</f>
        <v>0</v>
      </c>
      <c r="V213">
        <f>IF(orders[[#This Row],[Status]]="Delayed",1,0)</f>
        <v>0</v>
      </c>
      <c r="W213">
        <f>IF(orders[[#This Row],[Status]]="Cancelled",1,0)</f>
        <v>0</v>
      </c>
    </row>
    <row r="214" spans="1:23" x14ac:dyDescent="0.35">
      <c r="A214" t="s">
        <v>453</v>
      </c>
      <c r="B214" s="1">
        <v>45882</v>
      </c>
      <c r="C214" t="s">
        <v>365</v>
      </c>
      <c r="D214" t="s">
        <v>68</v>
      </c>
      <c r="E214" t="s">
        <v>52</v>
      </c>
      <c r="F214" t="s">
        <v>32</v>
      </c>
      <c r="G214" t="s">
        <v>79</v>
      </c>
      <c r="H214" s="7">
        <v>1</v>
      </c>
      <c r="I214" s="4">
        <v>4448.45</v>
      </c>
      <c r="J214" s="23">
        <v>0.25</v>
      </c>
      <c r="K214" s="4">
        <v>3336.34</v>
      </c>
      <c r="L214" s="4">
        <v>2586.66</v>
      </c>
      <c r="M214" s="4">
        <v>749.68</v>
      </c>
      <c r="N214" t="s">
        <v>25</v>
      </c>
      <c r="O214" s="7">
        <v>34</v>
      </c>
      <c r="P214" s="2">
        <v>45883.416666666664</v>
      </c>
      <c r="Q214" t="s">
        <v>80</v>
      </c>
      <c r="R214">
        <v>8</v>
      </c>
      <c r="S214" t="s">
        <v>42</v>
      </c>
      <c r="T214">
        <f>IF(orders[[#This Row],[Status]]="Completed",1,0)</f>
        <v>1</v>
      </c>
      <c r="U214">
        <f>IF(orders[[#This Row],[Status]]="Pending",1,0)</f>
        <v>0</v>
      </c>
      <c r="V214">
        <f>IF(orders[[#This Row],[Status]]="Delayed",1,0)</f>
        <v>0</v>
      </c>
      <c r="W214">
        <f>IF(orders[[#This Row],[Status]]="Cancelled",1,0)</f>
        <v>0</v>
      </c>
    </row>
    <row r="215" spans="1:23" x14ac:dyDescent="0.35">
      <c r="A215" t="s">
        <v>454</v>
      </c>
      <c r="B215" s="1">
        <v>45783</v>
      </c>
      <c r="C215" t="s">
        <v>455</v>
      </c>
      <c r="D215" t="s">
        <v>21</v>
      </c>
      <c r="E215" t="s">
        <v>46</v>
      </c>
      <c r="F215" t="s">
        <v>39</v>
      </c>
      <c r="G215" t="s">
        <v>40</v>
      </c>
      <c r="H215" s="7">
        <v>7</v>
      </c>
      <c r="I215" s="4">
        <v>31050.11</v>
      </c>
      <c r="J215" s="23">
        <v>0.05</v>
      </c>
      <c r="K215" s="4">
        <v>29497.599999999999</v>
      </c>
      <c r="L215" s="4">
        <v>23045.01</v>
      </c>
      <c r="M215" s="4">
        <v>6452.59</v>
      </c>
      <c r="N215" t="s">
        <v>85</v>
      </c>
      <c r="O215" s="7">
        <v>60</v>
      </c>
      <c r="P215" s="2">
        <v>45785.5</v>
      </c>
      <c r="Q215" t="s">
        <v>74</v>
      </c>
      <c r="R215">
        <v>5</v>
      </c>
      <c r="S215" t="s">
        <v>27</v>
      </c>
      <c r="T215">
        <f>IF(orders[[#This Row],[Status]]="Completed",1,0)</f>
        <v>0</v>
      </c>
      <c r="U215">
        <f>IF(orders[[#This Row],[Status]]="Pending",1,0)</f>
        <v>0</v>
      </c>
      <c r="V215">
        <f>IF(orders[[#This Row],[Status]]="Delayed",1,0)</f>
        <v>1</v>
      </c>
      <c r="W215">
        <f>IF(orders[[#This Row],[Status]]="Cancelled",1,0)</f>
        <v>0</v>
      </c>
    </row>
    <row r="216" spans="1:23" x14ac:dyDescent="0.35">
      <c r="A216" t="s">
        <v>456</v>
      </c>
      <c r="B216" s="1">
        <v>45787</v>
      </c>
      <c r="C216" t="s">
        <v>457</v>
      </c>
      <c r="D216" t="s">
        <v>68</v>
      </c>
      <c r="E216" t="s">
        <v>46</v>
      </c>
      <c r="F216" t="s">
        <v>83</v>
      </c>
      <c r="G216" t="s">
        <v>84</v>
      </c>
      <c r="H216" s="7">
        <v>7</v>
      </c>
      <c r="I216" s="4">
        <v>7317.17</v>
      </c>
      <c r="J216" s="23">
        <v>0.1</v>
      </c>
      <c r="K216" s="4">
        <v>6585.45</v>
      </c>
      <c r="L216" s="4">
        <v>5201.2</v>
      </c>
      <c r="M216" s="4">
        <v>1384.25</v>
      </c>
      <c r="N216" t="s">
        <v>25</v>
      </c>
      <c r="O216" s="7">
        <v>6</v>
      </c>
      <c r="P216" s="2">
        <v>45787.25</v>
      </c>
      <c r="Q216" t="s">
        <v>74</v>
      </c>
      <c r="R216">
        <v>5</v>
      </c>
      <c r="S216" t="s">
        <v>27</v>
      </c>
      <c r="T216">
        <f>IF(orders[[#This Row],[Status]]="Completed",1,0)</f>
        <v>1</v>
      </c>
      <c r="U216">
        <f>IF(orders[[#This Row],[Status]]="Pending",1,0)</f>
        <v>0</v>
      </c>
      <c r="V216">
        <f>IF(orders[[#This Row],[Status]]="Delayed",1,0)</f>
        <v>0</v>
      </c>
      <c r="W216">
        <f>IF(orders[[#This Row],[Status]]="Cancelled",1,0)</f>
        <v>0</v>
      </c>
    </row>
    <row r="217" spans="1:23" x14ac:dyDescent="0.35">
      <c r="A217" t="s">
        <v>458</v>
      </c>
      <c r="B217" s="1">
        <v>45710</v>
      </c>
      <c r="C217" t="s">
        <v>154</v>
      </c>
      <c r="D217" t="s">
        <v>63</v>
      </c>
      <c r="E217" t="s">
        <v>31</v>
      </c>
      <c r="F217" t="s">
        <v>39</v>
      </c>
      <c r="G217" t="s">
        <v>93</v>
      </c>
      <c r="H217" s="7">
        <v>3</v>
      </c>
      <c r="I217" s="4">
        <v>11058.21</v>
      </c>
      <c r="J217" s="23">
        <v>0.25</v>
      </c>
      <c r="K217" s="4">
        <v>8293.66</v>
      </c>
      <c r="L217" s="4">
        <v>7141.33</v>
      </c>
      <c r="M217" s="4">
        <v>1152.33</v>
      </c>
      <c r="N217" t="s">
        <v>25</v>
      </c>
      <c r="O217" s="7">
        <v>24</v>
      </c>
      <c r="P217" s="2">
        <v>45711</v>
      </c>
      <c r="Q217" t="s">
        <v>139</v>
      </c>
      <c r="R217">
        <v>2</v>
      </c>
      <c r="S217" t="s">
        <v>55</v>
      </c>
      <c r="T217">
        <f>IF(orders[[#This Row],[Status]]="Completed",1,0)</f>
        <v>1</v>
      </c>
      <c r="U217">
        <f>IF(orders[[#This Row],[Status]]="Pending",1,0)</f>
        <v>0</v>
      </c>
      <c r="V217">
        <f>IF(orders[[#This Row],[Status]]="Delayed",1,0)</f>
        <v>0</v>
      </c>
      <c r="W217">
        <f>IF(orders[[#This Row],[Status]]="Cancelled",1,0)</f>
        <v>0</v>
      </c>
    </row>
    <row r="218" spans="1:23" x14ac:dyDescent="0.35">
      <c r="A218" t="s">
        <v>459</v>
      </c>
      <c r="B218" s="1">
        <v>45829</v>
      </c>
      <c r="C218" t="s">
        <v>279</v>
      </c>
      <c r="D218" t="s">
        <v>51</v>
      </c>
      <c r="E218" t="s">
        <v>59</v>
      </c>
      <c r="F218" t="s">
        <v>72</v>
      </c>
      <c r="G218" t="s">
        <v>119</v>
      </c>
      <c r="H218" s="7">
        <v>6</v>
      </c>
      <c r="I218" s="4">
        <v>23563.56</v>
      </c>
      <c r="J218" s="23">
        <v>0.05</v>
      </c>
      <c r="K218" s="4">
        <v>22385.38</v>
      </c>
      <c r="L218" s="4">
        <v>18459.5</v>
      </c>
      <c r="M218" s="4">
        <v>3925.88</v>
      </c>
      <c r="N218" t="s">
        <v>25</v>
      </c>
      <c r="O218" s="7">
        <v>5</v>
      </c>
      <c r="P218" s="2">
        <v>45829.208333333336</v>
      </c>
      <c r="Q218" t="s">
        <v>99</v>
      </c>
      <c r="R218">
        <v>6</v>
      </c>
      <c r="S218" t="s">
        <v>27</v>
      </c>
      <c r="T218">
        <f>IF(orders[[#This Row],[Status]]="Completed",1,0)</f>
        <v>1</v>
      </c>
      <c r="U218">
        <f>IF(orders[[#This Row],[Status]]="Pending",1,0)</f>
        <v>0</v>
      </c>
      <c r="V218">
        <f>IF(orders[[#This Row],[Status]]="Delayed",1,0)</f>
        <v>0</v>
      </c>
      <c r="W218">
        <f>IF(orders[[#This Row],[Status]]="Cancelled",1,0)</f>
        <v>0</v>
      </c>
    </row>
    <row r="219" spans="1:23" x14ac:dyDescent="0.35">
      <c r="A219" t="s">
        <v>460</v>
      </c>
      <c r="B219" s="1">
        <v>45875</v>
      </c>
      <c r="C219" t="s">
        <v>272</v>
      </c>
      <c r="D219" t="s">
        <v>58</v>
      </c>
      <c r="E219" t="s">
        <v>78</v>
      </c>
      <c r="F219" t="s">
        <v>72</v>
      </c>
      <c r="G219" t="s">
        <v>104</v>
      </c>
      <c r="H219" s="7">
        <v>7</v>
      </c>
      <c r="I219" s="4">
        <v>43931.44</v>
      </c>
      <c r="J219" s="23">
        <v>0.2</v>
      </c>
      <c r="K219" s="4">
        <v>35145.15</v>
      </c>
      <c r="L219" s="4">
        <v>26559.85</v>
      </c>
      <c r="M219" s="4">
        <v>8585.2999999999993</v>
      </c>
      <c r="N219" t="s">
        <v>25</v>
      </c>
      <c r="O219" s="7">
        <v>7</v>
      </c>
      <c r="P219" s="2">
        <v>45875.291666666664</v>
      </c>
      <c r="Q219" t="s">
        <v>80</v>
      </c>
      <c r="R219">
        <v>8</v>
      </c>
      <c r="S219" t="s">
        <v>42</v>
      </c>
      <c r="T219">
        <f>IF(orders[[#This Row],[Status]]="Completed",1,0)</f>
        <v>1</v>
      </c>
      <c r="U219">
        <f>IF(orders[[#This Row],[Status]]="Pending",1,0)</f>
        <v>0</v>
      </c>
      <c r="V219">
        <f>IF(orders[[#This Row],[Status]]="Delayed",1,0)</f>
        <v>0</v>
      </c>
      <c r="W219">
        <f>IF(orders[[#This Row],[Status]]="Cancelled",1,0)</f>
        <v>0</v>
      </c>
    </row>
    <row r="220" spans="1:23" x14ac:dyDescent="0.35">
      <c r="A220" t="s">
        <v>461</v>
      </c>
      <c r="B220" s="1">
        <v>45817</v>
      </c>
      <c r="C220" t="s">
        <v>422</v>
      </c>
      <c r="D220" t="s">
        <v>68</v>
      </c>
      <c r="E220" t="s">
        <v>78</v>
      </c>
      <c r="F220" t="s">
        <v>72</v>
      </c>
      <c r="G220" t="s">
        <v>73</v>
      </c>
      <c r="H220" s="7">
        <v>1</v>
      </c>
      <c r="I220" s="4">
        <v>7164.16</v>
      </c>
      <c r="J220" s="23">
        <v>0.1</v>
      </c>
      <c r="K220" s="4">
        <v>6447.74</v>
      </c>
      <c r="L220" s="4">
        <v>4962.74</v>
      </c>
      <c r="M220" s="4">
        <v>1485</v>
      </c>
      <c r="N220" t="s">
        <v>25</v>
      </c>
      <c r="O220" s="7">
        <v>4</v>
      </c>
      <c r="P220" s="2">
        <v>45817.166666666664</v>
      </c>
      <c r="Q220" t="s">
        <v>99</v>
      </c>
      <c r="R220">
        <v>6</v>
      </c>
      <c r="S220" t="s">
        <v>27</v>
      </c>
      <c r="T220">
        <f>IF(orders[[#This Row],[Status]]="Completed",1,0)</f>
        <v>1</v>
      </c>
      <c r="U220">
        <f>IF(orders[[#This Row],[Status]]="Pending",1,0)</f>
        <v>0</v>
      </c>
      <c r="V220">
        <f>IF(orders[[#This Row],[Status]]="Delayed",1,0)</f>
        <v>0</v>
      </c>
      <c r="W220">
        <f>IF(orders[[#This Row],[Status]]="Cancelled",1,0)</f>
        <v>0</v>
      </c>
    </row>
    <row r="221" spans="1:23" x14ac:dyDescent="0.35">
      <c r="A221" t="s">
        <v>462</v>
      </c>
      <c r="B221" s="1">
        <v>45855</v>
      </c>
      <c r="C221" t="s">
        <v>181</v>
      </c>
      <c r="D221" t="s">
        <v>21</v>
      </c>
      <c r="E221" t="s">
        <v>92</v>
      </c>
      <c r="F221" t="s">
        <v>39</v>
      </c>
      <c r="G221" t="s">
        <v>114</v>
      </c>
      <c r="H221" s="7">
        <v>7</v>
      </c>
      <c r="I221" s="4">
        <v>32904.199999999997</v>
      </c>
      <c r="J221" s="23">
        <v>0.1</v>
      </c>
      <c r="K221" s="4">
        <v>29613.78</v>
      </c>
      <c r="L221" s="4">
        <v>18376.37</v>
      </c>
      <c r="M221" s="4">
        <v>11237.41</v>
      </c>
      <c r="N221" t="s">
        <v>25</v>
      </c>
      <c r="O221" s="7">
        <v>18</v>
      </c>
      <c r="P221" s="2">
        <v>45855.75</v>
      </c>
      <c r="Q221" t="s">
        <v>60</v>
      </c>
      <c r="R221">
        <v>7</v>
      </c>
      <c r="S221" t="s">
        <v>42</v>
      </c>
      <c r="T221">
        <f>IF(orders[[#This Row],[Status]]="Completed",1,0)</f>
        <v>1</v>
      </c>
      <c r="U221">
        <f>IF(orders[[#This Row],[Status]]="Pending",1,0)</f>
        <v>0</v>
      </c>
      <c r="V221">
        <f>IF(orders[[#This Row],[Status]]="Delayed",1,0)</f>
        <v>0</v>
      </c>
      <c r="W221">
        <f>IF(orders[[#This Row],[Status]]="Cancelled",1,0)</f>
        <v>0</v>
      </c>
    </row>
    <row r="222" spans="1:23" x14ac:dyDescent="0.35">
      <c r="A222" t="s">
        <v>463</v>
      </c>
      <c r="B222" s="1">
        <v>45904</v>
      </c>
      <c r="C222" t="s">
        <v>135</v>
      </c>
      <c r="D222" t="s">
        <v>45</v>
      </c>
      <c r="E222" t="s">
        <v>59</v>
      </c>
      <c r="F222" t="s">
        <v>23</v>
      </c>
      <c r="G222" t="s">
        <v>122</v>
      </c>
      <c r="H222" s="7">
        <v>4</v>
      </c>
      <c r="I222" s="4">
        <v>3498.56</v>
      </c>
      <c r="J222" s="23">
        <v>0.05</v>
      </c>
      <c r="K222" s="4">
        <v>3323.63</v>
      </c>
      <c r="L222" s="4">
        <v>2548.94</v>
      </c>
      <c r="M222" s="4">
        <v>774.69</v>
      </c>
      <c r="N222" t="s">
        <v>48</v>
      </c>
      <c r="O222" s="7">
        <v>8</v>
      </c>
      <c r="P222" s="2">
        <v>45904.333333333336</v>
      </c>
      <c r="Q222" t="s">
        <v>41</v>
      </c>
      <c r="R222">
        <v>9</v>
      </c>
      <c r="S222" t="s">
        <v>42</v>
      </c>
      <c r="T222">
        <f>IF(orders[[#This Row],[Status]]="Completed",1,0)</f>
        <v>0</v>
      </c>
      <c r="U222">
        <f>IF(orders[[#This Row],[Status]]="Pending",1,0)</f>
        <v>0</v>
      </c>
      <c r="V222">
        <f>IF(orders[[#This Row],[Status]]="Delayed",1,0)</f>
        <v>0</v>
      </c>
      <c r="W222">
        <f>IF(orders[[#This Row],[Status]]="Cancelled",1,0)</f>
        <v>1</v>
      </c>
    </row>
    <row r="223" spans="1:23" x14ac:dyDescent="0.35">
      <c r="A223" t="s">
        <v>464</v>
      </c>
      <c r="B223" s="1">
        <v>45981</v>
      </c>
      <c r="C223" t="s">
        <v>465</v>
      </c>
      <c r="D223" t="s">
        <v>38</v>
      </c>
      <c r="E223" t="s">
        <v>59</v>
      </c>
      <c r="F223" t="s">
        <v>83</v>
      </c>
      <c r="G223" t="s">
        <v>155</v>
      </c>
      <c r="H223" s="7">
        <v>3</v>
      </c>
      <c r="I223" s="4">
        <v>6383.07</v>
      </c>
      <c r="J223" s="23">
        <v>0.1</v>
      </c>
      <c r="K223" s="4">
        <v>5744.76</v>
      </c>
      <c r="L223" s="4">
        <v>3964.71</v>
      </c>
      <c r="M223" s="4">
        <v>1780.05</v>
      </c>
      <c r="N223" t="s">
        <v>25</v>
      </c>
      <c r="O223" s="7">
        <v>9</v>
      </c>
      <c r="P223" s="2">
        <v>45981.375</v>
      </c>
      <c r="Q223" t="s">
        <v>86</v>
      </c>
      <c r="R223">
        <v>11</v>
      </c>
      <c r="S223" t="s">
        <v>35</v>
      </c>
      <c r="T223">
        <f>IF(orders[[#This Row],[Status]]="Completed",1,0)</f>
        <v>1</v>
      </c>
      <c r="U223">
        <f>IF(orders[[#This Row],[Status]]="Pending",1,0)</f>
        <v>0</v>
      </c>
      <c r="V223">
        <f>IF(orders[[#This Row],[Status]]="Delayed",1,0)</f>
        <v>0</v>
      </c>
      <c r="W223">
        <f>IF(orders[[#This Row],[Status]]="Cancelled",1,0)</f>
        <v>0</v>
      </c>
    </row>
    <row r="224" spans="1:23" x14ac:dyDescent="0.35">
      <c r="A224" t="s">
        <v>466</v>
      </c>
      <c r="B224" s="1">
        <v>45860</v>
      </c>
      <c r="C224" t="s">
        <v>467</v>
      </c>
      <c r="D224" t="s">
        <v>30</v>
      </c>
      <c r="E224" t="s">
        <v>59</v>
      </c>
      <c r="F224" t="s">
        <v>72</v>
      </c>
      <c r="G224" t="s">
        <v>119</v>
      </c>
      <c r="H224" s="7">
        <v>6</v>
      </c>
      <c r="I224" s="4">
        <v>9163.2000000000007</v>
      </c>
      <c r="J224" s="23">
        <v>0</v>
      </c>
      <c r="K224" s="4">
        <v>9163.2000000000007</v>
      </c>
      <c r="L224" s="4">
        <v>5502.29</v>
      </c>
      <c r="M224" s="4">
        <v>3660.91</v>
      </c>
      <c r="N224" t="s">
        <v>48</v>
      </c>
      <c r="O224" s="7">
        <v>7</v>
      </c>
      <c r="P224" s="2">
        <v>45860.291666666664</v>
      </c>
      <c r="Q224" t="s">
        <v>60</v>
      </c>
      <c r="R224">
        <v>7</v>
      </c>
      <c r="S224" t="s">
        <v>42</v>
      </c>
      <c r="T224">
        <f>IF(orders[[#This Row],[Status]]="Completed",1,0)</f>
        <v>0</v>
      </c>
      <c r="U224">
        <f>IF(orders[[#This Row],[Status]]="Pending",1,0)</f>
        <v>0</v>
      </c>
      <c r="V224">
        <f>IF(orders[[#This Row],[Status]]="Delayed",1,0)</f>
        <v>0</v>
      </c>
      <c r="W224">
        <f>IF(orders[[#This Row],[Status]]="Cancelled",1,0)</f>
        <v>1</v>
      </c>
    </row>
    <row r="225" spans="1:23" x14ac:dyDescent="0.35">
      <c r="A225" t="s">
        <v>468</v>
      </c>
      <c r="B225" s="1">
        <v>45841</v>
      </c>
      <c r="C225" t="s">
        <v>469</v>
      </c>
      <c r="D225" t="s">
        <v>58</v>
      </c>
      <c r="E225" t="s">
        <v>52</v>
      </c>
      <c r="F225" t="s">
        <v>72</v>
      </c>
      <c r="G225" t="s">
        <v>73</v>
      </c>
      <c r="H225" s="7">
        <v>6</v>
      </c>
      <c r="I225" s="4">
        <v>7143.24</v>
      </c>
      <c r="J225" s="23">
        <v>0.15</v>
      </c>
      <c r="K225" s="4">
        <v>6071.75</v>
      </c>
      <c r="L225" s="4">
        <v>4955.2299999999996</v>
      </c>
      <c r="M225" s="4">
        <v>1116.52</v>
      </c>
      <c r="N225" t="s">
        <v>85</v>
      </c>
      <c r="O225" s="7">
        <v>87</v>
      </c>
      <c r="P225" s="2">
        <v>45844.625</v>
      </c>
      <c r="Q225" t="s">
        <v>60</v>
      </c>
      <c r="R225">
        <v>7</v>
      </c>
      <c r="S225" t="s">
        <v>42</v>
      </c>
      <c r="T225">
        <f>IF(orders[[#This Row],[Status]]="Completed",1,0)</f>
        <v>0</v>
      </c>
      <c r="U225">
        <f>IF(orders[[#This Row],[Status]]="Pending",1,0)</f>
        <v>0</v>
      </c>
      <c r="V225">
        <f>IF(orders[[#This Row],[Status]]="Delayed",1,0)</f>
        <v>1</v>
      </c>
      <c r="W225">
        <f>IF(orders[[#This Row],[Status]]="Cancelled",1,0)</f>
        <v>0</v>
      </c>
    </row>
    <row r="226" spans="1:23" x14ac:dyDescent="0.35">
      <c r="A226" t="s">
        <v>470</v>
      </c>
      <c r="B226" s="1">
        <v>45780</v>
      </c>
      <c r="C226" t="s">
        <v>288</v>
      </c>
      <c r="D226" t="s">
        <v>68</v>
      </c>
      <c r="E226" t="s">
        <v>59</v>
      </c>
      <c r="F226" t="s">
        <v>72</v>
      </c>
      <c r="G226" t="s">
        <v>129</v>
      </c>
      <c r="H226" s="7">
        <v>5</v>
      </c>
      <c r="I226" s="4">
        <v>16026.3</v>
      </c>
      <c r="J226" s="23">
        <v>0.05</v>
      </c>
      <c r="K226" s="4">
        <v>15224.98</v>
      </c>
      <c r="L226" s="4">
        <v>10937.34</v>
      </c>
      <c r="M226" s="4">
        <v>4287.6400000000003</v>
      </c>
      <c r="N226" t="s">
        <v>85</v>
      </c>
      <c r="O226" s="7">
        <v>57</v>
      </c>
      <c r="P226" s="2">
        <v>45782.375</v>
      </c>
      <c r="Q226" t="s">
        <v>74</v>
      </c>
      <c r="R226">
        <v>5</v>
      </c>
      <c r="S226" t="s">
        <v>27</v>
      </c>
      <c r="T226">
        <f>IF(orders[[#This Row],[Status]]="Completed",1,0)</f>
        <v>0</v>
      </c>
      <c r="U226">
        <f>IF(orders[[#This Row],[Status]]="Pending",1,0)</f>
        <v>0</v>
      </c>
      <c r="V226">
        <f>IF(orders[[#This Row],[Status]]="Delayed",1,0)</f>
        <v>1</v>
      </c>
      <c r="W226">
        <f>IF(orders[[#This Row],[Status]]="Cancelled",1,0)</f>
        <v>0</v>
      </c>
    </row>
    <row r="227" spans="1:23" x14ac:dyDescent="0.35">
      <c r="A227" t="s">
        <v>471</v>
      </c>
      <c r="B227" s="1">
        <v>45912</v>
      </c>
      <c r="C227" t="s">
        <v>472</v>
      </c>
      <c r="D227" t="s">
        <v>77</v>
      </c>
      <c r="E227" t="s">
        <v>92</v>
      </c>
      <c r="F227" t="s">
        <v>83</v>
      </c>
      <c r="G227" t="s">
        <v>152</v>
      </c>
      <c r="H227" s="7">
        <v>6</v>
      </c>
      <c r="I227" s="4">
        <v>12392.64</v>
      </c>
      <c r="J227" s="23">
        <v>0.2</v>
      </c>
      <c r="K227" s="4">
        <v>9914.11</v>
      </c>
      <c r="L227" s="4">
        <v>8650.56</v>
      </c>
      <c r="M227" s="4">
        <v>1263.55</v>
      </c>
      <c r="N227" t="s">
        <v>25</v>
      </c>
      <c r="O227" s="7">
        <v>4</v>
      </c>
      <c r="P227" s="2">
        <v>45912.166666666664</v>
      </c>
      <c r="Q227" t="s">
        <v>41</v>
      </c>
      <c r="R227">
        <v>9</v>
      </c>
      <c r="S227" t="s">
        <v>42</v>
      </c>
      <c r="T227">
        <f>IF(orders[[#This Row],[Status]]="Completed",1,0)</f>
        <v>1</v>
      </c>
      <c r="U227">
        <f>IF(orders[[#This Row],[Status]]="Pending",1,0)</f>
        <v>0</v>
      </c>
      <c r="V227">
        <f>IF(orders[[#This Row],[Status]]="Delayed",1,0)</f>
        <v>0</v>
      </c>
      <c r="W227">
        <f>IF(orders[[#This Row],[Status]]="Cancelled",1,0)</f>
        <v>0</v>
      </c>
    </row>
    <row r="228" spans="1:23" x14ac:dyDescent="0.35">
      <c r="A228" t="s">
        <v>473</v>
      </c>
      <c r="B228" s="1">
        <v>45951</v>
      </c>
      <c r="C228" t="s">
        <v>474</v>
      </c>
      <c r="D228" t="s">
        <v>30</v>
      </c>
      <c r="E228" t="s">
        <v>52</v>
      </c>
      <c r="F228" t="s">
        <v>72</v>
      </c>
      <c r="G228" t="s">
        <v>146</v>
      </c>
      <c r="H228" s="7">
        <v>3</v>
      </c>
      <c r="I228" s="4">
        <v>5918.49</v>
      </c>
      <c r="J228" s="23">
        <v>0.05</v>
      </c>
      <c r="K228" s="4">
        <v>5622.57</v>
      </c>
      <c r="L228" s="4">
        <v>3615.05</v>
      </c>
      <c r="M228" s="4">
        <v>2007.52</v>
      </c>
      <c r="N228" t="s">
        <v>98</v>
      </c>
      <c r="O228" s="7">
        <v>12</v>
      </c>
      <c r="P228" s="2">
        <v>45951.5</v>
      </c>
      <c r="Q228" t="s">
        <v>116</v>
      </c>
      <c r="R228">
        <v>10</v>
      </c>
      <c r="S228" t="s">
        <v>35</v>
      </c>
      <c r="T228">
        <f>IF(orders[[#This Row],[Status]]="Completed",1,0)</f>
        <v>0</v>
      </c>
      <c r="U228">
        <f>IF(orders[[#This Row],[Status]]="Pending",1,0)</f>
        <v>1</v>
      </c>
      <c r="V228">
        <f>IF(orders[[#This Row],[Status]]="Delayed",1,0)</f>
        <v>0</v>
      </c>
      <c r="W228">
        <f>IF(orders[[#This Row],[Status]]="Cancelled",1,0)</f>
        <v>0</v>
      </c>
    </row>
    <row r="229" spans="1:23" x14ac:dyDescent="0.35">
      <c r="A229" t="s">
        <v>475</v>
      </c>
      <c r="B229" s="1">
        <v>45937</v>
      </c>
      <c r="C229" t="s">
        <v>173</v>
      </c>
      <c r="D229" t="s">
        <v>45</v>
      </c>
      <c r="E229" t="s">
        <v>92</v>
      </c>
      <c r="F229" t="s">
        <v>83</v>
      </c>
      <c r="G229" t="s">
        <v>182</v>
      </c>
      <c r="H229" s="7">
        <v>4</v>
      </c>
      <c r="I229" s="4">
        <v>2426.7600000000002</v>
      </c>
      <c r="J229" s="23">
        <v>0</v>
      </c>
      <c r="K229" s="4">
        <v>2426.7600000000002</v>
      </c>
      <c r="L229" s="4">
        <v>1719.65</v>
      </c>
      <c r="M229" s="4">
        <v>707.11</v>
      </c>
      <c r="N229" t="s">
        <v>48</v>
      </c>
      <c r="O229" s="7">
        <v>3</v>
      </c>
      <c r="P229" s="2">
        <v>45937.125</v>
      </c>
      <c r="Q229" t="s">
        <v>116</v>
      </c>
      <c r="R229">
        <v>10</v>
      </c>
      <c r="S229" t="s">
        <v>35</v>
      </c>
      <c r="T229">
        <f>IF(orders[[#This Row],[Status]]="Completed",1,0)</f>
        <v>0</v>
      </c>
      <c r="U229">
        <f>IF(orders[[#This Row],[Status]]="Pending",1,0)</f>
        <v>0</v>
      </c>
      <c r="V229">
        <f>IF(orders[[#This Row],[Status]]="Delayed",1,0)</f>
        <v>0</v>
      </c>
      <c r="W229">
        <f>IF(orders[[#This Row],[Status]]="Cancelled",1,0)</f>
        <v>1</v>
      </c>
    </row>
    <row r="230" spans="1:23" x14ac:dyDescent="0.35">
      <c r="A230" t="s">
        <v>476</v>
      </c>
      <c r="B230" s="1">
        <v>45982</v>
      </c>
      <c r="C230" t="s">
        <v>82</v>
      </c>
      <c r="D230" t="s">
        <v>63</v>
      </c>
      <c r="E230" t="s">
        <v>52</v>
      </c>
      <c r="F230" t="s">
        <v>72</v>
      </c>
      <c r="G230" t="s">
        <v>73</v>
      </c>
      <c r="H230" s="7">
        <v>6</v>
      </c>
      <c r="I230" s="4">
        <v>1785.24</v>
      </c>
      <c r="J230" s="23">
        <v>0.1</v>
      </c>
      <c r="K230" s="4">
        <v>1606.72</v>
      </c>
      <c r="L230" s="4">
        <v>1121.23</v>
      </c>
      <c r="M230" s="4">
        <v>485.49</v>
      </c>
      <c r="N230" t="s">
        <v>85</v>
      </c>
      <c r="O230" s="7">
        <v>72</v>
      </c>
      <c r="P230" s="2">
        <v>45985</v>
      </c>
      <c r="Q230" t="s">
        <v>86</v>
      </c>
      <c r="R230">
        <v>11</v>
      </c>
      <c r="S230" t="s">
        <v>35</v>
      </c>
      <c r="T230">
        <f>IF(orders[[#This Row],[Status]]="Completed",1,0)</f>
        <v>0</v>
      </c>
      <c r="U230">
        <f>IF(orders[[#This Row],[Status]]="Pending",1,0)</f>
        <v>0</v>
      </c>
      <c r="V230">
        <f>IF(orders[[#This Row],[Status]]="Delayed",1,0)</f>
        <v>1</v>
      </c>
      <c r="W230">
        <f>IF(orders[[#This Row],[Status]]="Cancelled",1,0)</f>
        <v>0</v>
      </c>
    </row>
    <row r="231" spans="1:23" x14ac:dyDescent="0.35">
      <c r="A231" t="s">
        <v>477</v>
      </c>
      <c r="B231" s="1">
        <v>45755</v>
      </c>
      <c r="C231" t="s">
        <v>478</v>
      </c>
      <c r="D231" t="s">
        <v>38</v>
      </c>
      <c r="E231" t="s">
        <v>78</v>
      </c>
      <c r="F231" t="s">
        <v>39</v>
      </c>
      <c r="G231" t="s">
        <v>47</v>
      </c>
      <c r="H231" s="7">
        <v>5</v>
      </c>
      <c r="I231" s="4">
        <v>5040.55</v>
      </c>
      <c r="J231" s="23">
        <v>0</v>
      </c>
      <c r="K231" s="4">
        <v>5040.55</v>
      </c>
      <c r="L231" s="4">
        <v>2973.2</v>
      </c>
      <c r="M231" s="4">
        <v>2067.35</v>
      </c>
      <c r="N231" t="s">
        <v>98</v>
      </c>
      <c r="O231" s="7">
        <v>1</v>
      </c>
      <c r="P231" s="2">
        <v>45755.041666666664</v>
      </c>
      <c r="Q231" t="s">
        <v>26</v>
      </c>
      <c r="R231">
        <v>4</v>
      </c>
      <c r="S231" t="s">
        <v>27</v>
      </c>
      <c r="T231">
        <f>IF(orders[[#This Row],[Status]]="Completed",1,0)</f>
        <v>0</v>
      </c>
      <c r="U231">
        <f>IF(orders[[#This Row],[Status]]="Pending",1,0)</f>
        <v>1</v>
      </c>
      <c r="V231">
        <f>IF(orders[[#This Row],[Status]]="Delayed",1,0)</f>
        <v>0</v>
      </c>
      <c r="W231">
        <f>IF(orders[[#This Row],[Status]]="Cancelled",1,0)</f>
        <v>0</v>
      </c>
    </row>
    <row r="232" spans="1:23" x14ac:dyDescent="0.35">
      <c r="A232" t="s">
        <v>479</v>
      </c>
      <c r="B232" s="1">
        <v>45855</v>
      </c>
      <c r="C232" t="s">
        <v>231</v>
      </c>
      <c r="D232" t="s">
        <v>51</v>
      </c>
      <c r="E232" t="s">
        <v>113</v>
      </c>
      <c r="F232" t="s">
        <v>39</v>
      </c>
      <c r="G232" t="s">
        <v>47</v>
      </c>
      <c r="H232" s="7">
        <v>3</v>
      </c>
      <c r="I232" s="4">
        <v>4763.55</v>
      </c>
      <c r="J232" s="23">
        <v>0.15</v>
      </c>
      <c r="K232" s="4">
        <v>4049.02</v>
      </c>
      <c r="L232" s="4">
        <v>2796.33</v>
      </c>
      <c r="M232" s="4">
        <v>1252.69</v>
      </c>
      <c r="N232" t="s">
        <v>25</v>
      </c>
      <c r="O232" s="7">
        <v>47</v>
      </c>
      <c r="P232" s="2">
        <v>45856.958333333336</v>
      </c>
      <c r="Q232" t="s">
        <v>60</v>
      </c>
      <c r="R232">
        <v>7</v>
      </c>
      <c r="S232" t="s">
        <v>42</v>
      </c>
      <c r="T232">
        <f>IF(orders[[#This Row],[Status]]="Completed",1,0)</f>
        <v>1</v>
      </c>
      <c r="U232">
        <f>IF(orders[[#This Row],[Status]]="Pending",1,0)</f>
        <v>0</v>
      </c>
      <c r="V232">
        <f>IF(orders[[#This Row],[Status]]="Delayed",1,0)</f>
        <v>0</v>
      </c>
      <c r="W232">
        <f>IF(orders[[#This Row],[Status]]="Cancelled",1,0)</f>
        <v>0</v>
      </c>
    </row>
    <row r="233" spans="1:23" x14ac:dyDescent="0.35">
      <c r="A233" t="s">
        <v>480</v>
      </c>
      <c r="B233" s="1">
        <v>45897</v>
      </c>
      <c r="C233" t="s">
        <v>481</v>
      </c>
      <c r="D233" t="s">
        <v>45</v>
      </c>
      <c r="E233" t="s">
        <v>113</v>
      </c>
      <c r="F233" t="s">
        <v>83</v>
      </c>
      <c r="G233" t="s">
        <v>155</v>
      </c>
      <c r="H233" s="7">
        <v>1</v>
      </c>
      <c r="I233" s="4">
        <v>3748.71</v>
      </c>
      <c r="J233" s="23">
        <v>0.25</v>
      </c>
      <c r="K233" s="4">
        <v>2811.53</v>
      </c>
      <c r="L233" s="4">
        <v>1813.14</v>
      </c>
      <c r="M233" s="4">
        <v>998.39</v>
      </c>
      <c r="N233" t="s">
        <v>98</v>
      </c>
      <c r="O233" s="7">
        <v>21</v>
      </c>
      <c r="P233" s="2">
        <v>45897.875</v>
      </c>
      <c r="Q233" t="s">
        <v>80</v>
      </c>
      <c r="R233">
        <v>8</v>
      </c>
      <c r="S233" t="s">
        <v>42</v>
      </c>
      <c r="T233">
        <f>IF(orders[[#This Row],[Status]]="Completed",1,0)</f>
        <v>0</v>
      </c>
      <c r="U233">
        <f>IF(orders[[#This Row],[Status]]="Pending",1,0)</f>
        <v>1</v>
      </c>
      <c r="V233">
        <f>IF(orders[[#This Row],[Status]]="Delayed",1,0)</f>
        <v>0</v>
      </c>
      <c r="W233">
        <f>IF(orders[[#This Row],[Status]]="Cancelled",1,0)</f>
        <v>0</v>
      </c>
    </row>
    <row r="234" spans="1:23" x14ac:dyDescent="0.35">
      <c r="A234" t="s">
        <v>482</v>
      </c>
      <c r="B234" s="1">
        <v>45801</v>
      </c>
      <c r="C234" t="s">
        <v>483</v>
      </c>
      <c r="D234" t="s">
        <v>45</v>
      </c>
      <c r="E234" t="s">
        <v>78</v>
      </c>
      <c r="F234" t="s">
        <v>39</v>
      </c>
      <c r="G234" t="s">
        <v>93</v>
      </c>
      <c r="H234" s="7">
        <v>2</v>
      </c>
      <c r="I234" s="4">
        <v>8825.68</v>
      </c>
      <c r="J234" s="23">
        <v>0.15</v>
      </c>
      <c r="K234" s="4">
        <v>7501.83</v>
      </c>
      <c r="L234" s="4">
        <v>4522.8999999999996</v>
      </c>
      <c r="M234" s="4">
        <v>2978.93</v>
      </c>
      <c r="N234" t="s">
        <v>98</v>
      </c>
      <c r="O234" s="7">
        <v>20</v>
      </c>
      <c r="P234" s="2">
        <v>45801.833333333336</v>
      </c>
      <c r="Q234" t="s">
        <v>74</v>
      </c>
      <c r="R234">
        <v>5</v>
      </c>
      <c r="S234" t="s">
        <v>27</v>
      </c>
      <c r="T234">
        <f>IF(orders[[#This Row],[Status]]="Completed",1,0)</f>
        <v>0</v>
      </c>
      <c r="U234">
        <f>IF(orders[[#This Row],[Status]]="Pending",1,0)</f>
        <v>1</v>
      </c>
      <c r="V234">
        <f>IF(orders[[#This Row],[Status]]="Delayed",1,0)</f>
        <v>0</v>
      </c>
      <c r="W234">
        <f>IF(orders[[#This Row],[Status]]="Cancelled",1,0)</f>
        <v>0</v>
      </c>
    </row>
    <row r="235" spans="1:23" x14ac:dyDescent="0.35">
      <c r="A235" t="s">
        <v>484</v>
      </c>
      <c r="B235" s="1">
        <v>45754</v>
      </c>
      <c r="C235" t="s">
        <v>281</v>
      </c>
      <c r="D235" t="s">
        <v>63</v>
      </c>
      <c r="E235" t="s">
        <v>113</v>
      </c>
      <c r="F235" t="s">
        <v>83</v>
      </c>
      <c r="G235" t="s">
        <v>152</v>
      </c>
      <c r="H235" s="7">
        <v>2</v>
      </c>
      <c r="I235" s="4">
        <v>2647.88</v>
      </c>
      <c r="J235" s="23">
        <v>0</v>
      </c>
      <c r="K235" s="4">
        <v>2647.88</v>
      </c>
      <c r="L235" s="4">
        <v>1702.88</v>
      </c>
      <c r="M235" s="4">
        <v>945</v>
      </c>
      <c r="N235" t="s">
        <v>25</v>
      </c>
      <c r="O235" s="7">
        <v>16</v>
      </c>
      <c r="P235" s="2">
        <v>45754.666666666664</v>
      </c>
      <c r="Q235" t="s">
        <v>26</v>
      </c>
      <c r="R235">
        <v>4</v>
      </c>
      <c r="S235" t="s">
        <v>27</v>
      </c>
      <c r="T235">
        <f>IF(orders[[#This Row],[Status]]="Completed",1,0)</f>
        <v>1</v>
      </c>
      <c r="U235">
        <f>IF(orders[[#This Row],[Status]]="Pending",1,0)</f>
        <v>0</v>
      </c>
      <c r="V235">
        <f>IF(orders[[#This Row],[Status]]="Delayed",1,0)</f>
        <v>0</v>
      </c>
      <c r="W235">
        <f>IF(orders[[#This Row],[Status]]="Cancelled",1,0)</f>
        <v>0</v>
      </c>
    </row>
    <row r="236" spans="1:23" x14ac:dyDescent="0.35">
      <c r="A236" t="s">
        <v>485</v>
      </c>
      <c r="B236" s="1">
        <v>45858</v>
      </c>
      <c r="C236" t="s">
        <v>486</v>
      </c>
      <c r="D236" t="s">
        <v>149</v>
      </c>
      <c r="E236" t="s">
        <v>113</v>
      </c>
      <c r="F236" t="s">
        <v>39</v>
      </c>
      <c r="G236" t="s">
        <v>114</v>
      </c>
      <c r="H236" s="7">
        <v>1</v>
      </c>
      <c r="I236" s="4">
        <v>3696.94</v>
      </c>
      <c r="J236" s="23">
        <v>0.1</v>
      </c>
      <c r="K236" s="4">
        <v>3327.25</v>
      </c>
      <c r="L236" s="4">
        <v>2086.1</v>
      </c>
      <c r="M236" s="4">
        <v>1241.1500000000001</v>
      </c>
      <c r="N236" t="s">
        <v>48</v>
      </c>
      <c r="O236" s="7">
        <v>16</v>
      </c>
      <c r="P236" s="2">
        <v>45858.666666666664</v>
      </c>
      <c r="Q236" t="s">
        <v>60</v>
      </c>
      <c r="R236">
        <v>7</v>
      </c>
      <c r="S236" t="s">
        <v>42</v>
      </c>
      <c r="T236">
        <f>IF(orders[[#This Row],[Status]]="Completed",1,0)</f>
        <v>0</v>
      </c>
      <c r="U236">
        <f>IF(orders[[#This Row],[Status]]="Pending",1,0)</f>
        <v>0</v>
      </c>
      <c r="V236">
        <f>IF(orders[[#This Row],[Status]]="Delayed",1,0)</f>
        <v>0</v>
      </c>
      <c r="W236">
        <f>IF(orders[[#This Row],[Status]]="Cancelled",1,0)</f>
        <v>1</v>
      </c>
    </row>
    <row r="237" spans="1:23" x14ac:dyDescent="0.35">
      <c r="A237" t="s">
        <v>487</v>
      </c>
      <c r="B237" s="1">
        <v>45781</v>
      </c>
      <c r="C237" t="s">
        <v>488</v>
      </c>
      <c r="D237" t="s">
        <v>63</v>
      </c>
      <c r="E237" t="s">
        <v>78</v>
      </c>
      <c r="F237" t="s">
        <v>39</v>
      </c>
      <c r="G237" t="s">
        <v>188</v>
      </c>
      <c r="H237" s="7">
        <v>7</v>
      </c>
      <c r="I237" s="4">
        <v>21025.200000000001</v>
      </c>
      <c r="J237" s="23">
        <v>0.1</v>
      </c>
      <c r="K237" s="4">
        <v>18922.68</v>
      </c>
      <c r="L237" s="4">
        <v>14991.38</v>
      </c>
      <c r="M237" s="4">
        <v>3931.3</v>
      </c>
      <c r="N237" t="s">
        <v>25</v>
      </c>
      <c r="O237" s="7">
        <v>17</v>
      </c>
      <c r="P237" s="2">
        <v>45781.708333333336</v>
      </c>
      <c r="Q237" t="s">
        <v>74</v>
      </c>
      <c r="R237">
        <v>5</v>
      </c>
      <c r="S237" t="s">
        <v>27</v>
      </c>
      <c r="T237">
        <f>IF(orders[[#This Row],[Status]]="Completed",1,0)</f>
        <v>1</v>
      </c>
      <c r="U237">
        <f>IF(orders[[#This Row],[Status]]="Pending",1,0)</f>
        <v>0</v>
      </c>
      <c r="V237">
        <f>IF(orders[[#This Row],[Status]]="Delayed",1,0)</f>
        <v>0</v>
      </c>
      <c r="W237">
        <f>IF(orders[[#This Row],[Status]]="Cancelled",1,0)</f>
        <v>0</v>
      </c>
    </row>
    <row r="238" spans="1:23" x14ac:dyDescent="0.35">
      <c r="A238" t="s">
        <v>489</v>
      </c>
      <c r="B238" s="1">
        <v>45844</v>
      </c>
      <c r="C238" t="s">
        <v>490</v>
      </c>
      <c r="D238" t="s">
        <v>149</v>
      </c>
      <c r="E238" t="s">
        <v>52</v>
      </c>
      <c r="F238" t="s">
        <v>83</v>
      </c>
      <c r="G238" t="s">
        <v>152</v>
      </c>
      <c r="H238" s="7">
        <v>6</v>
      </c>
      <c r="I238" s="4">
        <v>10089.540000000001</v>
      </c>
      <c r="J238" s="23">
        <v>0.15</v>
      </c>
      <c r="K238" s="4">
        <v>8576.11</v>
      </c>
      <c r="L238" s="4">
        <v>4803.96</v>
      </c>
      <c r="M238" s="4">
        <v>3772.15</v>
      </c>
      <c r="N238" t="s">
        <v>25</v>
      </c>
      <c r="O238" s="7">
        <v>25</v>
      </c>
      <c r="P238" s="2">
        <v>45845.041666666664</v>
      </c>
      <c r="Q238" t="s">
        <v>60</v>
      </c>
      <c r="R238">
        <v>7</v>
      </c>
      <c r="S238" t="s">
        <v>42</v>
      </c>
      <c r="T238">
        <f>IF(orders[[#This Row],[Status]]="Completed",1,0)</f>
        <v>1</v>
      </c>
      <c r="U238">
        <f>IF(orders[[#This Row],[Status]]="Pending",1,0)</f>
        <v>0</v>
      </c>
      <c r="V238">
        <f>IF(orders[[#This Row],[Status]]="Delayed",1,0)</f>
        <v>0</v>
      </c>
      <c r="W238">
        <f>IF(orders[[#This Row],[Status]]="Cancelled",1,0)</f>
        <v>0</v>
      </c>
    </row>
    <row r="239" spans="1:23" x14ac:dyDescent="0.35">
      <c r="A239" t="s">
        <v>491</v>
      </c>
      <c r="B239" s="1">
        <v>45983</v>
      </c>
      <c r="C239" t="s">
        <v>310</v>
      </c>
      <c r="D239" t="s">
        <v>149</v>
      </c>
      <c r="E239" t="s">
        <v>59</v>
      </c>
      <c r="F239" t="s">
        <v>23</v>
      </c>
      <c r="G239" t="s">
        <v>24</v>
      </c>
      <c r="H239" s="7">
        <v>2</v>
      </c>
      <c r="I239" s="4">
        <v>414.24</v>
      </c>
      <c r="J239" s="23">
        <v>0</v>
      </c>
      <c r="K239" s="4">
        <v>414.24</v>
      </c>
      <c r="L239" s="4">
        <v>312.24</v>
      </c>
      <c r="M239" s="4">
        <v>102</v>
      </c>
      <c r="N239" t="s">
        <v>25</v>
      </c>
      <c r="O239" s="7">
        <v>33</v>
      </c>
      <c r="P239" s="2">
        <v>45984.375</v>
      </c>
      <c r="Q239" t="s">
        <v>86</v>
      </c>
      <c r="R239">
        <v>11</v>
      </c>
      <c r="S239" t="s">
        <v>35</v>
      </c>
      <c r="T239">
        <f>IF(orders[[#This Row],[Status]]="Completed",1,0)</f>
        <v>1</v>
      </c>
      <c r="U239">
        <f>IF(orders[[#This Row],[Status]]="Pending",1,0)</f>
        <v>0</v>
      </c>
      <c r="V239">
        <f>IF(orders[[#This Row],[Status]]="Delayed",1,0)</f>
        <v>0</v>
      </c>
      <c r="W239">
        <f>IF(orders[[#This Row],[Status]]="Cancelled",1,0)</f>
        <v>0</v>
      </c>
    </row>
    <row r="240" spans="1:23" x14ac:dyDescent="0.35">
      <c r="A240" t="s">
        <v>492</v>
      </c>
      <c r="B240" s="1">
        <v>46006</v>
      </c>
      <c r="C240" t="s">
        <v>493</v>
      </c>
      <c r="D240" t="s">
        <v>58</v>
      </c>
      <c r="E240" t="s">
        <v>78</v>
      </c>
      <c r="F240" t="s">
        <v>39</v>
      </c>
      <c r="G240" t="s">
        <v>188</v>
      </c>
      <c r="H240" s="7">
        <v>7</v>
      </c>
      <c r="I240" s="4">
        <v>28347.200000000001</v>
      </c>
      <c r="J240" s="23">
        <v>0.1</v>
      </c>
      <c r="K240" s="4">
        <v>25512.48</v>
      </c>
      <c r="L240" s="4">
        <v>20435.96</v>
      </c>
      <c r="M240" s="4">
        <v>5076.5200000000004</v>
      </c>
      <c r="N240" t="s">
        <v>25</v>
      </c>
      <c r="O240" s="7">
        <v>47</v>
      </c>
      <c r="P240" s="2">
        <v>46007.958333333336</v>
      </c>
      <c r="Q240" t="s">
        <v>34</v>
      </c>
      <c r="R240">
        <v>12</v>
      </c>
      <c r="S240" t="s">
        <v>35</v>
      </c>
      <c r="T240">
        <f>IF(orders[[#This Row],[Status]]="Completed",1,0)</f>
        <v>1</v>
      </c>
      <c r="U240">
        <f>IF(orders[[#This Row],[Status]]="Pending",1,0)</f>
        <v>0</v>
      </c>
      <c r="V240">
        <f>IF(orders[[#This Row],[Status]]="Delayed",1,0)</f>
        <v>0</v>
      </c>
      <c r="W240">
        <f>IF(orders[[#This Row],[Status]]="Cancelled",1,0)</f>
        <v>0</v>
      </c>
    </row>
    <row r="241" spans="1:23" x14ac:dyDescent="0.35">
      <c r="A241" t="s">
        <v>494</v>
      </c>
      <c r="B241" s="1">
        <v>45916</v>
      </c>
      <c r="C241" t="s">
        <v>495</v>
      </c>
      <c r="D241" t="s">
        <v>58</v>
      </c>
      <c r="E241" t="s">
        <v>31</v>
      </c>
      <c r="F241" t="s">
        <v>72</v>
      </c>
      <c r="G241" t="s">
        <v>73</v>
      </c>
      <c r="H241" s="7">
        <v>2</v>
      </c>
      <c r="I241" s="4">
        <v>11750.38</v>
      </c>
      <c r="J241" s="23">
        <v>0.1</v>
      </c>
      <c r="K241" s="4">
        <v>10575.34</v>
      </c>
      <c r="L241" s="4">
        <v>7494.1</v>
      </c>
      <c r="M241" s="4">
        <v>3081.24</v>
      </c>
      <c r="N241" t="s">
        <v>25</v>
      </c>
      <c r="O241" s="7">
        <v>23</v>
      </c>
      <c r="P241" s="2">
        <v>45916.958333333336</v>
      </c>
      <c r="Q241" t="s">
        <v>41</v>
      </c>
      <c r="R241">
        <v>9</v>
      </c>
      <c r="S241" t="s">
        <v>42</v>
      </c>
      <c r="T241">
        <f>IF(orders[[#This Row],[Status]]="Completed",1,0)</f>
        <v>1</v>
      </c>
      <c r="U241">
        <f>IF(orders[[#This Row],[Status]]="Pending",1,0)</f>
        <v>0</v>
      </c>
      <c r="V241">
        <f>IF(orders[[#This Row],[Status]]="Delayed",1,0)</f>
        <v>0</v>
      </c>
      <c r="W241">
        <f>IF(orders[[#This Row],[Status]]="Cancelled",1,0)</f>
        <v>0</v>
      </c>
    </row>
    <row r="242" spans="1:23" x14ac:dyDescent="0.35">
      <c r="A242" t="s">
        <v>496</v>
      </c>
      <c r="B242" s="1">
        <v>45805</v>
      </c>
      <c r="C242" t="s">
        <v>310</v>
      </c>
      <c r="D242" t="s">
        <v>21</v>
      </c>
      <c r="E242" t="s">
        <v>46</v>
      </c>
      <c r="F242" t="s">
        <v>23</v>
      </c>
      <c r="G242" t="s">
        <v>24</v>
      </c>
      <c r="H242" s="7">
        <v>1</v>
      </c>
      <c r="I242" s="4">
        <v>2039.42</v>
      </c>
      <c r="J242" s="23">
        <v>0</v>
      </c>
      <c r="K242" s="4">
        <v>2039.42</v>
      </c>
      <c r="L242" s="4">
        <v>1748.63</v>
      </c>
      <c r="M242" s="4">
        <v>290.79000000000002</v>
      </c>
      <c r="N242" t="s">
        <v>25</v>
      </c>
      <c r="O242" s="7">
        <v>47</v>
      </c>
      <c r="P242" s="2">
        <v>45806.958333333336</v>
      </c>
      <c r="Q242" t="s">
        <v>74</v>
      </c>
      <c r="R242">
        <v>5</v>
      </c>
      <c r="S242" t="s">
        <v>27</v>
      </c>
      <c r="T242">
        <f>IF(orders[[#This Row],[Status]]="Completed",1,0)</f>
        <v>1</v>
      </c>
      <c r="U242">
        <f>IF(orders[[#This Row],[Status]]="Pending",1,0)</f>
        <v>0</v>
      </c>
      <c r="V242">
        <f>IF(orders[[#This Row],[Status]]="Delayed",1,0)</f>
        <v>0</v>
      </c>
      <c r="W242">
        <f>IF(orders[[#This Row],[Status]]="Cancelled",1,0)</f>
        <v>0</v>
      </c>
    </row>
    <row r="243" spans="1:23" x14ac:dyDescent="0.35">
      <c r="A243" t="s">
        <v>497</v>
      </c>
      <c r="B243" s="1">
        <v>45909</v>
      </c>
      <c r="C243" t="s">
        <v>498</v>
      </c>
      <c r="D243" t="s">
        <v>68</v>
      </c>
      <c r="E243" t="s">
        <v>22</v>
      </c>
      <c r="F243" t="s">
        <v>83</v>
      </c>
      <c r="G243" t="s">
        <v>107</v>
      </c>
      <c r="H243" s="7">
        <v>6</v>
      </c>
      <c r="I243" s="4">
        <v>7503.54</v>
      </c>
      <c r="J243" s="23">
        <v>0.05</v>
      </c>
      <c r="K243" s="4">
        <v>7128.36</v>
      </c>
      <c r="L243" s="4">
        <v>5585.79</v>
      </c>
      <c r="M243" s="4">
        <v>1542.57</v>
      </c>
      <c r="N243" t="s">
        <v>98</v>
      </c>
      <c r="O243" s="7">
        <v>12</v>
      </c>
      <c r="P243" s="2">
        <v>45909.5</v>
      </c>
      <c r="Q243" t="s">
        <v>41</v>
      </c>
      <c r="R243">
        <v>9</v>
      </c>
      <c r="S243" t="s">
        <v>42</v>
      </c>
      <c r="T243">
        <f>IF(orders[[#This Row],[Status]]="Completed",1,0)</f>
        <v>0</v>
      </c>
      <c r="U243">
        <f>IF(orders[[#This Row],[Status]]="Pending",1,0)</f>
        <v>1</v>
      </c>
      <c r="V243">
        <f>IF(orders[[#This Row],[Status]]="Delayed",1,0)</f>
        <v>0</v>
      </c>
      <c r="W243">
        <f>IF(orders[[#This Row],[Status]]="Cancelled",1,0)</f>
        <v>0</v>
      </c>
    </row>
    <row r="244" spans="1:23" x14ac:dyDescent="0.35">
      <c r="A244" t="s">
        <v>499</v>
      </c>
      <c r="B244" s="1">
        <v>46003</v>
      </c>
      <c r="C244" t="s">
        <v>426</v>
      </c>
      <c r="D244" t="s">
        <v>68</v>
      </c>
      <c r="E244" t="s">
        <v>31</v>
      </c>
      <c r="F244" t="s">
        <v>23</v>
      </c>
      <c r="G244" t="s">
        <v>110</v>
      </c>
      <c r="H244" s="7">
        <v>6</v>
      </c>
      <c r="I244" s="4">
        <v>45340.86</v>
      </c>
      <c r="J244" s="23">
        <v>0.05</v>
      </c>
      <c r="K244" s="4">
        <v>43073.82</v>
      </c>
      <c r="L244" s="4">
        <v>34321.86</v>
      </c>
      <c r="M244" s="4">
        <v>8751.9599999999991</v>
      </c>
      <c r="N244" t="s">
        <v>25</v>
      </c>
      <c r="O244" s="7">
        <v>41</v>
      </c>
      <c r="P244" s="2">
        <v>46004.708333333336</v>
      </c>
      <c r="Q244" t="s">
        <v>34</v>
      </c>
      <c r="R244">
        <v>12</v>
      </c>
      <c r="S244" t="s">
        <v>35</v>
      </c>
      <c r="T244">
        <f>IF(orders[[#This Row],[Status]]="Completed",1,0)</f>
        <v>1</v>
      </c>
      <c r="U244">
        <f>IF(orders[[#This Row],[Status]]="Pending",1,0)</f>
        <v>0</v>
      </c>
      <c r="V244">
        <f>IF(orders[[#This Row],[Status]]="Delayed",1,0)</f>
        <v>0</v>
      </c>
      <c r="W244">
        <f>IF(orders[[#This Row],[Status]]="Cancelled",1,0)</f>
        <v>0</v>
      </c>
    </row>
    <row r="245" spans="1:23" x14ac:dyDescent="0.35">
      <c r="A245" t="s">
        <v>500</v>
      </c>
      <c r="B245" s="1">
        <v>45804</v>
      </c>
      <c r="C245" t="s">
        <v>318</v>
      </c>
      <c r="D245" t="s">
        <v>51</v>
      </c>
      <c r="E245" t="s">
        <v>113</v>
      </c>
      <c r="F245" t="s">
        <v>32</v>
      </c>
      <c r="G245" t="s">
        <v>53</v>
      </c>
      <c r="H245" s="7">
        <v>7</v>
      </c>
      <c r="I245" s="4">
        <v>17125.22</v>
      </c>
      <c r="J245" s="23">
        <v>0.15</v>
      </c>
      <c r="K245" s="4">
        <v>14556.44</v>
      </c>
      <c r="L245" s="4">
        <v>8952.0400000000009</v>
      </c>
      <c r="M245" s="4">
        <v>5604.4</v>
      </c>
      <c r="N245" t="s">
        <v>85</v>
      </c>
      <c r="O245" s="7">
        <v>69</v>
      </c>
      <c r="P245" s="2">
        <v>45806.875</v>
      </c>
      <c r="Q245" t="s">
        <v>74</v>
      </c>
      <c r="R245">
        <v>5</v>
      </c>
      <c r="S245" t="s">
        <v>27</v>
      </c>
      <c r="T245">
        <f>IF(orders[[#This Row],[Status]]="Completed",1,0)</f>
        <v>0</v>
      </c>
      <c r="U245">
        <f>IF(orders[[#This Row],[Status]]="Pending",1,0)</f>
        <v>0</v>
      </c>
      <c r="V245">
        <f>IF(orders[[#This Row],[Status]]="Delayed",1,0)</f>
        <v>1</v>
      </c>
      <c r="W245">
        <f>IF(orders[[#This Row],[Status]]="Cancelled",1,0)</f>
        <v>0</v>
      </c>
    </row>
    <row r="246" spans="1:23" x14ac:dyDescent="0.35">
      <c r="A246" t="s">
        <v>501</v>
      </c>
      <c r="B246" s="1">
        <v>45805</v>
      </c>
      <c r="C246" t="s">
        <v>409</v>
      </c>
      <c r="D246" t="s">
        <v>68</v>
      </c>
      <c r="E246" t="s">
        <v>59</v>
      </c>
      <c r="F246" t="s">
        <v>32</v>
      </c>
      <c r="G246" t="s">
        <v>64</v>
      </c>
      <c r="H246" s="7">
        <v>1</v>
      </c>
      <c r="I246" s="4">
        <v>2017.17</v>
      </c>
      <c r="J246" s="23">
        <v>0.2</v>
      </c>
      <c r="K246" s="4">
        <v>1613.74</v>
      </c>
      <c r="L246" s="4">
        <v>1301.49</v>
      </c>
      <c r="M246" s="4">
        <v>312.25</v>
      </c>
      <c r="N246" t="s">
        <v>85</v>
      </c>
      <c r="O246" s="7">
        <v>58</v>
      </c>
      <c r="P246" s="2">
        <v>45807.416666666664</v>
      </c>
      <c r="Q246" t="s">
        <v>74</v>
      </c>
      <c r="R246">
        <v>5</v>
      </c>
      <c r="S246" t="s">
        <v>27</v>
      </c>
      <c r="T246">
        <f>IF(orders[[#This Row],[Status]]="Completed",1,0)</f>
        <v>0</v>
      </c>
      <c r="U246">
        <f>IF(orders[[#This Row],[Status]]="Pending",1,0)</f>
        <v>0</v>
      </c>
      <c r="V246">
        <f>IF(orders[[#This Row],[Status]]="Delayed",1,0)</f>
        <v>1</v>
      </c>
      <c r="W246">
        <f>IF(orders[[#This Row],[Status]]="Cancelled",1,0)</f>
        <v>0</v>
      </c>
    </row>
    <row r="247" spans="1:23" x14ac:dyDescent="0.35">
      <c r="A247" t="s">
        <v>502</v>
      </c>
      <c r="B247" s="1">
        <v>46009</v>
      </c>
      <c r="C247" t="s">
        <v>88</v>
      </c>
      <c r="D247" t="s">
        <v>58</v>
      </c>
      <c r="E247" t="s">
        <v>92</v>
      </c>
      <c r="F247" t="s">
        <v>39</v>
      </c>
      <c r="G247" t="s">
        <v>40</v>
      </c>
      <c r="H247" s="7">
        <v>7</v>
      </c>
      <c r="I247" s="4">
        <v>51147.32</v>
      </c>
      <c r="J247" s="23">
        <v>0.1</v>
      </c>
      <c r="K247" s="4">
        <v>46032.59</v>
      </c>
      <c r="L247" s="4">
        <v>37958.07</v>
      </c>
      <c r="M247" s="4">
        <v>8074.52</v>
      </c>
      <c r="N247" t="s">
        <v>98</v>
      </c>
      <c r="O247" s="7">
        <v>13</v>
      </c>
      <c r="P247" s="2">
        <v>46009.541666666664</v>
      </c>
      <c r="Q247" t="s">
        <v>34</v>
      </c>
      <c r="R247">
        <v>12</v>
      </c>
      <c r="S247" t="s">
        <v>35</v>
      </c>
      <c r="T247">
        <f>IF(orders[[#This Row],[Status]]="Completed",1,0)</f>
        <v>0</v>
      </c>
      <c r="U247">
        <f>IF(orders[[#This Row],[Status]]="Pending",1,0)</f>
        <v>1</v>
      </c>
      <c r="V247">
        <f>IF(orders[[#This Row],[Status]]="Delayed",1,0)</f>
        <v>0</v>
      </c>
      <c r="W247">
        <f>IF(orders[[#This Row],[Status]]="Cancelled",1,0)</f>
        <v>0</v>
      </c>
    </row>
    <row r="248" spans="1:23" x14ac:dyDescent="0.35">
      <c r="A248" t="s">
        <v>503</v>
      </c>
      <c r="B248" s="1">
        <v>45856</v>
      </c>
      <c r="C248" t="s">
        <v>504</v>
      </c>
      <c r="D248" t="s">
        <v>21</v>
      </c>
      <c r="E248" t="s">
        <v>59</v>
      </c>
      <c r="F248" t="s">
        <v>39</v>
      </c>
      <c r="G248" t="s">
        <v>47</v>
      </c>
      <c r="H248" s="7">
        <v>6</v>
      </c>
      <c r="I248" s="4">
        <v>41837.040000000001</v>
      </c>
      <c r="J248" s="23">
        <v>0.05</v>
      </c>
      <c r="K248" s="4">
        <v>39745.19</v>
      </c>
      <c r="L248" s="4">
        <v>26598.19</v>
      </c>
      <c r="M248" s="4">
        <v>13147</v>
      </c>
      <c r="N248" t="s">
        <v>48</v>
      </c>
      <c r="O248" s="7">
        <v>2</v>
      </c>
      <c r="P248" s="2">
        <v>45856.083333333336</v>
      </c>
      <c r="Q248" t="s">
        <v>60</v>
      </c>
      <c r="R248">
        <v>7</v>
      </c>
      <c r="S248" t="s">
        <v>42</v>
      </c>
      <c r="T248">
        <f>IF(orders[[#This Row],[Status]]="Completed",1,0)</f>
        <v>0</v>
      </c>
      <c r="U248">
        <f>IF(orders[[#This Row],[Status]]="Pending",1,0)</f>
        <v>0</v>
      </c>
      <c r="V248">
        <f>IF(orders[[#This Row],[Status]]="Delayed",1,0)</f>
        <v>0</v>
      </c>
      <c r="W248">
        <f>IF(orders[[#This Row],[Status]]="Cancelled",1,0)</f>
        <v>1</v>
      </c>
    </row>
    <row r="249" spans="1:23" x14ac:dyDescent="0.35">
      <c r="A249" t="s">
        <v>505</v>
      </c>
      <c r="B249" s="1">
        <v>45965</v>
      </c>
      <c r="C249" t="s">
        <v>339</v>
      </c>
      <c r="D249" t="s">
        <v>21</v>
      </c>
      <c r="E249" t="s">
        <v>92</v>
      </c>
      <c r="F249" t="s">
        <v>72</v>
      </c>
      <c r="G249" t="s">
        <v>104</v>
      </c>
      <c r="H249" s="7">
        <v>6</v>
      </c>
      <c r="I249" s="4">
        <v>23362.14</v>
      </c>
      <c r="J249" s="23">
        <v>0.05</v>
      </c>
      <c r="K249" s="4">
        <v>22194.03</v>
      </c>
      <c r="L249" s="4">
        <v>13769.39</v>
      </c>
      <c r="M249" s="4">
        <v>8424.64</v>
      </c>
      <c r="N249" t="s">
        <v>25</v>
      </c>
      <c r="O249" s="7">
        <v>44</v>
      </c>
      <c r="P249" s="2">
        <v>45966.833333333336</v>
      </c>
      <c r="Q249" t="s">
        <v>86</v>
      </c>
      <c r="R249">
        <v>11</v>
      </c>
      <c r="S249" t="s">
        <v>35</v>
      </c>
      <c r="T249">
        <f>IF(orders[[#This Row],[Status]]="Completed",1,0)</f>
        <v>1</v>
      </c>
      <c r="U249">
        <f>IF(orders[[#This Row],[Status]]="Pending",1,0)</f>
        <v>0</v>
      </c>
      <c r="V249">
        <f>IF(orders[[#This Row],[Status]]="Delayed",1,0)</f>
        <v>0</v>
      </c>
      <c r="W249">
        <f>IF(orders[[#This Row],[Status]]="Cancelled",1,0)</f>
        <v>0</v>
      </c>
    </row>
    <row r="250" spans="1:23" x14ac:dyDescent="0.35">
      <c r="A250" t="s">
        <v>506</v>
      </c>
      <c r="B250" s="1">
        <v>45785</v>
      </c>
      <c r="C250" t="s">
        <v>91</v>
      </c>
      <c r="D250" t="s">
        <v>149</v>
      </c>
      <c r="E250" t="s">
        <v>31</v>
      </c>
      <c r="F250" t="s">
        <v>23</v>
      </c>
      <c r="G250" t="s">
        <v>69</v>
      </c>
      <c r="H250" s="7">
        <v>3</v>
      </c>
      <c r="I250" s="4">
        <v>12705.42</v>
      </c>
      <c r="J250" s="23">
        <v>0.25</v>
      </c>
      <c r="K250" s="4">
        <v>9529.06</v>
      </c>
      <c r="L250" s="4">
        <v>6451.81</v>
      </c>
      <c r="M250" s="4">
        <v>3077.25</v>
      </c>
      <c r="N250" t="s">
        <v>25</v>
      </c>
      <c r="O250" s="7">
        <v>47</v>
      </c>
      <c r="P250" s="2">
        <v>45786.958333333336</v>
      </c>
      <c r="Q250" t="s">
        <v>74</v>
      </c>
      <c r="R250">
        <v>5</v>
      </c>
      <c r="S250" t="s">
        <v>27</v>
      </c>
      <c r="T250">
        <f>IF(orders[[#This Row],[Status]]="Completed",1,0)</f>
        <v>1</v>
      </c>
      <c r="U250">
        <f>IF(orders[[#This Row],[Status]]="Pending",1,0)</f>
        <v>0</v>
      </c>
      <c r="V250">
        <f>IF(orders[[#This Row],[Status]]="Delayed",1,0)</f>
        <v>0</v>
      </c>
      <c r="W250">
        <f>IF(orders[[#This Row],[Status]]="Cancelled",1,0)</f>
        <v>0</v>
      </c>
    </row>
    <row r="251" spans="1:23" x14ac:dyDescent="0.35">
      <c r="A251" t="s">
        <v>507</v>
      </c>
      <c r="B251" s="1">
        <v>45696</v>
      </c>
      <c r="C251" t="s">
        <v>249</v>
      </c>
      <c r="D251" t="s">
        <v>63</v>
      </c>
      <c r="E251" t="s">
        <v>59</v>
      </c>
      <c r="F251" t="s">
        <v>32</v>
      </c>
      <c r="G251" t="s">
        <v>64</v>
      </c>
      <c r="H251" s="7">
        <v>7</v>
      </c>
      <c r="I251" s="4">
        <v>13777.4</v>
      </c>
      <c r="J251" s="23">
        <v>0.25</v>
      </c>
      <c r="K251" s="4">
        <v>10333.049999999999</v>
      </c>
      <c r="L251" s="4">
        <v>8205.17</v>
      </c>
      <c r="M251" s="4">
        <v>2127.88</v>
      </c>
      <c r="N251" t="s">
        <v>98</v>
      </c>
      <c r="O251" s="7">
        <v>0</v>
      </c>
      <c r="P251" s="2">
        <v>45696</v>
      </c>
      <c r="Q251" t="s">
        <v>139</v>
      </c>
      <c r="R251">
        <v>2</v>
      </c>
      <c r="S251" t="s">
        <v>55</v>
      </c>
      <c r="T251">
        <f>IF(orders[[#This Row],[Status]]="Completed",1,0)</f>
        <v>0</v>
      </c>
      <c r="U251">
        <f>IF(orders[[#This Row],[Status]]="Pending",1,0)</f>
        <v>1</v>
      </c>
      <c r="V251">
        <f>IF(orders[[#This Row],[Status]]="Delayed",1,0)</f>
        <v>0</v>
      </c>
      <c r="W251">
        <f>IF(orders[[#This Row],[Status]]="Cancelled",1,0)</f>
        <v>0</v>
      </c>
    </row>
    <row r="252" spans="1:23" x14ac:dyDescent="0.35">
      <c r="A252" t="s">
        <v>508</v>
      </c>
      <c r="B252" s="1">
        <v>45995</v>
      </c>
      <c r="C252" t="s">
        <v>131</v>
      </c>
      <c r="D252" t="s">
        <v>51</v>
      </c>
      <c r="E252" t="s">
        <v>59</v>
      </c>
      <c r="F252" t="s">
        <v>39</v>
      </c>
      <c r="G252" t="s">
        <v>188</v>
      </c>
      <c r="H252" s="7">
        <v>3</v>
      </c>
      <c r="I252" s="4">
        <v>2411.46</v>
      </c>
      <c r="J252" s="23">
        <v>0.2</v>
      </c>
      <c r="K252" s="4">
        <v>1929.17</v>
      </c>
      <c r="L252" s="4">
        <v>1326.92</v>
      </c>
      <c r="M252" s="4">
        <v>602.25</v>
      </c>
      <c r="N252" t="s">
        <v>25</v>
      </c>
      <c r="O252" s="7">
        <v>4</v>
      </c>
      <c r="P252" s="2">
        <v>45995.166666666664</v>
      </c>
      <c r="Q252" t="s">
        <v>34</v>
      </c>
      <c r="R252">
        <v>12</v>
      </c>
      <c r="S252" t="s">
        <v>35</v>
      </c>
      <c r="T252">
        <f>IF(orders[[#This Row],[Status]]="Completed",1,0)</f>
        <v>1</v>
      </c>
      <c r="U252">
        <f>IF(orders[[#This Row],[Status]]="Pending",1,0)</f>
        <v>0</v>
      </c>
      <c r="V252">
        <f>IF(orders[[#This Row],[Status]]="Delayed",1,0)</f>
        <v>0</v>
      </c>
      <c r="W252">
        <f>IF(orders[[#This Row],[Status]]="Cancelled",1,0)</f>
        <v>0</v>
      </c>
    </row>
    <row r="253" spans="1:23" x14ac:dyDescent="0.35">
      <c r="A253" t="s">
        <v>509</v>
      </c>
      <c r="B253" s="1">
        <v>46017</v>
      </c>
      <c r="C253" t="s">
        <v>194</v>
      </c>
      <c r="D253" t="s">
        <v>149</v>
      </c>
      <c r="E253" t="s">
        <v>22</v>
      </c>
      <c r="F253" t="s">
        <v>23</v>
      </c>
      <c r="G253" t="s">
        <v>122</v>
      </c>
      <c r="H253" s="7">
        <v>1</v>
      </c>
      <c r="I253" s="4">
        <v>4938.16</v>
      </c>
      <c r="J253" s="23">
        <v>0.15</v>
      </c>
      <c r="K253" s="4">
        <v>4197.4399999999996</v>
      </c>
      <c r="L253" s="4">
        <v>3328.97</v>
      </c>
      <c r="M253" s="4">
        <v>868.47</v>
      </c>
      <c r="N253" t="s">
        <v>48</v>
      </c>
      <c r="O253" s="7">
        <v>9</v>
      </c>
      <c r="P253" s="2">
        <v>46017.375</v>
      </c>
      <c r="Q253" t="s">
        <v>34</v>
      </c>
      <c r="R253">
        <v>12</v>
      </c>
      <c r="S253" t="s">
        <v>35</v>
      </c>
      <c r="T253">
        <f>IF(orders[[#This Row],[Status]]="Completed",1,0)</f>
        <v>0</v>
      </c>
      <c r="U253">
        <f>IF(orders[[#This Row],[Status]]="Pending",1,0)</f>
        <v>0</v>
      </c>
      <c r="V253">
        <f>IF(orders[[#This Row],[Status]]="Delayed",1,0)</f>
        <v>0</v>
      </c>
      <c r="W253">
        <f>IF(orders[[#This Row],[Status]]="Cancelled",1,0)</f>
        <v>1</v>
      </c>
    </row>
    <row r="254" spans="1:23" x14ac:dyDescent="0.35">
      <c r="A254" t="s">
        <v>510</v>
      </c>
      <c r="B254" s="1">
        <v>45786</v>
      </c>
      <c r="C254" t="s">
        <v>493</v>
      </c>
      <c r="D254" t="s">
        <v>63</v>
      </c>
      <c r="E254" t="s">
        <v>78</v>
      </c>
      <c r="F254" t="s">
        <v>39</v>
      </c>
      <c r="G254" t="s">
        <v>188</v>
      </c>
      <c r="H254" s="7">
        <v>4</v>
      </c>
      <c r="I254" s="4">
        <v>3884.72</v>
      </c>
      <c r="J254" s="23">
        <v>0.05</v>
      </c>
      <c r="K254" s="4">
        <v>3690.48</v>
      </c>
      <c r="L254" s="4">
        <v>2168.0700000000002</v>
      </c>
      <c r="M254" s="4">
        <v>1522.41</v>
      </c>
      <c r="N254" t="s">
        <v>25</v>
      </c>
      <c r="O254" s="7">
        <v>35</v>
      </c>
      <c r="P254" s="2">
        <v>45787.458333333336</v>
      </c>
      <c r="Q254" t="s">
        <v>74</v>
      </c>
      <c r="R254">
        <v>5</v>
      </c>
      <c r="S254" t="s">
        <v>27</v>
      </c>
      <c r="T254">
        <f>IF(orders[[#This Row],[Status]]="Completed",1,0)</f>
        <v>1</v>
      </c>
      <c r="U254">
        <f>IF(orders[[#This Row],[Status]]="Pending",1,0)</f>
        <v>0</v>
      </c>
      <c r="V254">
        <f>IF(orders[[#This Row],[Status]]="Delayed",1,0)</f>
        <v>0</v>
      </c>
      <c r="W254">
        <f>IF(orders[[#This Row],[Status]]="Cancelled",1,0)</f>
        <v>0</v>
      </c>
    </row>
    <row r="255" spans="1:23" x14ac:dyDescent="0.35">
      <c r="A255" t="s">
        <v>511</v>
      </c>
      <c r="B255" s="1">
        <v>45924</v>
      </c>
      <c r="C255" t="s">
        <v>71</v>
      </c>
      <c r="D255" t="s">
        <v>68</v>
      </c>
      <c r="E255" t="s">
        <v>31</v>
      </c>
      <c r="F255" t="s">
        <v>39</v>
      </c>
      <c r="G255" t="s">
        <v>114</v>
      </c>
      <c r="H255" s="7">
        <v>2</v>
      </c>
      <c r="I255" s="4">
        <v>7802.88</v>
      </c>
      <c r="J255" s="23">
        <v>0.15</v>
      </c>
      <c r="K255" s="4">
        <v>6632.45</v>
      </c>
      <c r="L255" s="4">
        <v>5411.97</v>
      </c>
      <c r="M255" s="4">
        <v>1220.48</v>
      </c>
      <c r="N255" t="s">
        <v>25</v>
      </c>
      <c r="O255" s="7">
        <v>11</v>
      </c>
      <c r="P255" s="2">
        <v>45924.458333333336</v>
      </c>
      <c r="Q255" t="s">
        <v>41</v>
      </c>
      <c r="R255">
        <v>9</v>
      </c>
      <c r="S255" t="s">
        <v>42</v>
      </c>
      <c r="T255">
        <f>IF(orders[[#This Row],[Status]]="Completed",1,0)</f>
        <v>1</v>
      </c>
      <c r="U255">
        <f>IF(orders[[#This Row],[Status]]="Pending",1,0)</f>
        <v>0</v>
      </c>
      <c r="V255">
        <f>IF(orders[[#This Row],[Status]]="Delayed",1,0)</f>
        <v>0</v>
      </c>
      <c r="W255">
        <f>IF(orders[[#This Row],[Status]]="Cancelled",1,0)</f>
        <v>0</v>
      </c>
    </row>
    <row r="256" spans="1:23" x14ac:dyDescent="0.35">
      <c r="A256" t="s">
        <v>512</v>
      </c>
      <c r="B256" s="1">
        <v>45808</v>
      </c>
      <c r="C256" t="s">
        <v>513</v>
      </c>
      <c r="D256" t="s">
        <v>149</v>
      </c>
      <c r="E256" t="s">
        <v>59</v>
      </c>
      <c r="F256" t="s">
        <v>32</v>
      </c>
      <c r="G256" t="s">
        <v>79</v>
      </c>
      <c r="H256" s="7">
        <v>3</v>
      </c>
      <c r="I256" s="4">
        <v>24009.45</v>
      </c>
      <c r="J256" s="23">
        <v>0.05</v>
      </c>
      <c r="K256" s="4">
        <v>22808.98</v>
      </c>
      <c r="L256" s="4">
        <v>14450.82</v>
      </c>
      <c r="M256" s="4">
        <v>8358.16</v>
      </c>
      <c r="N256" t="s">
        <v>25</v>
      </c>
      <c r="O256" s="7">
        <v>36</v>
      </c>
      <c r="P256" s="2">
        <v>45809.5</v>
      </c>
      <c r="Q256" t="s">
        <v>74</v>
      </c>
      <c r="R256">
        <v>5</v>
      </c>
      <c r="S256" t="s">
        <v>27</v>
      </c>
      <c r="T256">
        <f>IF(orders[[#This Row],[Status]]="Completed",1,0)</f>
        <v>1</v>
      </c>
      <c r="U256">
        <f>IF(orders[[#This Row],[Status]]="Pending",1,0)</f>
        <v>0</v>
      </c>
      <c r="V256">
        <f>IF(orders[[#This Row],[Status]]="Delayed",1,0)</f>
        <v>0</v>
      </c>
      <c r="W256">
        <f>IF(orders[[#This Row],[Status]]="Cancelled",1,0)</f>
        <v>0</v>
      </c>
    </row>
    <row r="257" spans="1:23" x14ac:dyDescent="0.35">
      <c r="A257" t="s">
        <v>514</v>
      </c>
      <c r="B257" s="1">
        <v>45955</v>
      </c>
      <c r="C257" t="s">
        <v>515</v>
      </c>
      <c r="D257" t="s">
        <v>30</v>
      </c>
      <c r="E257" t="s">
        <v>92</v>
      </c>
      <c r="F257" t="s">
        <v>32</v>
      </c>
      <c r="G257" t="s">
        <v>79</v>
      </c>
      <c r="H257" s="7">
        <v>2</v>
      </c>
      <c r="I257" s="4">
        <v>16212.34</v>
      </c>
      <c r="J257" s="23">
        <v>0.05</v>
      </c>
      <c r="K257" s="4">
        <v>15401.72</v>
      </c>
      <c r="L257" s="4">
        <v>9736.14</v>
      </c>
      <c r="M257" s="4">
        <v>5665.58</v>
      </c>
      <c r="N257" t="s">
        <v>25</v>
      </c>
      <c r="O257" s="7">
        <v>21</v>
      </c>
      <c r="P257" s="2">
        <v>45955.875</v>
      </c>
      <c r="Q257" t="s">
        <v>116</v>
      </c>
      <c r="R257">
        <v>10</v>
      </c>
      <c r="S257" t="s">
        <v>35</v>
      </c>
      <c r="T257">
        <f>IF(orders[[#This Row],[Status]]="Completed",1,0)</f>
        <v>1</v>
      </c>
      <c r="U257">
        <f>IF(orders[[#This Row],[Status]]="Pending",1,0)</f>
        <v>0</v>
      </c>
      <c r="V257">
        <f>IF(orders[[#This Row],[Status]]="Delayed",1,0)</f>
        <v>0</v>
      </c>
      <c r="W257">
        <f>IF(orders[[#This Row],[Status]]="Cancelled",1,0)</f>
        <v>0</v>
      </c>
    </row>
    <row r="258" spans="1:23" x14ac:dyDescent="0.35">
      <c r="A258" t="s">
        <v>516</v>
      </c>
      <c r="B258" s="1">
        <v>45756</v>
      </c>
      <c r="C258" t="s">
        <v>145</v>
      </c>
      <c r="D258" t="s">
        <v>68</v>
      </c>
      <c r="E258" t="s">
        <v>46</v>
      </c>
      <c r="F258" t="s">
        <v>39</v>
      </c>
      <c r="G258" t="s">
        <v>188</v>
      </c>
      <c r="H258" s="7">
        <v>5</v>
      </c>
      <c r="I258" s="4">
        <v>10742.1</v>
      </c>
      <c r="J258" s="23">
        <v>0.15</v>
      </c>
      <c r="K258" s="4">
        <v>9130.7800000000007</v>
      </c>
      <c r="L258" s="4">
        <v>6800.84</v>
      </c>
      <c r="M258" s="4">
        <v>2329.94</v>
      </c>
      <c r="N258" t="s">
        <v>25</v>
      </c>
      <c r="O258" s="7">
        <v>48</v>
      </c>
      <c r="P258" s="2">
        <v>45758</v>
      </c>
      <c r="Q258" t="s">
        <v>26</v>
      </c>
      <c r="R258">
        <v>4</v>
      </c>
      <c r="S258" t="s">
        <v>27</v>
      </c>
      <c r="T258">
        <f>IF(orders[[#This Row],[Status]]="Completed",1,0)</f>
        <v>1</v>
      </c>
      <c r="U258">
        <f>IF(orders[[#This Row],[Status]]="Pending",1,0)</f>
        <v>0</v>
      </c>
      <c r="V258">
        <f>IF(orders[[#This Row],[Status]]="Delayed",1,0)</f>
        <v>0</v>
      </c>
      <c r="W258">
        <f>IF(orders[[#This Row],[Status]]="Cancelled",1,0)</f>
        <v>0</v>
      </c>
    </row>
    <row r="259" spans="1:23" x14ac:dyDescent="0.35">
      <c r="A259" t="s">
        <v>517</v>
      </c>
      <c r="B259" s="1">
        <v>45920</v>
      </c>
      <c r="C259" t="s">
        <v>388</v>
      </c>
      <c r="D259" t="s">
        <v>63</v>
      </c>
      <c r="E259" t="s">
        <v>59</v>
      </c>
      <c r="F259" t="s">
        <v>83</v>
      </c>
      <c r="G259" t="s">
        <v>182</v>
      </c>
      <c r="H259" s="7">
        <v>1</v>
      </c>
      <c r="I259" s="4">
        <v>5361.35</v>
      </c>
      <c r="J259" s="23">
        <v>0</v>
      </c>
      <c r="K259" s="4">
        <v>5361.35</v>
      </c>
      <c r="L259" s="4">
        <v>3072.8</v>
      </c>
      <c r="M259" s="4">
        <v>2288.5500000000002</v>
      </c>
      <c r="N259" t="s">
        <v>25</v>
      </c>
      <c r="O259" s="7">
        <v>32</v>
      </c>
      <c r="P259" s="2">
        <v>45921.333333333336</v>
      </c>
      <c r="Q259" t="s">
        <v>41</v>
      </c>
      <c r="R259">
        <v>9</v>
      </c>
      <c r="S259" t="s">
        <v>42</v>
      </c>
      <c r="T259">
        <f>IF(orders[[#This Row],[Status]]="Completed",1,0)</f>
        <v>1</v>
      </c>
      <c r="U259">
        <f>IF(orders[[#This Row],[Status]]="Pending",1,0)</f>
        <v>0</v>
      </c>
      <c r="V259">
        <f>IF(orders[[#This Row],[Status]]="Delayed",1,0)</f>
        <v>0</v>
      </c>
      <c r="W259">
        <f>IF(orders[[#This Row],[Status]]="Cancelled",1,0)</f>
        <v>0</v>
      </c>
    </row>
    <row r="260" spans="1:23" x14ac:dyDescent="0.35">
      <c r="A260" t="s">
        <v>518</v>
      </c>
      <c r="B260" s="1">
        <v>45909</v>
      </c>
      <c r="C260" t="s">
        <v>519</v>
      </c>
      <c r="D260" t="s">
        <v>51</v>
      </c>
      <c r="E260" t="s">
        <v>92</v>
      </c>
      <c r="F260" t="s">
        <v>39</v>
      </c>
      <c r="G260" t="s">
        <v>47</v>
      </c>
      <c r="H260" s="7">
        <v>4</v>
      </c>
      <c r="I260" s="4">
        <v>16434.16</v>
      </c>
      <c r="J260" s="23">
        <v>0</v>
      </c>
      <c r="K260" s="4">
        <v>16434.16</v>
      </c>
      <c r="L260" s="4">
        <v>9181.41</v>
      </c>
      <c r="M260" s="4">
        <v>7252.75</v>
      </c>
      <c r="N260" t="s">
        <v>98</v>
      </c>
      <c r="O260" s="7">
        <v>7</v>
      </c>
      <c r="P260" s="2">
        <v>45909.291666666664</v>
      </c>
      <c r="Q260" t="s">
        <v>41</v>
      </c>
      <c r="R260">
        <v>9</v>
      </c>
      <c r="S260" t="s">
        <v>42</v>
      </c>
      <c r="T260">
        <f>IF(orders[[#This Row],[Status]]="Completed",1,0)</f>
        <v>0</v>
      </c>
      <c r="U260">
        <f>IF(orders[[#This Row],[Status]]="Pending",1,0)</f>
        <v>1</v>
      </c>
      <c r="V260">
        <f>IF(orders[[#This Row],[Status]]="Delayed",1,0)</f>
        <v>0</v>
      </c>
      <c r="W260">
        <f>IF(orders[[#This Row],[Status]]="Cancelled",1,0)</f>
        <v>0</v>
      </c>
    </row>
    <row r="261" spans="1:23" x14ac:dyDescent="0.35">
      <c r="A261" t="s">
        <v>520</v>
      </c>
      <c r="B261" s="1">
        <v>45801</v>
      </c>
      <c r="C261" t="s">
        <v>143</v>
      </c>
      <c r="D261" t="s">
        <v>63</v>
      </c>
      <c r="E261" t="s">
        <v>113</v>
      </c>
      <c r="F261" t="s">
        <v>39</v>
      </c>
      <c r="G261" t="s">
        <v>114</v>
      </c>
      <c r="H261" s="7">
        <v>5</v>
      </c>
      <c r="I261" s="4">
        <v>37309.85</v>
      </c>
      <c r="J261" s="23">
        <v>0.05</v>
      </c>
      <c r="K261" s="4">
        <v>35444.36</v>
      </c>
      <c r="L261" s="4">
        <v>22547.56</v>
      </c>
      <c r="M261" s="4">
        <v>12896.8</v>
      </c>
      <c r="N261" t="s">
        <v>85</v>
      </c>
      <c r="O261" s="7">
        <v>84</v>
      </c>
      <c r="P261" s="2">
        <v>45804.5</v>
      </c>
      <c r="Q261" t="s">
        <v>74</v>
      </c>
      <c r="R261">
        <v>5</v>
      </c>
      <c r="S261" t="s">
        <v>27</v>
      </c>
      <c r="T261">
        <f>IF(orders[[#This Row],[Status]]="Completed",1,0)</f>
        <v>0</v>
      </c>
      <c r="U261">
        <f>IF(orders[[#This Row],[Status]]="Pending",1,0)</f>
        <v>0</v>
      </c>
      <c r="V261">
        <f>IF(orders[[#This Row],[Status]]="Delayed",1,0)</f>
        <v>1</v>
      </c>
      <c r="W261">
        <f>IF(orders[[#This Row],[Status]]="Cancelled",1,0)</f>
        <v>0</v>
      </c>
    </row>
    <row r="262" spans="1:23" x14ac:dyDescent="0.35">
      <c r="A262" t="s">
        <v>521</v>
      </c>
      <c r="B262" s="1">
        <v>46003</v>
      </c>
      <c r="C262" t="s">
        <v>437</v>
      </c>
      <c r="D262" t="s">
        <v>149</v>
      </c>
      <c r="E262" t="s">
        <v>59</v>
      </c>
      <c r="F262" t="s">
        <v>72</v>
      </c>
      <c r="G262" t="s">
        <v>129</v>
      </c>
      <c r="H262" s="7">
        <v>5</v>
      </c>
      <c r="I262" s="4">
        <v>12082.25</v>
      </c>
      <c r="J262" s="23">
        <v>0.05</v>
      </c>
      <c r="K262" s="4">
        <v>11478.14</v>
      </c>
      <c r="L262" s="4">
        <v>8351.06</v>
      </c>
      <c r="M262" s="4">
        <v>3127.08</v>
      </c>
      <c r="N262" t="s">
        <v>25</v>
      </c>
      <c r="O262" s="7">
        <v>8</v>
      </c>
      <c r="P262" s="2">
        <v>46003.333333333336</v>
      </c>
      <c r="Q262" t="s">
        <v>34</v>
      </c>
      <c r="R262">
        <v>12</v>
      </c>
      <c r="S262" t="s">
        <v>35</v>
      </c>
      <c r="T262">
        <f>IF(orders[[#This Row],[Status]]="Completed",1,0)</f>
        <v>1</v>
      </c>
      <c r="U262">
        <f>IF(orders[[#This Row],[Status]]="Pending",1,0)</f>
        <v>0</v>
      </c>
      <c r="V262">
        <f>IF(orders[[#This Row],[Status]]="Delayed",1,0)</f>
        <v>0</v>
      </c>
      <c r="W262">
        <f>IF(orders[[#This Row],[Status]]="Cancelled",1,0)</f>
        <v>0</v>
      </c>
    </row>
    <row r="263" spans="1:23" x14ac:dyDescent="0.35">
      <c r="A263" t="s">
        <v>522</v>
      </c>
      <c r="B263" s="1">
        <v>45769</v>
      </c>
      <c r="C263" t="s">
        <v>523</v>
      </c>
      <c r="D263" t="s">
        <v>149</v>
      </c>
      <c r="E263" t="s">
        <v>92</v>
      </c>
      <c r="F263" t="s">
        <v>72</v>
      </c>
      <c r="G263" t="s">
        <v>73</v>
      </c>
      <c r="H263" s="7">
        <v>6</v>
      </c>
      <c r="I263" s="4">
        <v>1085.52</v>
      </c>
      <c r="J263" s="23">
        <v>0.2</v>
      </c>
      <c r="K263" s="4">
        <v>868.42</v>
      </c>
      <c r="L263" s="4">
        <v>737.73</v>
      </c>
      <c r="M263" s="4">
        <v>130.69</v>
      </c>
      <c r="N263" t="s">
        <v>25</v>
      </c>
      <c r="O263" s="7">
        <v>21</v>
      </c>
      <c r="P263" s="2">
        <v>45769.875</v>
      </c>
      <c r="Q263" t="s">
        <v>26</v>
      </c>
      <c r="R263">
        <v>4</v>
      </c>
      <c r="S263" t="s">
        <v>27</v>
      </c>
      <c r="T263">
        <f>IF(orders[[#This Row],[Status]]="Completed",1,0)</f>
        <v>1</v>
      </c>
      <c r="U263">
        <f>IF(orders[[#This Row],[Status]]="Pending",1,0)</f>
        <v>0</v>
      </c>
      <c r="V263">
        <f>IF(orders[[#This Row],[Status]]="Delayed",1,0)</f>
        <v>0</v>
      </c>
      <c r="W263">
        <f>IF(orders[[#This Row],[Status]]="Cancelled",1,0)</f>
        <v>0</v>
      </c>
    </row>
    <row r="264" spans="1:23" x14ac:dyDescent="0.35">
      <c r="A264" t="s">
        <v>524</v>
      </c>
      <c r="B264" s="1">
        <v>45717</v>
      </c>
      <c r="C264" t="s">
        <v>381</v>
      </c>
      <c r="D264" t="s">
        <v>45</v>
      </c>
      <c r="E264" t="s">
        <v>46</v>
      </c>
      <c r="F264" t="s">
        <v>72</v>
      </c>
      <c r="G264" t="s">
        <v>104</v>
      </c>
      <c r="H264" s="7">
        <v>5</v>
      </c>
      <c r="I264" s="4">
        <v>7536.95</v>
      </c>
      <c r="J264" s="23">
        <v>0</v>
      </c>
      <c r="K264" s="4">
        <v>7536.95</v>
      </c>
      <c r="L264" s="4">
        <v>6250.57</v>
      </c>
      <c r="M264" s="4">
        <v>1286.3800000000001</v>
      </c>
      <c r="N264" t="s">
        <v>25</v>
      </c>
      <c r="O264" s="7">
        <v>13</v>
      </c>
      <c r="P264" s="2">
        <v>45717.541666666664</v>
      </c>
      <c r="Q264" t="s">
        <v>54</v>
      </c>
      <c r="R264">
        <v>3</v>
      </c>
      <c r="S264" t="s">
        <v>55</v>
      </c>
      <c r="T264">
        <f>IF(orders[[#This Row],[Status]]="Completed",1,0)</f>
        <v>1</v>
      </c>
      <c r="U264">
        <f>IF(orders[[#This Row],[Status]]="Pending",1,0)</f>
        <v>0</v>
      </c>
      <c r="V264">
        <f>IF(orders[[#This Row],[Status]]="Delayed",1,0)</f>
        <v>0</v>
      </c>
      <c r="W264">
        <f>IF(orders[[#This Row],[Status]]="Cancelled",1,0)</f>
        <v>0</v>
      </c>
    </row>
    <row r="265" spans="1:23" x14ac:dyDescent="0.35">
      <c r="A265" t="s">
        <v>525</v>
      </c>
      <c r="B265" s="1">
        <v>45659</v>
      </c>
      <c r="C265" t="s">
        <v>437</v>
      </c>
      <c r="D265" t="s">
        <v>51</v>
      </c>
      <c r="E265" t="s">
        <v>31</v>
      </c>
      <c r="F265" t="s">
        <v>83</v>
      </c>
      <c r="G265" t="s">
        <v>182</v>
      </c>
      <c r="H265" s="7">
        <v>1</v>
      </c>
      <c r="I265" s="4">
        <v>3068.52</v>
      </c>
      <c r="J265" s="23">
        <v>0</v>
      </c>
      <c r="K265" s="4">
        <v>3068.52</v>
      </c>
      <c r="L265" s="4">
        <v>2184.3200000000002</v>
      </c>
      <c r="M265" s="4">
        <v>884.2</v>
      </c>
      <c r="N265" t="s">
        <v>48</v>
      </c>
      <c r="O265" s="7">
        <v>9</v>
      </c>
      <c r="P265" s="2">
        <v>45659.375</v>
      </c>
      <c r="Q265" t="s">
        <v>65</v>
      </c>
      <c r="R265">
        <v>1</v>
      </c>
      <c r="S265" t="s">
        <v>55</v>
      </c>
      <c r="T265">
        <f>IF(orders[[#This Row],[Status]]="Completed",1,0)</f>
        <v>0</v>
      </c>
      <c r="U265">
        <f>IF(orders[[#This Row],[Status]]="Pending",1,0)</f>
        <v>0</v>
      </c>
      <c r="V265">
        <f>IF(orders[[#This Row],[Status]]="Delayed",1,0)</f>
        <v>0</v>
      </c>
      <c r="W265">
        <f>IF(orders[[#This Row],[Status]]="Cancelled",1,0)</f>
        <v>1</v>
      </c>
    </row>
    <row r="266" spans="1:23" x14ac:dyDescent="0.35">
      <c r="A266" t="s">
        <v>526</v>
      </c>
      <c r="B266" s="1">
        <v>45961</v>
      </c>
      <c r="C266" t="s">
        <v>399</v>
      </c>
      <c r="D266" t="s">
        <v>77</v>
      </c>
      <c r="E266" t="s">
        <v>113</v>
      </c>
      <c r="F266" t="s">
        <v>83</v>
      </c>
      <c r="G266" t="s">
        <v>182</v>
      </c>
      <c r="H266" s="7">
        <v>3</v>
      </c>
      <c r="I266" s="4">
        <v>8358.81</v>
      </c>
      <c r="J266" s="23">
        <v>0</v>
      </c>
      <c r="K266" s="4">
        <v>8358.81</v>
      </c>
      <c r="L266" s="4">
        <v>4699.55</v>
      </c>
      <c r="M266" s="4">
        <v>3659.26</v>
      </c>
      <c r="N266" t="s">
        <v>25</v>
      </c>
      <c r="O266" s="7">
        <v>36</v>
      </c>
      <c r="P266" s="2">
        <v>45962.5</v>
      </c>
      <c r="Q266" t="s">
        <v>116</v>
      </c>
      <c r="R266">
        <v>10</v>
      </c>
      <c r="S266" t="s">
        <v>35</v>
      </c>
      <c r="T266">
        <f>IF(orders[[#This Row],[Status]]="Completed",1,0)</f>
        <v>1</v>
      </c>
      <c r="U266">
        <f>IF(orders[[#This Row],[Status]]="Pending",1,0)</f>
        <v>0</v>
      </c>
      <c r="V266">
        <f>IF(orders[[#This Row],[Status]]="Delayed",1,0)</f>
        <v>0</v>
      </c>
      <c r="W266">
        <f>IF(orders[[#This Row],[Status]]="Cancelled",1,0)</f>
        <v>0</v>
      </c>
    </row>
    <row r="267" spans="1:23" x14ac:dyDescent="0.35">
      <c r="A267" t="s">
        <v>527</v>
      </c>
      <c r="B267" s="1">
        <v>45911</v>
      </c>
      <c r="C267" t="s">
        <v>267</v>
      </c>
      <c r="D267" t="s">
        <v>68</v>
      </c>
      <c r="E267" t="s">
        <v>59</v>
      </c>
      <c r="F267" t="s">
        <v>39</v>
      </c>
      <c r="G267" t="s">
        <v>188</v>
      </c>
      <c r="H267" s="7">
        <v>1</v>
      </c>
      <c r="I267" s="4">
        <v>6757.88</v>
      </c>
      <c r="J267" s="23">
        <v>0</v>
      </c>
      <c r="K267" s="4">
        <v>6757.88</v>
      </c>
      <c r="L267" s="4">
        <v>4910.5</v>
      </c>
      <c r="M267" s="4">
        <v>1847.38</v>
      </c>
      <c r="N267" t="s">
        <v>85</v>
      </c>
      <c r="O267" s="7">
        <v>66</v>
      </c>
      <c r="P267" s="2">
        <v>45913.75</v>
      </c>
      <c r="Q267" t="s">
        <v>41</v>
      </c>
      <c r="R267">
        <v>9</v>
      </c>
      <c r="S267" t="s">
        <v>42</v>
      </c>
      <c r="T267">
        <f>IF(orders[[#This Row],[Status]]="Completed",1,0)</f>
        <v>0</v>
      </c>
      <c r="U267">
        <f>IF(orders[[#This Row],[Status]]="Pending",1,0)</f>
        <v>0</v>
      </c>
      <c r="V267">
        <f>IF(orders[[#This Row],[Status]]="Delayed",1,0)</f>
        <v>1</v>
      </c>
      <c r="W267">
        <f>IF(orders[[#This Row],[Status]]="Cancelled",1,0)</f>
        <v>0</v>
      </c>
    </row>
    <row r="268" spans="1:23" x14ac:dyDescent="0.35">
      <c r="A268" t="s">
        <v>528</v>
      </c>
      <c r="B268" s="1">
        <v>45797</v>
      </c>
      <c r="C268" t="s">
        <v>173</v>
      </c>
      <c r="D268" t="s">
        <v>21</v>
      </c>
      <c r="E268" t="s">
        <v>22</v>
      </c>
      <c r="F268" t="s">
        <v>72</v>
      </c>
      <c r="G268" t="s">
        <v>104</v>
      </c>
      <c r="H268" s="7">
        <v>3</v>
      </c>
      <c r="I268" s="4">
        <v>17498.04</v>
      </c>
      <c r="J268" s="23">
        <v>0</v>
      </c>
      <c r="K268" s="4">
        <v>17498.04</v>
      </c>
      <c r="L268" s="4">
        <v>13693.66</v>
      </c>
      <c r="M268" s="4">
        <v>3804.38</v>
      </c>
      <c r="N268" t="s">
        <v>25</v>
      </c>
      <c r="O268" s="7">
        <v>43</v>
      </c>
      <c r="P268" s="2">
        <v>45798.791666666664</v>
      </c>
      <c r="Q268" t="s">
        <v>74</v>
      </c>
      <c r="R268">
        <v>5</v>
      </c>
      <c r="S268" t="s">
        <v>27</v>
      </c>
      <c r="T268">
        <f>IF(orders[[#This Row],[Status]]="Completed",1,0)</f>
        <v>1</v>
      </c>
      <c r="U268">
        <f>IF(orders[[#This Row],[Status]]="Pending",1,0)</f>
        <v>0</v>
      </c>
      <c r="V268">
        <f>IF(orders[[#This Row],[Status]]="Delayed",1,0)</f>
        <v>0</v>
      </c>
      <c r="W268">
        <f>IF(orders[[#This Row],[Status]]="Cancelled",1,0)</f>
        <v>0</v>
      </c>
    </row>
    <row r="269" spans="1:23" x14ac:dyDescent="0.35">
      <c r="A269" t="s">
        <v>529</v>
      </c>
      <c r="B269" s="1">
        <v>45694</v>
      </c>
      <c r="C269" t="s">
        <v>530</v>
      </c>
      <c r="D269" t="s">
        <v>51</v>
      </c>
      <c r="E269" t="s">
        <v>92</v>
      </c>
      <c r="F269" t="s">
        <v>83</v>
      </c>
      <c r="G269" t="s">
        <v>152</v>
      </c>
      <c r="H269" s="7">
        <v>5</v>
      </c>
      <c r="I269" s="4">
        <v>13256.5</v>
      </c>
      <c r="J269" s="23">
        <v>0.1</v>
      </c>
      <c r="K269" s="4">
        <v>11930.85</v>
      </c>
      <c r="L269" s="4">
        <v>7897.32</v>
      </c>
      <c r="M269" s="4">
        <v>4033.53</v>
      </c>
      <c r="N269" t="s">
        <v>25</v>
      </c>
      <c r="O269" s="7">
        <v>8</v>
      </c>
      <c r="P269" s="2">
        <v>45694.333333333336</v>
      </c>
      <c r="Q269" t="s">
        <v>139</v>
      </c>
      <c r="R269">
        <v>2</v>
      </c>
      <c r="S269" t="s">
        <v>55</v>
      </c>
      <c r="T269">
        <f>IF(orders[[#This Row],[Status]]="Completed",1,0)</f>
        <v>1</v>
      </c>
      <c r="U269">
        <f>IF(orders[[#This Row],[Status]]="Pending",1,0)</f>
        <v>0</v>
      </c>
      <c r="V269">
        <f>IF(orders[[#This Row],[Status]]="Delayed",1,0)</f>
        <v>0</v>
      </c>
      <c r="W269">
        <f>IF(orders[[#This Row],[Status]]="Cancelled",1,0)</f>
        <v>0</v>
      </c>
    </row>
    <row r="270" spans="1:23" x14ac:dyDescent="0.35">
      <c r="A270" t="s">
        <v>531</v>
      </c>
      <c r="B270" s="1">
        <v>45817</v>
      </c>
      <c r="C270" t="s">
        <v>532</v>
      </c>
      <c r="D270" t="s">
        <v>21</v>
      </c>
      <c r="E270" t="s">
        <v>46</v>
      </c>
      <c r="F270" t="s">
        <v>32</v>
      </c>
      <c r="G270" t="s">
        <v>89</v>
      </c>
      <c r="H270" s="7">
        <v>5</v>
      </c>
      <c r="I270" s="4">
        <v>19860.8</v>
      </c>
      <c r="J270" s="23">
        <v>0.05</v>
      </c>
      <c r="K270" s="4">
        <v>18867.759999999998</v>
      </c>
      <c r="L270" s="4">
        <v>11068.79</v>
      </c>
      <c r="M270" s="4">
        <v>7798.97</v>
      </c>
      <c r="N270" t="s">
        <v>85</v>
      </c>
      <c r="O270" s="7">
        <v>56</v>
      </c>
      <c r="P270" s="2">
        <v>45819.333333333336</v>
      </c>
      <c r="Q270" t="s">
        <v>99</v>
      </c>
      <c r="R270">
        <v>6</v>
      </c>
      <c r="S270" t="s">
        <v>27</v>
      </c>
      <c r="T270">
        <f>IF(orders[[#This Row],[Status]]="Completed",1,0)</f>
        <v>0</v>
      </c>
      <c r="U270">
        <f>IF(orders[[#This Row],[Status]]="Pending",1,0)</f>
        <v>0</v>
      </c>
      <c r="V270">
        <f>IF(orders[[#This Row],[Status]]="Delayed",1,0)</f>
        <v>1</v>
      </c>
      <c r="W270">
        <f>IF(orders[[#This Row],[Status]]="Cancelled",1,0)</f>
        <v>0</v>
      </c>
    </row>
    <row r="271" spans="1:23" x14ac:dyDescent="0.35">
      <c r="A271" t="s">
        <v>533</v>
      </c>
      <c r="B271" s="1">
        <v>45666</v>
      </c>
      <c r="C271" t="s">
        <v>184</v>
      </c>
      <c r="D271" t="s">
        <v>51</v>
      </c>
      <c r="E271" t="s">
        <v>22</v>
      </c>
      <c r="F271" t="s">
        <v>39</v>
      </c>
      <c r="G271" t="s">
        <v>93</v>
      </c>
      <c r="H271" s="7">
        <v>4</v>
      </c>
      <c r="I271" s="4">
        <v>3791.68</v>
      </c>
      <c r="J271" s="23">
        <v>0.15</v>
      </c>
      <c r="K271" s="4">
        <v>3222.93</v>
      </c>
      <c r="L271" s="4">
        <v>2068.89</v>
      </c>
      <c r="M271" s="4">
        <v>1154.04</v>
      </c>
      <c r="N271" t="s">
        <v>25</v>
      </c>
      <c r="O271" s="7">
        <v>27</v>
      </c>
      <c r="P271" s="2">
        <v>45667.125</v>
      </c>
      <c r="Q271" t="s">
        <v>65</v>
      </c>
      <c r="R271">
        <v>1</v>
      </c>
      <c r="S271" t="s">
        <v>55</v>
      </c>
      <c r="T271">
        <f>IF(orders[[#This Row],[Status]]="Completed",1,0)</f>
        <v>1</v>
      </c>
      <c r="U271">
        <f>IF(orders[[#This Row],[Status]]="Pending",1,0)</f>
        <v>0</v>
      </c>
      <c r="V271">
        <f>IF(orders[[#This Row],[Status]]="Delayed",1,0)</f>
        <v>0</v>
      </c>
      <c r="W271">
        <f>IF(orders[[#This Row],[Status]]="Cancelled",1,0)</f>
        <v>0</v>
      </c>
    </row>
    <row r="272" spans="1:23" x14ac:dyDescent="0.35">
      <c r="A272" t="s">
        <v>534</v>
      </c>
      <c r="B272" s="1">
        <v>45890</v>
      </c>
      <c r="C272" t="s">
        <v>383</v>
      </c>
      <c r="D272" t="s">
        <v>51</v>
      </c>
      <c r="E272" t="s">
        <v>59</v>
      </c>
      <c r="F272" t="s">
        <v>23</v>
      </c>
      <c r="G272" t="s">
        <v>110</v>
      </c>
      <c r="H272" s="7">
        <v>3</v>
      </c>
      <c r="I272" s="4">
        <v>22948.560000000001</v>
      </c>
      <c r="J272" s="23">
        <v>0.25</v>
      </c>
      <c r="K272" s="4">
        <v>17211.419999999998</v>
      </c>
      <c r="L272" s="4">
        <v>13848.73</v>
      </c>
      <c r="M272" s="4">
        <v>3362.69</v>
      </c>
      <c r="N272" t="s">
        <v>25</v>
      </c>
      <c r="O272" s="7">
        <v>20</v>
      </c>
      <c r="P272" s="2">
        <v>45890.833333333336</v>
      </c>
      <c r="Q272" t="s">
        <v>80</v>
      </c>
      <c r="R272">
        <v>8</v>
      </c>
      <c r="S272" t="s">
        <v>42</v>
      </c>
      <c r="T272">
        <f>IF(orders[[#This Row],[Status]]="Completed",1,0)</f>
        <v>1</v>
      </c>
      <c r="U272">
        <f>IF(orders[[#This Row],[Status]]="Pending",1,0)</f>
        <v>0</v>
      </c>
      <c r="V272">
        <f>IF(orders[[#This Row],[Status]]="Delayed",1,0)</f>
        <v>0</v>
      </c>
      <c r="W272">
        <f>IF(orders[[#This Row],[Status]]="Cancelled",1,0)</f>
        <v>0</v>
      </c>
    </row>
    <row r="273" spans="1:23" x14ac:dyDescent="0.35">
      <c r="A273" t="s">
        <v>535</v>
      </c>
      <c r="B273" s="1">
        <v>45756</v>
      </c>
      <c r="C273" t="s">
        <v>536</v>
      </c>
      <c r="D273" t="s">
        <v>63</v>
      </c>
      <c r="E273" t="s">
        <v>92</v>
      </c>
      <c r="F273" t="s">
        <v>39</v>
      </c>
      <c r="G273" t="s">
        <v>93</v>
      </c>
      <c r="H273" s="7">
        <v>5</v>
      </c>
      <c r="I273" s="4">
        <v>39804</v>
      </c>
      <c r="J273" s="23">
        <v>0.1</v>
      </c>
      <c r="K273" s="4">
        <v>35823.599999999999</v>
      </c>
      <c r="L273" s="4">
        <v>23855.31</v>
      </c>
      <c r="M273" s="4">
        <v>11968.29</v>
      </c>
      <c r="N273" t="s">
        <v>48</v>
      </c>
      <c r="O273" s="7">
        <v>19</v>
      </c>
      <c r="P273" s="2">
        <v>45756.791666666664</v>
      </c>
      <c r="Q273" t="s">
        <v>26</v>
      </c>
      <c r="R273">
        <v>4</v>
      </c>
      <c r="S273" t="s">
        <v>27</v>
      </c>
      <c r="T273">
        <f>IF(orders[[#This Row],[Status]]="Completed",1,0)</f>
        <v>0</v>
      </c>
      <c r="U273">
        <f>IF(orders[[#This Row],[Status]]="Pending",1,0)</f>
        <v>0</v>
      </c>
      <c r="V273">
        <f>IF(orders[[#This Row],[Status]]="Delayed",1,0)</f>
        <v>0</v>
      </c>
      <c r="W273">
        <f>IF(orders[[#This Row],[Status]]="Cancelled",1,0)</f>
        <v>1</v>
      </c>
    </row>
    <row r="274" spans="1:23" x14ac:dyDescent="0.35">
      <c r="A274" t="s">
        <v>537</v>
      </c>
      <c r="B274" s="1">
        <v>45804</v>
      </c>
      <c r="C274" t="s">
        <v>538</v>
      </c>
      <c r="D274" t="s">
        <v>51</v>
      </c>
      <c r="E274" t="s">
        <v>59</v>
      </c>
      <c r="F274" t="s">
        <v>23</v>
      </c>
      <c r="G274" t="s">
        <v>69</v>
      </c>
      <c r="H274" s="7">
        <v>6</v>
      </c>
      <c r="I274" s="4">
        <v>49988.160000000003</v>
      </c>
      <c r="J274" s="23">
        <v>0</v>
      </c>
      <c r="K274" s="4">
        <v>49988.160000000003</v>
      </c>
      <c r="L274" s="4">
        <v>40888.01</v>
      </c>
      <c r="M274" s="4">
        <v>9100.15</v>
      </c>
      <c r="N274" t="s">
        <v>25</v>
      </c>
      <c r="O274" s="7">
        <v>10</v>
      </c>
      <c r="P274" s="2">
        <v>45804.416666666664</v>
      </c>
      <c r="Q274" t="s">
        <v>74</v>
      </c>
      <c r="R274">
        <v>5</v>
      </c>
      <c r="S274" t="s">
        <v>27</v>
      </c>
      <c r="T274">
        <f>IF(orders[[#This Row],[Status]]="Completed",1,0)</f>
        <v>1</v>
      </c>
      <c r="U274">
        <f>IF(orders[[#This Row],[Status]]="Pending",1,0)</f>
        <v>0</v>
      </c>
      <c r="V274">
        <f>IF(orders[[#This Row],[Status]]="Delayed",1,0)</f>
        <v>0</v>
      </c>
      <c r="W274">
        <f>IF(orders[[#This Row],[Status]]="Cancelled",1,0)</f>
        <v>0</v>
      </c>
    </row>
    <row r="275" spans="1:23" x14ac:dyDescent="0.35">
      <c r="A275" t="s">
        <v>539</v>
      </c>
      <c r="B275" s="1">
        <v>45961</v>
      </c>
      <c r="C275" t="s">
        <v>231</v>
      </c>
      <c r="D275" t="s">
        <v>45</v>
      </c>
      <c r="E275" t="s">
        <v>113</v>
      </c>
      <c r="F275" t="s">
        <v>72</v>
      </c>
      <c r="G275" t="s">
        <v>146</v>
      </c>
      <c r="H275" s="7">
        <v>2</v>
      </c>
      <c r="I275" s="4">
        <v>14804.84</v>
      </c>
      <c r="J275" s="23">
        <v>0</v>
      </c>
      <c r="K275" s="4">
        <v>14804.84</v>
      </c>
      <c r="L275" s="4">
        <v>9703.7199999999993</v>
      </c>
      <c r="M275" s="4">
        <v>5101.12</v>
      </c>
      <c r="N275" t="s">
        <v>25</v>
      </c>
      <c r="O275" s="7">
        <v>20</v>
      </c>
      <c r="P275" s="2">
        <v>45961.833333333336</v>
      </c>
      <c r="Q275" t="s">
        <v>116</v>
      </c>
      <c r="R275">
        <v>10</v>
      </c>
      <c r="S275" t="s">
        <v>35</v>
      </c>
      <c r="T275">
        <f>IF(orders[[#This Row],[Status]]="Completed",1,0)</f>
        <v>1</v>
      </c>
      <c r="U275">
        <f>IF(orders[[#This Row],[Status]]="Pending",1,0)</f>
        <v>0</v>
      </c>
      <c r="V275">
        <f>IF(orders[[#This Row],[Status]]="Delayed",1,0)</f>
        <v>0</v>
      </c>
      <c r="W275">
        <f>IF(orders[[#This Row],[Status]]="Cancelled",1,0)</f>
        <v>0</v>
      </c>
    </row>
    <row r="276" spans="1:23" x14ac:dyDescent="0.35">
      <c r="A276" t="s">
        <v>540</v>
      </c>
      <c r="B276" s="1">
        <v>45865</v>
      </c>
      <c r="C276" t="s">
        <v>541</v>
      </c>
      <c r="D276" t="s">
        <v>77</v>
      </c>
      <c r="E276" t="s">
        <v>46</v>
      </c>
      <c r="F276" t="s">
        <v>23</v>
      </c>
      <c r="G276" t="s">
        <v>24</v>
      </c>
      <c r="H276" s="7">
        <v>4</v>
      </c>
      <c r="I276" s="4">
        <v>6410.28</v>
      </c>
      <c r="J276" s="23">
        <v>0.2</v>
      </c>
      <c r="K276" s="4">
        <v>5128.22</v>
      </c>
      <c r="L276" s="4">
        <v>3097.31</v>
      </c>
      <c r="M276" s="4">
        <v>2030.91</v>
      </c>
      <c r="N276" t="s">
        <v>25</v>
      </c>
      <c r="O276" s="7">
        <v>31</v>
      </c>
      <c r="P276" s="2">
        <v>45866.291666666664</v>
      </c>
      <c r="Q276" t="s">
        <v>60</v>
      </c>
      <c r="R276">
        <v>7</v>
      </c>
      <c r="S276" t="s">
        <v>42</v>
      </c>
      <c r="T276">
        <f>IF(orders[[#This Row],[Status]]="Completed",1,0)</f>
        <v>1</v>
      </c>
      <c r="U276">
        <f>IF(orders[[#This Row],[Status]]="Pending",1,0)</f>
        <v>0</v>
      </c>
      <c r="V276">
        <f>IF(orders[[#This Row],[Status]]="Delayed",1,0)</f>
        <v>0</v>
      </c>
      <c r="W276">
        <f>IF(orders[[#This Row],[Status]]="Cancelled",1,0)</f>
        <v>0</v>
      </c>
    </row>
    <row r="277" spans="1:23" x14ac:dyDescent="0.35">
      <c r="A277" t="s">
        <v>542</v>
      </c>
      <c r="B277" s="1">
        <v>45788</v>
      </c>
      <c r="C277" t="s">
        <v>368</v>
      </c>
      <c r="D277" t="s">
        <v>149</v>
      </c>
      <c r="E277" t="s">
        <v>46</v>
      </c>
      <c r="F277" t="s">
        <v>72</v>
      </c>
      <c r="G277" t="s">
        <v>119</v>
      </c>
      <c r="H277" s="7">
        <v>1</v>
      </c>
      <c r="I277" s="4">
        <v>535.74</v>
      </c>
      <c r="J277" s="23">
        <v>0.1</v>
      </c>
      <c r="K277" s="4">
        <v>482.17</v>
      </c>
      <c r="L277" s="4">
        <v>334.54</v>
      </c>
      <c r="M277" s="4">
        <v>147.63</v>
      </c>
      <c r="N277" t="s">
        <v>25</v>
      </c>
      <c r="O277" s="7">
        <v>41</v>
      </c>
      <c r="P277" s="2">
        <v>45789.708333333336</v>
      </c>
      <c r="Q277" t="s">
        <v>74</v>
      </c>
      <c r="R277">
        <v>5</v>
      </c>
      <c r="S277" t="s">
        <v>27</v>
      </c>
      <c r="T277">
        <f>IF(orders[[#This Row],[Status]]="Completed",1,0)</f>
        <v>1</v>
      </c>
      <c r="U277">
        <f>IF(orders[[#This Row],[Status]]="Pending",1,0)</f>
        <v>0</v>
      </c>
      <c r="V277">
        <f>IF(orders[[#This Row],[Status]]="Delayed",1,0)</f>
        <v>0</v>
      </c>
      <c r="W277">
        <f>IF(orders[[#This Row],[Status]]="Cancelled",1,0)</f>
        <v>0</v>
      </c>
    </row>
    <row r="278" spans="1:23" x14ac:dyDescent="0.35">
      <c r="A278" t="s">
        <v>543</v>
      </c>
      <c r="B278" s="1">
        <v>45809</v>
      </c>
      <c r="C278" t="s">
        <v>544</v>
      </c>
      <c r="D278" t="s">
        <v>38</v>
      </c>
      <c r="E278" t="s">
        <v>113</v>
      </c>
      <c r="F278" t="s">
        <v>32</v>
      </c>
      <c r="G278" t="s">
        <v>33</v>
      </c>
      <c r="H278" s="7">
        <v>4</v>
      </c>
      <c r="I278" s="4">
        <v>19958.52</v>
      </c>
      <c r="J278" s="23">
        <v>0.15</v>
      </c>
      <c r="K278" s="4">
        <v>16964.740000000002</v>
      </c>
      <c r="L278" s="4">
        <v>11862.6</v>
      </c>
      <c r="M278" s="4">
        <v>5102.1400000000003</v>
      </c>
      <c r="N278" t="s">
        <v>25</v>
      </c>
      <c r="O278" s="7">
        <v>25</v>
      </c>
      <c r="P278" s="2">
        <v>45810.041666666664</v>
      </c>
      <c r="Q278" t="s">
        <v>99</v>
      </c>
      <c r="R278">
        <v>6</v>
      </c>
      <c r="S278" t="s">
        <v>27</v>
      </c>
      <c r="T278">
        <f>IF(orders[[#This Row],[Status]]="Completed",1,0)</f>
        <v>1</v>
      </c>
      <c r="U278">
        <f>IF(orders[[#This Row],[Status]]="Pending",1,0)</f>
        <v>0</v>
      </c>
      <c r="V278">
        <f>IF(orders[[#This Row],[Status]]="Delayed",1,0)</f>
        <v>0</v>
      </c>
      <c r="W278">
        <f>IF(orders[[#This Row],[Status]]="Cancelled",1,0)</f>
        <v>0</v>
      </c>
    </row>
    <row r="279" spans="1:23" x14ac:dyDescent="0.35">
      <c r="A279" t="s">
        <v>545</v>
      </c>
      <c r="B279" s="1">
        <v>45711</v>
      </c>
      <c r="C279" t="s">
        <v>131</v>
      </c>
      <c r="D279" t="s">
        <v>21</v>
      </c>
      <c r="E279" t="s">
        <v>59</v>
      </c>
      <c r="F279" t="s">
        <v>23</v>
      </c>
      <c r="G279" t="s">
        <v>24</v>
      </c>
      <c r="H279" s="7">
        <v>2</v>
      </c>
      <c r="I279" s="4">
        <v>15540.5</v>
      </c>
      <c r="J279" s="23">
        <v>0.2</v>
      </c>
      <c r="K279" s="4">
        <v>12432.4</v>
      </c>
      <c r="L279" s="4">
        <v>6903.91</v>
      </c>
      <c r="M279" s="4">
        <v>5528.49</v>
      </c>
      <c r="N279" t="s">
        <v>98</v>
      </c>
      <c r="O279" s="7">
        <v>11</v>
      </c>
      <c r="P279" s="2">
        <v>45711.458333333336</v>
      </c>
      <c r="Q279" t="s">
        <v>139</v>
      </c>
      <c r="R279">
        <v>2</v>
      </c>
      <c r="S279" t="s">
        <v>55</v>
      </c>
      <c r="T279">
        <f>IF(orders[[#This Row],[Status]]="Completed",1,0)</f>
        <v>0</v>
      </c>
      <c r="U279">
        <f>IF(orders[[#This Row],[Status]]="Pending",1,0)</f>
        <v>1</v>
      </c>
      <c r="V279">
        <f>IF(orders[[#This Row],[Status]]="Delayed",1,0)</f>
        <v>0</v>
      </c>
      <c r="W279">
        <f>IF(orders[[#This Row],[Status]]="Cancelled",1,0)</f>
        <v>0</v>
      </c>
    </row>
    <row r="280" spans="1:23" x14ac:dyDescent="0.35">
      <c r="A280" t="s">
        <v>546</v>
      </c>
      <c r="B280" s="1">
        <v>45777</v>
      </c>
      <c r="C280" t="s">
        <v>547</v>
      </c>
      <c r="D280" t="s">
        <v>149</v>
      </c>
      <c r="E280" t="s">
        <v>59</v>
      </c>
      <c r="F280" t="s">
        <v>39</v>
      </c>
      <c r="G280" t="s">
        <v>188</v>
      </c>
      <c r="H280" s="7">
        <v>3</v>
      </c>
      <c r="I280" s="4">
        <v>4892.6400000000003</v>
      </c>
      <c r="J280" s="23">
        <v>0.2</v>
      </c>
      <c r="K280" s="4">
        <v>3914.11</v>
      </c>
      <c r="L280" s="4">
        <v>2303.94</v>
      </c>
      <c r="M280" s="4">
        <v>1610.17</v>
      </c>
      <c r="N280" t="s">
        <v>48</v>
      </c>
      <c r="O280" s="7">
        <v>22</v>
      </c>
      <c r="P280" s="2">
        <v>45777.916666666664</v>
      </c>
      <c r="Q280" t="s">
        <v>26</v>
      </c>
      <c r="R280">
        <v>4</v>
      </c>
      <c r="S280" t="s">
        <v>27</v>
      </c>
      <c r="T280">
        <f>IF(orders[[#This Row],[Status]]="Completed",1,0)</f>
        <v>0</v>
      </c>
      <c r="U280">
        <f>IF(orders[[#This Row],[Status]]="Pending",1,0)</f>
        <v>0</v>
      </c>
      <c r="V280">
        <f>IF(orders[[#This Row],[Status]]="Delayed",1,0)</f>
        <v>0</v>
      </c>
      <c r="W280">
        <f>IF(orders[[#This Row],[Status]]="Cancelled",1,0)</f>
        <v>1</v>
      </c>
    </row>
    <row r="281" spans="1:23" x14ac:dyDescent="0.35">
      <c r="A281" t="s">
        <v>548</v>
      </c>
      <c r="B281" s="1">
        <v>45818</v>
      </c>
      <c r="C281" t="s">
        <v>263</v>
      </c>
      <c r="D281" t="s">
        <v>38</v>
      </c>
      <c r="E281" t="s">
        <v>52</v>
      </c>
      <c r="F281" t="s">
        <v>72</v>
      </c>
      <c r="G281" t="s">
        <v>146</v>
      </c>
      <c r="H281" s="7">
        <v>1</v>
      </c>
      <c r="I281" s="4">
        <v>208.81</v>
      </c>
      <c r="J281" s="23">
        <v>0.2</v>
      </c>
      <c r="K281" s="4">
        <v>167.05</v>
      </c>
      <c r="L281" s="4">
        <v>102.07</v>
      </c>
      <c r="M281" s="4">
        <v>64.98</v>
      </c>
      <c r="N281" t="s">
        <v>48</v>
      </c>
      <c r="O281" s="7">
        <v>20</v>
      </c>
      <c r="P281" s="2">
        <v>45818.833333333336</v>
      </c>
      <c r="Q281" t="s">
        <v>99</v>
      </c>
      <c r="R281">
        <v>6</v>
      </c>
      <c r="S281" t="s">
        <v>27</v>
      </c>
      <c r="T281">
        <f>IF(orders[[#This Row],[Status]]="Completed",1,0)</f>
        <v>0</v>
      </c>
      <c r="U281">
        <f>IF(orders[[#This Row],[Status]]="Pending",1,0)</f>
        <v>0</v>
      </c>
      <c r="V281">
        <f>IF(orders[[#This Row],[Status]]="Delayed",1,0)</f>
        <v>0</v>
      </c>
      <c r="W281">
        <f>IF(orders[[#This Row],[Status]]="Cancelled",1,0)</f>
        <v>1</v>
      </c>
    </row>
    <row r="282" spans="1:23" x14ac:dyDescent="0.35">
      <c r="A282" t="s">
        <v>549</v>
      </c>
      <c r="B282" s="1">
        <v>45773</v>
      </c>
      <c r="C282" t="s">
        <v>97</v>
      </c>
      <c r="D282" t="s">
        <v>77</v>
      </c>
      <c r="E282" t="s">
        <v>59</v>
      </c>
      <c r="F282" t="s">
        <v>39</v>
      </c>
      <c r="G282" t="s">
        <v>40</v>
      </c>
      <c r="H282" s="7">
        <v>1</v>
      </c>
      <c r="I282" s="4">
        <v>6875.89</v>
      </c>
      <c r="J282" s="23">
        <v>0.1</v>
      </c>
      <c r="K282" s="4">
        <v>6188.3</v>
      </c>
      <c r="L282" s="4">
        <v>3635.53</v>
      </c>
      <c r="M282" s="4">
        <v>2552.77</v>
      </c>
      <c r="N282" t="s">
        <v>85</v>
      </c>
      <c r="O282" s="7">
        <v>84</v>
      </c>
      <c r="P282" s="2">
        <v>45776.5</v>
      </c>
      <c r="Q282" t="s">
        <v>26</v>
      </c>
      <c r="R282">
        <v>4</v>
      </c>
      <c r="S282" t="s">
        <v>27</v>
      </c>
      <c r="T282">
        <f>IF(orders[[#This Row],[Status]]="Completed",1,0)</f>
        <v>0</v>
      </c>
      <c r="U282">
        <f>IF(orders[[#This Row],[Status]]="Pending",1,0)</f>
        <v>0</v>
      </c>
      <c r="V282">
        <f>IF(orders[[#This Row],[Status]]="Delayed",1,0)</f>
        <v>1</v>
      </c>
      <c r="W282">
        <f>IF(orders[[#This Row],[Status]]="Cancelled",1,0)</f>
        <v>0</v>
      </c>
    </row>
    <row r="283" spans="1:23" x14ac:dyDescent="0.35">
      <c r="A283" t="s">
        <v>550</v>
      </c>
      <c r="B283" s="1">
        <v>45732</v>
      </c>
      <c r="C283" t="s">
        <v>551</v>
      </c>
      <c r="D283" t="s">
        <v>77</v>
      </c>
      <c r="E283" t="s">
        <v>46</v>
      </c>
      <c r="F283" t="s">
        <v>83</v>
      </c>
      <c r="G283" t="s">
        <v>84</v>
      </c>
      <c r="H283" s="7">
        <v>3</v>
      </c>
      <c r="I283" s="4">
        <v>2373.7199999999998</v>
      </c>
      <c r="J283" s="23">
        <v>0.05</v>
      </c>
      <c r="K283" s="4">
        <v>2255.0300000000002</v>
      </c>
      <c r="L283" s="4">
        <v>1494.42</v>
      </c>
      <c r="M283" s="4">
        <v>760.61</v>
      </c>
      <c r="N283" t="s">
        <v>25</v>
      </c>
      <c r="O283" s="7">
        <v>24</v>
      </c>
      <c r="P283" s="2">
        <v>45733</v>
      </c>
      <c r="Q283" t="s">
        <v>54</v>
      </c>
      <c r="R283">
        <v>3</v>
      </c>
      <c r="S283" t="s">
        <v>55</v>
      </c>
      <c r="T283">
        <f>IF(orders[[#This Row],[Status]]="Completed",1,0)</f>
        <v>1</v>
      </c>
      <c r="U283">
        <f>IF(orders[[#This Row],[Status]]="Pending",1,0)</f>
        <v>0</v>
      </c>
      <c r="V283">
        <f>IF(orders[[#This Row],[Status]]="Delayed",1,0)</f>
        <v>0</v>
      </c>
      <c r="W283">
        <f>IF(orders[[#This Row],[Status]]="Cancelled",1,0)</f>
        <v>0</v>
      </c>
    </row>
    <row r="284" spans="1:23" x14ac:dyDescent="0.35">
      <c r="A284" t="s">
        <v>552</v>
      </c>
      <c r="B284" s="1">
        <v>45770</v>
      </c>
      <c r="C284" t="s">
        <v>187</v>
      </c>
      <c r="D284" t="s">
        <v>21</v>
      </c>
      <c r="E284" t="s">
        <v>59</v>
      </c>
      <c r="F284" t="s">
        <v>72</v>
      </c>
      <c r="G284" t="s">
        <v>129</v>
      </c>
      <c r="H284" s="7">
        <v>7</v>
      </c>
      <c r="I284" s="4">
        <v>25231.15</v>
      </c>
      <c r="J284" s="23">
        <v>0.25</v>
      </c>
      <c r="K284" s="4">
        <v>18923.36</v>
      </c>
      <c r="L284" s="4">
        <v>16431.64</v>
      </c>
      <c r="M284" s="4">
        <v>2491.7199999999998</v>
      </c>
      <c r="N284" t="s">
        <v>98</v>
      </c>
      <c r="O284" s="7">
        <v>1</v>
      </c>
      <c r="P284" s="2">
        <v>45770.041666666664</v>
      </c>
      <c r="Q284" t="s">
        <v>26</v>
      </c>
      <c r="R284">
        <v>4</v>
      </c>
      <c r="S284" t="s">
        <v>27</v>
      </c>
      <c r="T284">
        <f>IF(orders[[#This Row],[Status]]="Completed",1,0)</f>
        <v>0</v>
      </c>
      <c r="U284">
        <f>IF(orders[[#This Row],[Status]]="Pending",1,0)</f>
        <v>1</v>
      </c>
      <c r="V284">
        <f>IF(orders[[#This Row],[Status]]="Delayed",1,0)</f>
        <v>0</v>
      </c>
      <c r="W284">
        <f>IF(orders[[#This Row],[Status]]="Cancelled",1,0)</f>
        <v>0</v>
      </c>
    </row>
    <row r="285" spans="1:23" x14ac:dyDescent="0.35">
      <c r="A285" t="s">
        <v>553</v>
      </c>
      <c r="B285" s="1">
        <v>45761</v>
      </c>
      <c r="C285" t="s">
        <v>341</v>
      </c>
      <c r="D285" t="s">
        <v>21</v>
      </c>
      <c r="E285" t="s">
        <v>22</v>
      </c>
      <c r="F285" t="s">
        <v>23</v>
      </c>
      <c r="G285" t="s">
        <v>24</v>
      </c>
      <c r="H285" s="7">
        <v>7</v>
      </c>
      <c r="I285" s="4">
        <v>40730.97</v>
      </c>
      <c r="J285" s="23">
        <v>0.1</v>
      </c>
      <c r="K285" s="4">
        <v>36657.870000000003</v>
      </c>
      <c r="L285" s="4">
        <v>26321.94</v>
      </c>
      <c r="M285" s="4">
        <v>10335.93</v>
      </c>
      <c r="N285" t="s">
        <v>85</v>
      </c>
      <c r="O285" s="7">
        <v>55</v>
      </c>
      <c r="P285" s="2">
        <v>45763.291666666664</v>
      </c>
      <c r="Q285" t="s">
        <v>26</v>
      </c>
      <c r="R285">
        <v>4</v>
      </c>
      <c r="S285" t="s">
        <v>27</v>
      </c>
      <c r="T285">
        <f>IF(orders[[#This Row],[Status]]="Completed",1,0)</f>
        <v>0</v>
      </c>
      <c r="U285">
        <f>IF(orders[[#This Row],[Status]]="Pending",1,0)</f>
        <v>0</v>
      </c>
      <c r="V285">
        <f>IF(orders[[#This Row],[Status]]="Delayed",1,0)</f>
        <v>1</v>
      </c>
      <c r="W285">
        <f>IF(orders[[#This Row],[Status]]="Cancelled",1,0)</f>
        <v>0</v>
      </c>
    </row>
    <row r="286" spans="1:23" x14ac:dyDescent="0.35">
      <c r="A286" t="s">
        <v>554</v>
      </c>
      <c r="B286" s="1">
        <v>45997</v>
      </c>
      <c r="C286" t="s">
        <v>467</v>
      </c>
      <c r="D286" t="s">
        <v>77</v>
      </c>
      <c r="E286" t="s">
        <v>22</v>
      </c>
      <c r="F286" t="s">
        <v>72</v>
      </c>
      <c r="G286" t="s">
        <v>146</v>
      </c>
      <c r="H286" s="7">
        <v>4</v>
      </c>
      <c r="I286" s="4">
        <v>8509.0400000000009</v>
      </c>
      <c r="J286" s="23">
        <v>0</v>
      </c>
      <c r="K286" s="4">
        <v>8509.0400000000009</v>
      </c>
      <c r="L286" s="4">
        <v>6442.14</v>
      </c>
      <c r="M286" s="4">
        <v>2066.9</v>
      </c>
      <c r="N286" t="s">
        <v>25</v>
      </c>
      <c r="O286" s="7">
        <v>30</v>
      </c>
      <c r="P286" s="2">
        <v>45998.25</v>
      </c>
      <c r="Q286" t="s">
        <v>34</v>
      </c>
      <c r="R286">
        <v>12</v>
      </c>
      <c r="S286" t="s">
        <v>35</v>
      </c>
      <c r="T286">
        <f>IF(orders[[#This Row],[Status]]="Completed",1,0)</f>
        <v>1</v>
      </c>
      <c r="U286">
        <f>IF(orders[[#This Row],[Status]]="Pending",1,0)</f>
        <v>0</v>
      </c>
      <c r="V286">
        <f>IF(orders[[#This Row],[Status]]="Delayed",1,0)</f>
        <v>0</v>
      </c>
      <c r="W286">
        <f>IF(orders[[#This Row],[Status]]="Cancelled",1,0)</f>
        <v>0</v>
      </c>
    </row>
    <row r="287" spans="1:23" x14ac:dyDescent="0.35">
      <c r="A287" t="s">
        <v>555</v>
      </c>
      <c r="B287" s="1">
        <v>45911</v>
      </c>
      <c r="C287" t="s">
        <v>556</v>
      </c>
      <c r="D287" t="s">
        <v>38</v>
      </c>
      <c r="E287" t="s">
        <v>113</v>
      </c>
      <c r="F287" t="s">
        <v>39</v>
      </c>
      <c r="G287" t="s">
        <v>188</v>
      </c>
      <c r="H287" s="7">
        <v>5</v>
      </c>
      <c r="I287" s="4">
        <v>4255.45</v>
      </c>
      <c r="J287" s="23">
        <v>0.1</v>
      </c>
      <c r="K287" s="4">
        <v>3829.9</v>
      </c>
      <c r="L287" s="4">
        <v>2556.87</v>
      </c>
      <c r="M287" s="4">
        <v>1273.03</v>
      </c>
      <c r="N287" t="s">
        <v>85</v>
      </c>
      <c r="O287" s="7">
        <v>93</v>
      </c>
      <c r="P287" s="2">
        <v>45914.875</v>
      </c>
      <c r="Q287" t="s">
        <v>41</v>
      </c>
      <c r="R287">
        <v>9</v>
      </c>
      <c r="S287" t="s">
        <v>42</v>
      </c>
      <c r="T287">
        <f>IF(orders[[#This Row],[Status]]="Completed",1,0)</f>
        <v>0</v>
      </c>
      <c r="U287">
        <f>IF(orders[[#This Row],[Status]]="Pending",1,0)</f>
        <v>0</v>
      </c>
      <c r="V287">
        <f>IF(orders[[#This Row],[Status]]="Delayed",1,0)</f>
        <v>1</v>
      </c>
      <c r="W287">
        <f>IF(orders[[#This Row],[Status]]="Cancelled",1,0)</f>
        <v>0</v>
      </c>
    </row>
    <row r="288" spans="1:23" x14ac:dyDescent="0.35">
      <c r="A288" t="s">
        <v>557</v>
      </c>
      <c r="B288" s="1">
        <v>45884</v>
      </c>
      <c r="C288" t="s">
        <v>375</v>
      </c>
      <c r="D288" t="s">
        <v>51</v>
      </c>
      <c r="E288" t="s">
        <v>22</v>
      </c>
      <c r="F288" t="s">
        <v>32</v>
      </c>
      <c r="G288" t="s">
        <v>64</v>
      </c>
      <c r="H288" s="7">
        <v>7</v>
      </c>
      <c r="I288" s="4">
        <v>46057.760000000002</v>
      </c>
      <c r="J288" s="23">
        <v>0.1</v>
      </c>
      <c r="K288" s="4">
        <v>41451.980000000003</v>
      </c>
      <c r="L288" s="4">
        <v>27223.63</v>
      </c>
      <c r="M288" s="4">
        <v>14228.35</v>
      </c>
      <c r="N288" t="s">
        <v>25</v>
      </c>
      <c r="O288" s="7">
        <v>24</v>
      </c>
      <c r="P288" s="2">
        <v>45885</v>
      </c>
      <c r="Q288" t="s">
        <v>80</v>
      </c>
      <c r="R288">
        <v>8</v>
      </c>
      <c r="S288" t="s">
        <v>42</v>
      </c>
      <c r="T288">
        <f>IF(orders[[#This Row],[Status]]="Completed",1,0)</f>
        <v>1</v>
      </c>
      <c r="U288">
        <f>IF(orders[[#This Row],[Status]]="Pending",1,0)</f>
        <v>0</v>
      </c>
      <c r="V288">
        <f>IF(orders[[#This Row],[Status]]="Delayed",1,0)</f>
        <v>0</v>
      </c>
      <c r="W288">
        <f>IF(orders[[#This Row],[Status]]="Cancelled",1,0)</f>
        <v>0</v>
      </c>
    </row>
    <row r="289" spans="1:23" x14ac:dyDescent="0.35">
      <c r="A289" t="s">
        <v>558</v>
      </c>
      <c r="B289" s="1">
        <v>45769</v>
      </c>
      <c r="C289" t="s">
        <v>124</v>
      </c>
      <c r="D289" t="s">
        <v>68</v>
      </c>
      <c r="E289" t="s">
        <v>59</v>
      </c>
      <c r="F289" t="s">
        <v>72</v>
      </c>
      <c r="G289" t="s">
        <v>119</v>
      </c>
      <c r="H289" s="7">
        <v>4</v>
      </c>
      <c r="I289" s="4">
        <v>21647.84</v>
      </c>
      <c r="J289" s="23">
        <v>0.2</v>
      </c>
      <c r="K289" s="4">
        <v>17318.27</v>
      </c>
      <c r="L289" s="4">
        <v>9657.33</v>
      </c>
      <c r="M289" s="4">
        <v>7660.94</v>
      </c>
      <c r="N289" t="s">
        <v>25</v>
      </c>
      <c r="O289" s="7">
        <v>7</v>
      </c>
      <c r="P289" s="2">
        <v>45769.291666666664</v>
      </c>
      <c r="Q289" t="s">
        <v>26</v>
      </c>
      <c r="R289">
        <v>4</v>
      </c>
      <c r="S289" t="s">
        <v>27</v>
      </c>
      <c r="T289">
        <f>IF(orders[[#This Row],[Status]]="Completed",1,0)</f>
        <v>1</v>
      </c>
      <c r="U289">
        <f>IF(orders[[#This Row],[Status]]="Pending",1,0)</f>
        <v>0</v>
      </c>
      <c r="V289">
        <f>IF(orders[[#This Row],[Status]]="Delayed",1,0)</f>
        <v>0</v>
      </c>
      <c r="W289">
        <f>IF(orders[[#This Row],[Status]]="Cancelled",1,0)</f>
        <v>0</v>
      </c>
    </row>
    <row r="290" spans="1:23" x14ac:dyDescent="0.35">
      <c r="A290" t="s">
        <v>559</v>
      </c>
      <c r="B290" s="1">
        <v>45756</v>
      </c>
      <c r="C290" t="s">
        <v>560</v>
      </c>
      <c r="D290" t="s">
        <v>30</v>
      </c>
      <c r="E290" t="s">
        <v>31</v>
      </c>
      <c r="F290" t="s">
        <v>23</v>
      </c>
      <c r="G290" t="s">
        <v>24</v>
      </c>
      <c r="H290" s="7">
        <v>7</v>
      </c>
      <c r="I290" s="4">
        <v>58827.3</v>
      </c>
      <c r="J290" s="23">
        <v>0.1</v>
      </c>
      <c r="K290" s="4">
        <v>52944.57</v>
      </c>
      <c r="L290" s="4">
        <v>37861.199999999997</v>
      </c>
      <c r="M290" s="4">
        <v>15083.37</v>
      </c>
      <c r="N290" t="s">
        <v>48</v>
      </c>
      <c r="O290" s="7">
        <v>22</v>
      </c>
      <c r="P290" s="2">
        <v>45756.916666666664</v>
      </c>
      <c r="Q290" t="s">
        <v>26</v>
      </c>
      <c r="R290">
        <v>4</v>
      </c>
      <c r="S290" t="s">
        <v>27</v>
      </c>
      <c r="T290">
        <f>IF(orders[[#This Row],[Status]]="Completed",1,0)</f>
        <v>0</v>
      </c>
      <c r="U290">
        <f>IF(orders[[#This Row],[Status]]="Pending",1,0)</f>
        <v>0</v>
      </c>
      <c r="V290">
        <f>IF(orders[[#This Row],[Status]]="Delayed",1,0)</f>
        <v>0</v>
      </c>
      <c r="W290">
        <f>IF(orders[[#This Row],[Status]]="Cancelled",1,0)</f>
        <v>1</v>
      </c>
    </row>
    <row r="291" spans="1:23" x14ac:dyDescent="0.35">
      <c r="A291" t="s">
        <v>561</v>
      </c>
      <c r="B291" s="1">
        <v>45810</v>
      </c>
      <c r="C291" t="s">
        <v>375</v>
      </c>
      <c r="D291" t="s">
        <v>149</v>
      </c>
      <c r="E291" t="s">
        <v>78</v>
      </c>
      <c r="F291" t="s">
        <v>83</v>
      </c>
      <c r="G291" t="s">
        <v>84</v>
      </c>
      <c r="H291" s="7">
        <v>2</v>
      </c>
      <c r="I291" s="4">
        <v>6049.94</v>
      </c>
      <c r="J291" s="23">
        <v>0.05</v>
      </c>
      <c r="K291" s="4">
        <v>5747.44</v>
      </c>
      <c r="L291" s="4">
        <v>4078.33</v>
      </c>
      <c r="M291" s="4">
        <v>1669.11</v>
      </c>
      <c r="N291" t="s">
        <v>25</v>
      </c>
      <c r="O291" s="7">
        <v>22</v>
      </c>
      <c r="P291" s="2">
        <v>45810.916666666664</v>
      </c>
      <c r="Q291" t="s">
        <v>99</v>
      </c>
      <c r="R291">
        <v>6</v>
      </c>
      <c r="S291" t="s">
        <v>27</v>
      </c>
      <c r="T291">
        <f>IF(orders[[#This Row],[Status]]="Completed",1,0)</f>
        <v>1</v>
      </c>
      <c r="U291">
        <f>IF(orders[[#This Row],[Status]]="Pending",1,0)</f>
        <v>0</v>
      </c>
      <c r="V291">
        <f>IF(orders[[#This Row],[Status]]="Delayed",1,0)</f>
        <v>0</v>
      </c>
      <c r="W291">
        <f>IF(orders[[#This Row],[Status]]="Cancelled",1,0)</f>
        <v>0</v>
      </c>
    </row>
    <row r="292" spans="1:23" x14ac:dyDescent="0.35">
      <c r="A292" t="s">
        <v>562</v>
      </c>
      <c r="B292" s="1">
        <v>46006</v>
      </c>
      <c r="C292" t="s">
        <v>523</v>
      </c>
      <c r="D292" t="s">
        <v>63</v>
      </c>
      <c r="E292" t="s">
        <v>59</v>
      </c>
      <c r="F292" t="s">
        <v>32</v>
      </c>
      <c r="G292" t="s">
        <v>33</v>
      </c>
      <c r="H292" s="7">
        <v>6</v>
      </c>
      <c r="I292" s="4">
        <v>3994.32</v>
      </c>
      <c r="J292" s="23">
        <v>0.25</v>
      </c>
      <c r="K292" s="4">
        <v>2995.74</v>
      </c>
      <c r="L292" s="4">
        <v>1803.69</v>
      </c>
      <c r="M292" s="4">
        <v>1192.05</v>
      </c>
      <c r="N292" t="s">
        <v>25</v>
      </c>
      <c r="O292" s="7">
        <v>5</v>
      </c>
      <c r="P292" s="2">
        <v>46006.208333333336</v>
      </c>
      <c r="Q292" t="s">
        <v>34</v>
      </c>
      <c r="R292">
        <v>12</v>
      </c>
      <c r="S292" t="s">
        <v>35</v>
      </c>
      <c r="T292">
        <f>IF(orders[[#This Row],[Status]]="Completed",1,0)</f>
        <v>1</v>
      </c>
      <c r="U292">
        <f>IF(orders[[#This Row],[Status]]="Pending",1,0)</f>
        <v>0</v>
      </c>
      <c r="V292">
        <f>IF(orders[[#This Row],[Status]]="Delayed",1,0)</f>
        <v>0</v>
      </c>
      <c r="W292">
        <f>IF(orders[[#This Row],[Status]]="Cancelled",1,0)</f>
        <v>0</v>
      </c>
    </row>
    <row r="293" spans="1:23" x14ac:dyDescent="0.35">
      <c r="A293" t="s">
        <v>563</v>
      </c>
      <c r="B293" s="1">
        <v>45995</v>
      </c>
      <c r="C293" t="s">
        <v>246</v>
      </c>
      <c r="D293" t="s">
        <v>149</v>
      </c>
      <c r="E293" t="s">
        <v>78</v>
      </c>
      <c r="F293" t="s">
        <v>83</v>
      </c>
      <c r="G293" t="s">
        <v>155</v>
      </c>
      <c r="H293" s="7">
        <v>5</v>
      </c>
      <c r="I293" s="4">
        <v>31409.1</v>
      </c>
      <c r="J293" s="23">
        <v>0.15</v>
      </c>
      <c r="K293" s="4">
        <v>26697.73</v>
      </c>
      <c r="L293" s="4">
        <v>21417.64</v>
      </c>
      <c r="M293" s="4">
        <v>5280.09</v>
      </c>
      <c r="N293" t="s">
        <v>85</v>
      </c>
      <c r="O293" s="7">
        <v>94</v>
      </c>
      <c r="P293" s="2">
        <v>45998.916666666664</v>
      </c>
      <c r="Q293" t="s">
        <v>34</v>
      </c>
      <c r="R293">
        <v>12</v>
      </c>
      <c r="S293" t="s">
        <v>35</v>
      </c>
      <c r="T293">
        <f>IF(orders[[#This Row],[Status]]="Completed",1,0)</f>
        <v>0</v>
      </c>
      <c r="U293">
        <f>IF(orders[[#This Row],[Status]]="Pending",1,0)</f>
        <v>0</v>
      </c>
      <c r="V293">
        <f>IF(orders[[#This Row],[Status]]="Delayed",1,0)</f>
        <v>1</v>
      </c>
      <c r="W293">
        <f>IF(orders[[#This Row],[Status]]="Cancelled",1,0)</f>
        <v>0</v>
      </c>
    </row>
    <row r="294" spans="1:23" x14ac:dyDescent="0.35">
      <c r="A294" t="s">
        <v>564</v>
      </c>
      <c r="B294" s="1">
        <v>45851</v>
      </c>
      <c r="C294" t="s">
        <v>565</v>
      </c>
      <c r="D294" t="s">
        <v>63</v>
      </c>
      <c r="E294" t="s">
        <v>46</v>
      </c>
      <c r="F294" t="s">
        <v>72</v>
      </c>
      <c r="G294" t="s">
        <v>104</v>
      </c>
      <c r="H294" s="7">
        <v>4</v>
      </c>
      <c r="I294" s="4">
        <v>18025.88</v>
      </c>
      <c r="J294" s="23">
        <v>0.1</v>
      </c>
      <c r="K294" s="4">
        <v>16223.29</v>
      </c>
      <c r="L294" s="4">
        <v>11560.43</v>
      </c>
      <c r="M294" s="4">
        <v>4662.8599999999997</v>
      </c>
      <c r="N294" t="s">
        <v>25</v>
      </c>
      <c r="O294" s="7">
        <v>37</v>
      </c>
      <c r="P294" s="2">
        <v>45852.541666666664</v>
      </c>
      <c r="Q294" t="s">
        <v>60</v>
      </c>
      <c r="R294">
        <v>7</v>
      </c>
      <c r="S294" t="s">
        <v>42</v>
      </c>
      <c r="T294">
        <f>IF(orders[[#This Row],[Status]]="Completed",1,0)</f>
        <v>1</v>
      </c>
      <c r="U294">
        <f>IF(orders[[#This Row],[Status]]="Pending",1,0)</f>
        <v>0</v>
      </c>
      <c r="V294">
        <f>IF(orders[[#This Row],[Status]]="Delayed",1,0)</f>
        <v>0</v>
      </c>
      <c r="W294">
        <f>IF(orders[[#This Row],[Status]]="Cancelled",1,0)</f>
        <v>0</v>
      </c>
    </row>
    <row r="295" spans="1:23" x14ac:dyDescent="0.35">
      <c r="A295" t="s">
        <v>566</v>
      </c>
      <c r="B295" s="1">
        <v>45967</v>
      </c>
      <c r="C295" t="s">
        <v>95</v>
      </c>
      <c r="D295" t="s">
        <v>38</v>
      </c>
      <c r="E295" t="s">
        <v>52</v>
      </c>
      <c r="F295" t="s">
        <v>39</v>
      </c>
      <c r="G295" t="s">
        <v>47</v>
      </c>
      <c r="H295" s="7">
        <v>6</v>
      </c>
      <c r="I295" s="4">
        <v>11581.5</v>
      </c>
      <c r="J295" s="23">
        <v>0.05</v>
      </c>
      <c r="K295" s="4">
        <v>11002.42</v>
      </c>
      <c r="L295" s="4">
        <v>7282.15</v>
      </c>
      <c r="M295" s="4">
        <v>3720.27</v>
      </c>
      <c r="N295" t="s">
        <v>25</v>
      </c>
      <c r="O295" s="7">
        <v>17</v>
      </c>
      <c r="P295" s="2">
        <v>45967.708333333336</v>
      </c>
      <c r="Q295" t="s">
        <v>86</v>
      </c>
      <c r="R295">
        <v>11</v>
      </c>
      <c r="S295" t="s">
        <v>35</v>
      </c>
      <c r="T295">
        <f>IF(orders[[#This Row],[Status]]="Completed",1,0)</f>
        <v>1</v>
      </c>
      <c r="U295">
        <f>IF(orders[[#This Row],[Status]]="Pending",1,0)</f>
        <v>0</v>
      </c>
      <c r="V295">
        <f>IF(orders[[#This Row],[Status]]="Delayed",1,0)</f>
        <v>0</v>
      </c>
      <c r="W295">
        <f>IF(orders[[#This Row],[Status]]="Cancelled",1,0)</f>
        <v>0</v>
      </c>
    </row>
    <row r="296" spans="1:23" x14ac:dyDescent="0.35">
      <c r="A296" t="s">
        <v>567</v>
      </c>
      <c r="B296" s="1">
        <v>45820</v>
      </c>
      <c r="C296" t="s">
        <v>568</v>
      </c>
      <c r="D296" t="s">
        <v>63</v>
      </c>
      <c r="E296" t="s">
        <v>92</v>
      </c>
      <c r="F296" t="s">
        <v>39</v>
      </c>
      <c r="G296" t="s">
        <v>40</v>
      </c>
      <c r="H296" s="7">
        <v>6</v>
      </c>
      <c r="I296" s="4">
        <v>40064.639999999999</v>
      </c>
      <c r="J296" s="23">
        <v>0.05</v>
      </c>
      <c r="K296" s="4">
        <v>38061.410000000003</v>
      </c>
      <c r="L296" s="4">
        <v>22778.99</v>
      </c>
      <c r="M296" s="4">
        <v>15282.42</v>
      </c>
      <c r="N296" t="s">
        <v>25</v>
      </c>
      <c r="O296" s="7">
        <v>18</v>
      </c>
      <c r="P296" s="2">
        <v>45820.75</v>
      </c>
      <c r="Q296" t="s">
        <v>99</v>
      </c>
      <c r="R296">
        <v>6</v>
      </c>
      <c r="S296" t="s">
        <v>27</v>
      </c>
      <c r="T296">
        <f>IF(orders[[#This Row],[Status]]="Completed",1,0)</f>
        <v>1</v>
      </c>
      <c r="U296">
        <f>IF(orders[[#This Row],[Status]]="Pending",1,0)</f>
        <v>0</v>
      </c>
      <c r="V296">
        <f>IF(orders[[#This Row],[Status]]="Delayed",1,0)</f>
        <v>0</v>
      </c>
      <c r="W296">
        <f>IF(orders[[#This Row],[Status]]="Cancelled",1,0)</f>
        <v>0</v>
      </c>
    </row>
    <row r="297" spans="1:23" x14ac:dyDescent="0.35">
      <c r="A297" t="s">
        <v>569</v>
      </c>
      <c r="B297" s="1">
        <v>45865</v>
      </c>
      <c r="C297" t="s">
        <v>570</v>
      </c>
      <c r="D297" t="s">
        <v>21</v>
      </c>
      <c r="E297" t="s">
        <v>46</v>
      </c>
      <c r="F297" t="s">
        <v>23</v>
      </c>
      <c r="G297" t="s">
        <v>136</v>
      </c>
      <c r="H297" s="7">
        <v>7</v>
      </c>
      <c r="I297" s="4">
        <v>12959.52</v>
      </c>
      <c r="J297" s="23">
        <v>0.1</v>
      </c>
      <c r="K297" s="4">
        <v>11663.57</v>
      </c>
      <c r="L297" s="4">
        <v>8540.2199999999993</v>
      </c>
      <c r="M297" s="4">
        <v>3123.35</v>
      </c>
      <c r="N297" t="s">
        <v>85</v>
      </c>
      <c r="O297" s="7">
        <v>81</v>
      </c>
      <c r="P297" s="2">
        <v>45868.375</v>
      </c>
      <c r="Q297" t="s">
        <v>60</v>
      </c>
      <c r="R297">
        <v>7</v>
      </c>
      <c r="S297" t="s">
        <v>42</v>
      </c>
      <c r="T297">
        <f>IF(orders[[#This Row],[Status]]="Completed",1,0)</f>
        <v>0</v>
      </c>
      <c r="U297">
        <f>IF(orders[[#This Row],[Status]]="Pending",1,0)</f>
        <v>0</v>
      </c>
      <c r="V297">
        <f>IF(orders[[#This Row],[Status]]="Delayed",1,0)</f>
        <v>1</v>
      </c>
      <c r="W297">
        <f>IF(orders[[#This Row],[Status]]="Cancelled",1,0)</f>
        <v>0</v>
      </c>
    </row>
    <row r="298" spans="1:23" x14ac:dyDescent="0.35">
      <c r="A298" t="s">
        <v>571</v>
      </c>
      <c r="B298" s="1">
        <v>45826</v>
      </c>
      <c r="C298" t="s">
        <v>406</v>
      </c>
      <c r="D298" t="s">
        <v>68</v>
      </c>
      <c r="E298" t="s">
        <v>78</v>
      </c>
      <c r="F298" t="s">
        <v>39</v>
      </c>
      <c r="G298" t="s">
        <v>40</v>
      </c>
      <c r="H298" s="7">
        <v>3</v>
      </c>
      <c r="I298" s="4">
        <v>6979.56</v>
      </c>
      <c r="J298" s="23">
        <v>0</v>
      </c>
      <c r="K298" s="4">
        <v>6979.56</v>
      </c>
      <c r="L298" s="4">
        <v>5572.69</v>
      </c>
      <c r="M298" s="4">
        <v>1406.87</v>
      </c>
      <c r="N298" t="s">
        <v>48</v>
      </c>
      <c r="O298" s="7">
        <v>0</v>
      </c>
      <c r="P298" s="2">
        <v>45826</v>
      </c>
      <c r="Q298" t="s">
        <v>99</v>
      </c>
      <c r="R298">
        <v>6</v>
      </c>
      <c r="S298" t="s">
        <v>27</v>
      </c>
      <c r="T298">
        <f>IF(orders[[#This Row],[Status]]="Completed",1,0)</f>
        <v>0</v>
      </c>
      <c r="U298">
        <f>IF(orders[[#This Row],[Status]]="Pending",1,0)</f>
        <v>0</v>
      </c>
      <c r="V298">
        <f>IF(orders[[#This Row],[Status]]="Delayed",1,0)</f>
        <v>0</v>
      </c>
      <c r="W298">
        <f>IF(orders[[#This Row],[Status]]="Cancelled",1,0)</f>
        <v>1</v>
      </c>
    </row>
    <row r="299" spans="1:23" x14ac:dyDescent="0.35">
      <c r="A299" t="s">
        <v>572</v>
      </c>
      <c r="B299" s="1">
        <v>45818</v>
      </c>
      <c r="C299" t="s">
        <v>332</v>
      </c>
      <c r="D299" t="s">
        <v>68</v>
      </c>
      <c r="E299" t="s">
        <v>113</v>
      </c>
      <c r="F299" t="s">
        <v>32</v>
      </c>
      <c r="G299" t="s">
        <v>89</v>
      </c>
      <c r="H299" s="7">
        <v>2</v>
      </c>
      <c r="I299" s="4">
        <v>1845.22</v>
      </c>
      <c r="J299" s="23">
        <v>0.05</v>
      </c>
      <c r="K299" s="4">
        <v>1752.96</v>
      </c>
      <c r="L299" s="4">
        <v>1127.26</v>
      </c>
      <c r="M299" s="4">
        <v>625.70000000000005</v>
      </c>
      <c r="N299" t="s">
        <v>85</v>
      </c>
      <c r="O299" s="7">
        <v>87</v>
      </c>
      <c r="P299" s="2">
        <v>45821.625</v>
      </c>
      <c r="Q299" t="s">
        <v>99</v>
      </c>
      <c r="R299">
        <v>6</v>
      </c>
      <c r="S299" t="s">
        <v>27</v>
      </c>
      <c r="T299">
        <f>IF(orders[[#This Row],[Status]]="Completed",1,0)</f>
        <v>0</v>
      </c>
      <c r="U299">
        <f>IF(orders[[#This Row],[Status]]="Pending",1,0)</f>
        <v>0</v>
      </c>
      <c r="V299">
        <f>IF(orders[[#This Row],[Status]]="Delayed",1,0)</f>
        <v>1</v>
      </c>
      <c r="W299">
        <f>IF(orders[[#This Row],[Status]]="Cancelled",1,0)</f>
        <v>0</v>
      </c>
    </row>
    <row r="300" spans="1:23" x14ac:dyDescent="0.35">
      <c r="A300" t="s">
        <v>573</v>
      </c>
      <c r="B300" s="1">
        <v>45725</v>
      </c>
      <c r="C300" t="s">
        <v>343</v>
      </c>
      <c r="D300" t="s">
        <v>21</v>
      </c>
      <c r="E300" t="s">
        <v>22</v>
      </c>
      <c r="F300" t="s">
        <v>39</v>
      </c>
      <c r="G300" t="s">
        <v>188</v>
      </c>
      <c r="H300" s="7">
        <v>2</v>
      </c>
      <c r="I300" s="4">
        <v>6970.52</v>
      </c>
      <c r="J300" s="23">
        <v>0.15</v>
      </c>
      <c r="K300" s="4">
        <v>5924.94</v>
      </c>
      <c r="L300" s="4">
        <v>3686.51</v>
      </c>
      <c r="M300" s="4">
        <v>2238.4299999999998</v>
      </c>
      <c r="N300" t="s">
        <v>25</v>
      </c>
      <c r="O300" s="7">
        <v>22</v>
      </c>
      <c r="P300" s="2">
        <v>45725.916666666664</v>
      </c>
      <c r="Q300" t="s">
        <v>54</v>
      </c>
      <c r="R300">
        <v>3</v>
      </c>
      <c r="S300" t="s">
        <v>55</v>
      </c>
      <c r="T300">
        <f>IF(orders[[#This Row],[Status]]="Completed",1,0)</f>
        <v>1</v>
      </c>
      <c r="U300">
        <f>IF(orders[[#This Row],[Status]]="Pending",1,0)</f>
        <v>0</v>
      </c>
      <c r="V300">
        <f>IF(orders[[#This Row],[Status]]="Delayed",1,0)</f>
        <v>0</v>
      </c>
      <c r="W300">
        <f>IF(orders[[#This Row],[Status]]="Cancelled",1,0)</f>
        <v>0</v>
      </c>
    </row>
    <row r="301" spans="1:23" x14ac:dyDescent="0.35">
      <c r="A301" t="s">
        <v>574</v>
      </c>
      <c r="B301" s="1">
        <v>45946</v>
      </c>
      <c r="C301" t="s">
        <v>575</v>
      </c>
      <c r="D301" t="s">
        <v>45</v>
      </c>
      <c r="E301" t="s">
        <v>31</v>
      </c>
      <c r="F301" t="s">
        <v>23</v>
      </c>
      <c r="G301" t="s">
        <v>110</v>
      </c>
      <c r="H301" s="7">
        <v>2</v>
      </c>
      <c r="I301" s="4">
        <v>7296.12</v>
      </c>
      <c r="J301" s="23">
        <v>0.1</v>
      </c>
      <c r="K301" s="4">
        <v>6566.51</v>
      </c>
      <c r="L301" s="4">
        <v>4742.59</v>
      </c>
      <c r="M301" s="4">
        <v>1823.92</v>
      </c>
      <c r="N301" t="s">
        <v>25</v>
      </c>
      <c r="O301" s="7">
        <v>12</v>
      </c>
      <c r="P301" s="2">
        <v>45946.5</v>
      </c>
      <c r="Q301" t="s">
        <v>116</v>
      </c>
      <c r="R301">
        <v>10</v>
      </c>
      <c r="S301" t="s">
        <v>35</v>
      </c>
      <c r="T301">
        <f>IF(orders[[#This Row],[Status]]="Completed",1,0)</f>
        <v>1</v>
      </c>
      <c r="U301">
        <f>IF(orders[[#This Row],[Status]]="Pending",1,0)</f>
        <v>0</v>
      </c>
      <c r="V301">
        <f>IF(orders[[#This Row],[Status]]="Delayed",1,0)</f>
        <v>0</v>
      </c>
      <c r="W301">
        <f>IF(orders[[#This Row],[Status]]="Cancelled",1,0)</f>
        <v>0</v>
      </c>
    </row>
    <row r="302" spans="1:23" x14ac:dyDescent="0.35">
      <c r="A302" t="s">
        <v>576</v>
      </c>
      <c r="B302" s="1">
        <v>45934</v>
      </c>
      <c r="C302" t="s">
        <v>242</v>
      </c>
      <c r="D302" t="s">
        <v>38</v>
      </c>
      <c r="E302" t="s">
        <v>46</v>
      </c>
      <c r="F302" t="s">
        <v>72</v>
      </c>
      <c r="G302" t="s">
        <v>73</v>
      </c>
      <c r="H302" s="7">
        <v>5</v>
      </c>
      <c r="I302" s="4">
        <v>22232.95</v>
      </c>
      <c r="J302" s="23">
        <v>0.05</v>
      </c>
      <c r="K302" s="4">
        <v>21121.3</v>
      </c>
      <c r="L302" s="4">
        <v>12699.46</v>
      </c>
      <c r="M302" s="4">
        <v>8421.84</v>
      </c>
      <c r="N302" t="s">
        <v>25</v>
      </c>
      <c r="O302" s="7">
        <v>10</v>
      </c>
      <c r="P302" s="2">
        <v>45934.416666666664</v>
      </c>
      <c r="Q302" t="s">
        <v>116</v>
      </c>
      <c r="R302">
        <v>10</v>
      </c>
      <c r="S302" t="s">
        <v>35</v>
      </c>
      <c r="T302">
        <f>IF(orders[[#This Row],[Status]]="Completed",1,0)</f>
        <v>1</v>
      </c>
      <c r="U302">
        <f>IF(orders[[#This Row],[Status]]="Pending",1,0)</f>
        <v>0</v>
      </c>
      <c r="V302">
        <f>IF(orders[[#This Row],[Status]]="Delayed",1,0)</f>
        <v>0</v>
      </c>
      <c r="W302">
        <f>IF(orders[[#This Row],[Status]]="Cancelled",1,0)</f>
        <v>0</v>
      </c>
    </row>
    <row r="303" spans="1:23" x14ac:dyDescent="0.35">
      <c r="A303" t="s">
        <v>577</v>
      </c>
      <c r="B303" s="1">
        <v>45961</v>
      </c>
      <c r="C303" t="s">
        <v>578</v>
      </c>
      <c r="D303" t="s">
        <v>45</v>
      </c>
      <c r="E303" t="s">
        <v>92</v>
      </c>
      <c r="F303" t="s">
        <v>72</v>
      </c>
      <c r="G303" t="s">
        <v>73</v>
      </c>
      <c r="H303" s="7">
        <v>1</v>
      </c>
      <c r="I303" s="4">
        <v>6069.85</v>
      </c>
      <c r="J303" s="23">
        <v>0</v>
      </c>
      <c r="K303" s="4">
        <v>6069.85</v>
      </c>
      <c r="L303" s="4">
        <v>4673.68</v>
      </c>
      <c r="M303" s="4">
        <v>1396.17</v>
      </c>
      <c r="N303" t="s">
        <v>85</v>
      </c>
      <c r="O303" s="7">
        <v>91</v>
      </c>
      <c r="P303" s="2">
        <v>45964.791666666664</v>
      </c>
      <c r="Q303" t="s">
        <v>116</v>
      </c>
      <c r="R303">
        <v>10</v>
      </c>
      <c r="S303" t="s">
        <v>35</v>
      </c>
      <c r="T303">
        <f>IF(orders[[#This Row],[Status]]="Completed",1,0)</f>
        <v>0</v>
      </c>
      <c r="U303">
        <f>IF(orders[[#This Row],[Status]]="Pending",1,0)</f>
        <v>0</v>
      </c>
      <c r="V303">
        <f>IF(orders[[#This Row],[Status]]="Delayed",1,0)</f>
        <v>1</v>
      </c>
      <c r="W303">
        <f>IF(orders[[#This Row],[Status]]="Cancelled",1,0)</f>
        <v>0</v>
      </c>
    </row>
    <row r="304" spans="1:23" x14ac:dyDescent="0.35">
      <c r="A304" t="s">
        <v>579</v>
      </c>
      <c r="B304" s="1">
        <v>45792</v>
      </c>
      <c r="C304" t="s">
        <v>580</v>
      </c>
      <c r="D304" t="s">
        <v>45</v>
      </c>
      <c r="E304" t="s">
        <v>31</v>
      </c>
      <c r="F304" t="s">
        <v>39</v>
      </c>
      <c r="G304" t="s">
        <v>114</v>
      </c>
      <c r="H304" s="7">
        <v>5</v>
      </c>
      <c r="I304" s="4">
        <v>38579.699999999997</v>
      </c>
      <c r="J304" s="23">
        <v>0.05</v>
      </c>
      <c r="K304" s="4">
        <v>36650.71</v>
      </c>
      <c r="L304" s="4">
        <v>27479.360000000001</v>
      </c>
      <c r="M304" s="4">
        <v>9171.35</v>
      </c>
      <c r="N304" t="s">
        <v>25</v>
      </c>
      <c r="O304" s="7">
        <v>16</v>
      </c>
      <c r="P304" s="2">
        <v>45792.666666666664</v>
      </c>
      <c r="Q304" t="s">
        <v>74</v>
      </c>
      <c r="R304">
        <v>5</v>
      </c>
      <c r="S304" t="s">
        <v>27</v>
      </c>
      <c r="T304">
        <f>IF(orders[[#This Row],[Status]]="Completed",1,0)</f>
        <v>1</v>
      </c>
      <c r="U304">
        <f>IF(orders[[#This Row],[Status]]="Pending",1,0)</f>
        <v>0</v>
      </c>
      <c r="V304">
        <f>IF(orders[[#This Row],[Status]]="Delayed",1,0)</f>
        <v>0</v>
      </c>
      <c r="W304">
        <f>IF(orders[[#This Row],[Status]]="Cancelled",1,0)</f>
        <v>0</v>
      </c>
    </row>
    <row r="305" spans="1:23" x14ac:dyDescent="0.35">
      <c r="A305" t="s">
        <v>581</v>
      </c>
      <c r="B305" s="1">
        <v>45852</v>
      </c>
      <c r="C305" t="s">
        <v>106</v>
      </c>
      <c r="D305" t="s">
        <v>149</v>
      </c>
      <c r="E305" t="s">
        <v>113</v>
      </c>
      <c r="F305" t="s">
        <v>83</v>
      </c>
      <c r="G305" t="s">
        <v>107</v>
      </c>
      <c r="H305" s="7">
        <v>4</v>
      </c>
      <c r="I305" s="4">
        <v>5200.32</v>
      </c>
      <c r="J305" s="23">
        <v>0.15</v>
      </c>
      <c r="K305" s="4">
        <v>4420.2700000000004</v>
      </c>
      <c r="L305" s="4">
        <v>2558.17</v>
      </c>
      <c r="M305" s="4">
        <v>1862.1</v>
      </c>
      <c r="N305" t="s">
        <v>85</v>
      </c>
      <c r="O305" s="7">
        <v>67</v>
      </c>
      <c r="P305" s="2">
        <v>45854.791666666664</v>
      </c>
      <c r="Q305" t="s">
        <v>60</v>
      </c>
      <c r="R305">
        <v>7</v>
      </c>
      <c r="S305" t="s">
        <v>42</v>
      </c>
      <c r="T305">
        <f>IF(orders[[#This Row],[Status]]="Completed",1,0)</f>
        <v>0</v>
      </c>
      <c r="U305">
        <f>IF(orders[[#This Row],[Status]]="Pending",1,0)</f>
        <v>0</v>
      </c>
      <c r="V305">
        <f>IF(orders[[#This Row],[Status]]="Delayed",1,0)</f>
        <v>1</v>
      </c>
      <c r="W305">
        <f>IF(orders[[#This Row],[Status]]="Cancelled",1,0)</f>
        <v>0</v>
      </c>
    </row>
    <row r="306" spans="1:23" x14ac:dyDescent="0.35">
      <c r="A306" t="s">
        <v>582</v>
      </c>
      <c r="B306" s="1">
        <v>45785</v>
      </c>
      <c r="C306" t="s">
        <v>583</v>
      </c>
      <c r="D306" t="s">
        <v>77</v>
      </c>
      <c r="E306" t="s">
        <v>22</v>
      </c>
      <c r="F306" t="s">
        <v>72</v>
      </c>
      <c r="G306" t="s">
        <v>73</v>
      </c>
      <c r="H306" s="7">
        <v>6</v>
      </c>
      <c r="I306" s="4">
        <v>3622.86</v>
      </c>
      <c r="J306" s="23">
        <v>0.05</v>
      </c>
      <c r="K306" s="4">
        <v>3441.72</v>
      </c>
      <c r="L306" s="4">
        <v>1934.42</v>
      </c>
      <c r="M306" s="4">
        <v>1507.3</v>
      </c>
      <c r="N306" t="s">
        <v>25</v>
      </c>
      <c r="O306" s="7">
        <v>47</v>
      </c>
      <c r="P306" s="2">
        <v>45786.958333333336</v>
      </c>
      <c r="Q306" t="s">
        <v>74</v>
      </c>
      <c r="R306">
        <v>5</v>
      </c>
      <c r="S306" t="s">
        <v>27</v>
      </c>
      <c r="T306">
        <f>IF(orders[[#This Row],[Status]]="Completed",1,0)</f>
        <v>1</v>
      </c>
      <c r="U306">
        <f>IF(orders[[#This Row],[Status]]="Pending",1,0)</f>
        <v>0</v>
      </c>
      <c r="V306">
        <f>IF(orders[[#This Row],[Status]]="Delayed",1,0)</f>
        <v>0</v>
      </c>
      <c r="W306">
        <f>IF(orders[[#This Row],[Status]]="Cancelled",1,0)</f>
        <v>0</v>
      </c>
    </row>
    <row r="307" spans="1:23" x14ac:dyDescent="0.35">
      <c r="A307" t="s">
        <v>584</v>
      </c>
      <c r="B307" s="1">
        <v>45690</v>
      </c>
      <c r="C307" t="s">
        <v>50</v>
      </c>
      <c r="D307" t="s">
        <v>149</v>
      </c>
      <c r="E307" t="s">
        <v>52</v>
      </c>
      <c r="F307" t="s">
        <v>39</v>
      </c>
      <c r="G307" t="s">
        <v>114</v>
      </c>
      <c r="H307" s="7">
        <v>6</v>
      </c>
      <c r="I307" s="4">
        <v>1828.44</v>
      </c>
      <c r="J307" s="23">
        <v>0</v>
      </c>
      <c r="K307" s="4">
        <v>1828.44</v>
      </c>
      <c r="L307" s="4">
        <v>1379.91</v>
      </c>
      <c r="M307" s="4">
        <v>448.53</v>
      </c>
      <c r="N307" t="s">
        <v>25</v>
      </c>
      <c r="O307" s="7">
        <v>38</v>
      </c>
      <c r="P307" s="2">
        <v>45691.583333333336</v>
      </c>
      <c r="Q307" t="s">
        <v>139</v>
      </c>
      <c r="R307">
        <v>2</v>
      </c>
      <c r="S307" t="s">
        <v>55</v>
      </c>
      <c r="T307">
        <f>IF(orders[[#This Row],[Status]]="Completed",1,0)</f>
        <v>1</v>
      </c>
      <c r="U307">
        <f>IF(orders[[#This Row],[Status]]="Pending",1,0)</f>
        <v>0</v>
      </c>
      <c r="V307">
        <f>IF(orders[[#This Row],[Status]]="Delayed",1,0)</f>
        <v>0</v>
      </c>
      <c r="W307">
        <f>IF(orders[[#This Row],[Status]]="Cancelled",1,0)</f>
        <v>0</v>
      </c>
    </row>
    <row r="308" spans="1:23" x14ac:dyDescent="0.35">
      <c r="A308" t="s">
        <v>585</v>
      </c>
      <c r="B308" s="1">
        <v>45833</v>
      </c>
      <c r="C308" t="s">
        <v>551</v>
      </c>
      <c r="D308" t="s">
        <v>77</v>
      </c>
      <c r="E308" t="s">
        <v>78</v>
      </c>
      <c r="F308" t="s">
        <v>23</v>
      </c>
      <c r="G308" t="s">
        <v>136</v>
      </c>
      <c r="H308" s="7">
        <v>1</v>
      </c>
      <c r="I308" s="4">
        <v>1349.24</v>
      </c>
      <c r="J308" s="23">
        <v>0.1</v>
      </c>
      <c r="K308" s="4">
        <v>1214.32</v>
      </c>
      <c r="L308" s="4">
        <v>785.81</v>
      </c>
      <c r="M308" s="4">
        <v>428.51</v>
      </c>
      <c r="N308" t="s">
        <v>98</v>
      </c>
      <c r="O308" s="7">
        <v>16</v>
      </c>
      <c r="P308" s="2">
        <v>45833.666666666664</v>
      </c>
      <c r="Q308" t="s">
        <v>99</v>
      </c>
      <c r="R308">
        <v>6</v>
      </c>
      <c r="S308" t="s">
        <v>27</v>
      </c>
      <c r="T308">
        <f>IF(orders[[#This Row],[Status]]="Completed",1,0)</f>
        <v>0</v>
      </c>
      <c r="U308">
        <f>IF(orders[[#This Row],[Status]]="Pending",1,0)</f>
        <v>1</v>
      </c>
      <c r="V308">
        <f>IF(orders[[#This Row],[Status]]="Delayed",1,0)</f>
        <v>0</v>
      </c>
      <c r="W308">
        <f>IF(orders[[#This Row],[Status]]="Cancelled",1,0)</f>
        <v>0</v>
      </c>
    </row>
    <row r="309" spans="1:23" x14ac:dyDescent="0.35">
      <c r="A309" t="s">
        <v>586</v>
      </c>
      <c r="B309" s="1">
        <v>45679</v>
      </c>
      <c r="C309" t="s">
        <v>587</v>
      </c>
      <c r="D309" t="s">
        <v>30</v>
      </c>
      <c r="E309" t="s">
        <v>46</v>
      </c>
      <c r="F309" t="s">
        <v>39</v>
      </c>
      <c r="G309" t="s">
        <v>188</v>
      </c>
      <c r="H309" s="7">
        <v>4</v>
      </c>
      <c r="I309" s="4">
        <v>22575.52</v>
      </c>
      <c r="J309" s="23">
        <v>0.25</v>
      </c>
      <c r="K309" s="4">
        <v>16931.64</v>
      </c>
      <c r="L309" s="4">
        <v>9795.41</v>
      </c>
      <c r="M309" s="4">
        <v>7136.23</v>
      </c>
      <c r="N309" t="s">
        <v>25</v>
      </c>
      <c r="O309" s="7">
        <v>18</v>
      </c>
      <c r="P309" s="2">
        <v>45679.75</v>
      </c>
      <c r="Q309" t="s">
        <v>65</v>
      </c>
      <c r="R309">
        <v>1</v>
      </c>
      <c r="S309" t="s">
        <v>55</v>
      </c>
      <c r="T309">
        <f>IF(orders[[#This Row],[Status]]="Completed",1,0)</f>
        <v>1</v>
      </c>
      <c r="U309">
        <f>IF(orders[[#This Row],[Status]]="Pending",1,0)</f>
        <v>0</v>
      </c>
      <c r="V309">
        <f>IF(orders[[#This Row],[Status]]="Delayed",1,0)</f>
        <v>0</v>
      </c>
      <c r="W309">
        <f>IF(orders[[#This Row],[Status]]="Cancelled",1,0)</f>
        <v>0</v>
      </c>
    </row>
    <row r="310" spans="1:23" x14ac:dyDescent="0.35">
      <c r="A310" t="s">
        <v>588</v>
      </c>
      <c r="B310" s="1">
        <v>45895</v>
      </c>
      <c r="C310" t="s">
        <v>307</v>
      </c>
      <c r="D310" t="s">
        <v>63</v>
      </c>
      <c r="E310" t="s">
        <v>46</v>
      </c>
      <c r="F310" t="s">
        <v>72</v>
      </c>
      <c r="G310" t="s">
        <v>119</v>
      </c>
      <c r="H310" s="7">
        <v>1</v>
      </c>
      <c r="I310" s="4">
        <v>6224.43</v>
      </c>
      <c r="J310" s="23">
        <v>0.1</v>
      </c>
      <c r="K310" s="4">
        <v>5601.99</v>
      </c>
      <c r="L310" s="4">
        <v>4485.0200000000004</v>
      </c>
      <c r="M310" s="4">
        <v>1116.97</v>
      </c>
      <c r="N310" t="s">
        <v>98</v>
      </c>
      <c r="O310" s="7">
        <v>14</v>
      </c>
      <c r="P310" s="2">
        <v>45895.583333333336</v>
      </c>
      <c r="Q310" t="s">
        <v>80</v>
      </c>
      <c r="R310">
        <v>8</v>
      </c>
      <c r="S310" t="s">
        <v>42</v>
      </c>
      <c r="T310">
        <f>IF(orders[[#This Row],[Status]]="Completed",1,0)</f>
        <v>0</v>
      </c>
      <c r="U310">
        <f>IF(orders[[#This Row],[Status]]="Pending",1,0)</f>
        <v>1</v>
      </c>
      <c r="V310">
        <f>IF(orders[[#This Row],[Status]]="Delayed",1,0)</f>
        <v>0</v>
      </c>
      <c r="W310">
        <f>IF(orders[[#This Row],[Status]]="Cancelled",1,0)</f>
        <v>0</v>
      </c>
    </row>
    <row r="311" spans="1:23" x14ac:dyDescent="0.35">
      <c r="A311" t="s">
        <v>589</v>
      </c>
      <c r="B311" s="1">
        <v>45815</v>
      </c>
      <c r="C311" t="s">
        <v>590</v>
      </c>
      <c r="D311" t="s">
        <v>77</v>
      </c>
      <c r="E311" t="s">
        <v>46</v>
      </c>
      <c r="F311" t="s">
        <v>23</v>
      </c>
      <c r="G311" t="s">
        <v>136</v>
      </c>
      <c r="H311" s="7">
        <v>6</v>
      </c>
      <c r="I311" s="4">
        <v>40303.919999999998</v>
      </c>
      <c r="J311" s="23">
        <v>0</v>
      </c>
      <c r="K311" s="4">
        <v>40303.919999999998</v>
      </c>
      <c r="L311" s="4">
        <v>26344.03</v>
      </c>
      <c r="M311" s="4">
        <v>13959.89</v>
      </c>
      <c r="N311" t="s">
        <v>25</v>
      </c>
      <c r="O311" s="7">
        <v>48</v>
      </c>
      <c r="P311" s="2">
        <v>45817</v>
      </c>
      <c r="Q311" t="s">
        <v>99</v>
      </c>
      <c r="R311">
        <v>6</v>
      </c>
      <c r="S311" t="s">
        <v>27</v>
      </c>
      <c r="T311">
        <f>IF(orders[[#This Row],[Status]]="Completed",1,0)</f>
        <v>1</v>
      </c>
      <c r="U311">
        <f>IF(orders[[#This Row],[Status]]="Pending",1,0)</f>
        <v>0</v>
      </c>
      <c r="V311">
        <f>IF(orders[[#This Row],[Status]]="Delayed",1,0)</f>
        <v>0</v>
      </c>
      <c r="W311">
        <f>IF(orders[[#This Row],[Status]]="Cancelled",1,0)</f>
        <v>0</v>
      </c>
    </row>
    <row r="312" spans="1:23" x14ac:dyDescent="0.35">
      <c r="A312" t="s">
        <v>591</v>
      </c>
      <c r="B312" s="1">
        <v>45695</v>
      </c>
      <c r="C312" t="s">
        <v>383</v>
      </c>
      <c r="D312" t="s">
        <v>21</v>
      </c>
      <c r="E312" t="s">
        <v>78</v>
      </c>
      <c r="F312" t="s">
        <v>39</v>
      </c>
      <c r="G312" t="s">
        <v>40</v>
      </c>
      <c r="H312" s="7">
        <v>7</v>
      </c>
      <c r="I312" s="4">
        <v>15294.72</v>
      </c>
      <c r="J312" s="23">
        <v>0.05</v>
      </c>
      <c r="K312" s="4">
        <v>14529.98</v>
      </c>
      <c r="L312" s="4">
        <v>10195.219999999999</v>
      </c>
      <c r="M312" s="4">
        <v>4334.76</v>
      </c>
      <c r="N312" t="s">
        <v>25</v>
      </c>
      <c r="O312" s="7">
        <v>26</v>
      </c>
      <c r="P312" s="2">
        <v>45696.083333333336</v>
      </c>
      <c r="Q312" t="s">
        <v>139</v>
      </c>
      <c r="R312">
        <v>2</v>
      </c>
      <c r="S312" t="s">
        <v>55</v>
      </c>
      <c r="T312">
        <f>IF(orders[[#This Row],[Status]]="Completed",1,0)</f>
        <v>1</v>
      </c>
      <c r="U312">
        <f>IF(orders[[#This Row],[Status]]="Pending",1,0)</f>
        <v>0</v>
      </c>
      <c r="V312">
        <f>IF(orders[[#This Row],[Status]]="Delayed",1,0)</f>
        <v>0</v>
      </c>
      <c r="W312">
        <f>IF(orders[[#This Row],[Status]]="Cancelled",1,0)</f>
        <v>0</v>
      </c>
    </row>
    <row r="313" spans="1:23" x14ac:dyDescent="0.35">
      <c r="A313" t="s">
        <v>592</v>
      </c>
      <c r="B313" s="1">
        <v>45887</v>
      </c>
      <c r="C313" t="s">
        <v>343</v>
      </c>
      <c r="D313" t="s">
        <v>149</v>
      </c>
      <c r="E313" t="s">
        <v>113</v>
      </c>
      <c r="F313" t="s">
        <v>32</v>
      </c>
      <c r="G313" t="s">
        <v>53</v>
      </c>
      <c r="H313" s="7">
        <v>5</v>
      </c>
      <c r="I313" s="4">
        <v>13521.1</v>
      </c>
      <c r="J313" s="23">
        <v>0.2</v>
      </c>
      <c r="K313" s="4">
        <v>10816.88</v>
      </c>
      <c r="L313" s="4">
        <v>6794.6</v>
      </c>
      <c r="M313" s="4">
        <v>4022.28</v>
      </c>
      <c r="N313" t="s">
        <v>25</v>
      </c>
      <c r="O313" s="7">
        <v>39</v>
      </c>
      <c r="P313" s="2">
        <v>45888.625</v>
      </c>
      <c r="Q313" t="s">
        <v>80</v>
      </c>
      <c r="R313">
        <v>8</v>
      </c>
      <c r="S313" t="s">
        <v>42</v>
      </c>
      <c r="T313">
        <f>IF(orders[[#This Row],[Status]]="Completed",1,0)</f>
        <v>1</v>
      </c>
      <c r="U313">
        <f>IF(orders[[#This Row],[Status]]="Pending",1,0)</f>
        <v>0</v>
      </c>
      <c r="V313">
        <f>IF(orders[[#This Row],[Status]]="Delayed",1,0)</f>
        <v>0</v>
      </c>
      <c r="W313">
        <f>IF(orders[[#This Row],[Status]]="Cancelled",1,0)</f>
        <v>0</v>
      </c>
    </row>
    <row r="314" spans="1:23" x14ac:dyDescent="0.35">
      <c r="A314" t="s">
        <v>593</v>
      </c>
      <c r="B314" s="1">
        <v>46022</v>
      </c>
      <c r="C314" t="s">
        <v>363</v>
      </c>
      <c r="D314" t="s">
        <v>38</v>
      </c>
      <c r="E314" t="s">
        <v>31</v>
      </c>
      <c r="F314" t="s">
        <v>23</v>
      </c>
      <c r="G314" t="s">
        <v>24</v>
      </c>
      <c r="H314" s="7">
        <v>2</v>
      </c>
      <c r="I314" s="4">
        <v>8368.34</v>
      </c>
      <c r="J314" s="23">
        <v>0.05</v>
      </c>
      <c r="K314" s="4">
        <v>7949.92</v>
      </c>
      <c r="L314" s="4">
        <v>6018.21</v>
      </c>
      <c r="M314" s="4">
        <v>1931.71</v>
      </c>
      <c r="N314" t="s">
        <v>25</v>
      </c>
      <c r="O314" s="7">
        <v>43</v>
      </c>
      <c r="P314" s="2">
        <v>46023.791666666664</v>
      </c>
      <c r="Q314" t="s">
        <v>34</v>
      </c>
      <c r="R314">
        <v>12</v>
      </c>
      <c r="S314" t="s">
        <v>35</v>
      </c>
      <c r="T314">
        <f>IF(orders[[#This Row],[Status]]="Completed",1,0)</f>
        <v>1</v>
      </c>
      <c r="U314">
        <f>IF(orders[[#This Row],[Status]]="Pending",1,0)</f>
        <v>0</v>
      </c>
      <c r="V314">
        <f>IF(orders[[#This Row],[Status]]="Delayed",1,0)</f>
        <v>0</v>
      </c>
      <c r="W314">
        <f>IF(orders[[#This Row],[Status]]="Cancelled",1,0)</f>
        <v>0</v>
      </c>
    </row>
    <row r="315" spans="1:23" x14ac:dyDescent="0.35">
      <c r="A315" t="s">
        <v>594</v>
      </c>
      <c r="B315" s="1">
        <v>45708</v>
      </c>
      <c r="C315" t="s">
        <v>595</v>
      </c>
      <c r="D315" t="s">
        <v>63</v>
      </c>
      <c r="E315" t="s">
        <v>31</v>
      </c>
      <c r="F315" t="s">
        <v>32</v>
      </c>
      <c r="G315" t="s">
        <v>64</v>
      </c>
      <c r="H315" s="7">
        <v>6</v>
      </c>
      <c r="I315" s="4">
        <v>4065.48</v>
      </c>
      <c r="J315" s="23">
        <v>0.1</v>
      </c>
      <c r="K315" s="4">
        <v>3658.93</v>
      </c>
      <c r="L315" s="4">
        <v>2376.44</v>
      </c>
      <c r="M315" s="4">
        <v>1282.49</v>
      </c>
      <c r="N315" t="s">
        <v>98</v>
      </c>
      <c r="O315" s="7">
        <v>16</v>
      </c>
      <c r="P315" s="2">
        <v>45708.666666666664</v>
      </c>
      <c r="Q315" t="s">
        <v>139</v>
      </c>
      <c r="R315">
        <v>2</v>
      </c>
      <c r="S315" t="s">
        <v>55</v>
      </c>
      <c r="T315">
        <f>IF(orders[[#This Row],[Status]]="Completed",1,0)</f>
        <v>0</v>
      </c>
      <c r="U315">
        <f>IF(orders[[#This Row],[Status]]="Pending",1,0)</f>
        <v>1</v>
      </c>
      <c r="V315">
        <f>IF(orders[[#This Row],[Status]]="Delayed",1,0)</f>
        <v>0</v>
      </c>
      <c r="W315">
        <f>IF(orders[[#This Row],[Status]]="Cancelled",1,0)</f>
        <v>0</v>
      </c>
    </row>
    <row r="316" spans="1:23" x14ac:dyDescent="0.35">
      <c r="A316" t="s">
        <v>596</v>
      </c>
      <c r="B316" s="1">
        <v>45921</v>
      </c>
      <c r="C316" t="s">
        <v>404</v>
      </c>
      <c r="D316" t="s">
        <v>30</v>
      </c>
      <c r="E316" t="s">
        <v>113</v>
      </c>
      <c r="F316" t="s">
        <v>83</v>
      </c>
      <c r="G316" t="s">
        <v>84</v>
      </c>
      <c r="H316" s="7">
        <v>3</v>
      </c>
      <c r="I316" s="4">
        <v>15759.09</v>
      </c>
      <c r="J316" s="23">
        <v>0.05</v>
      </c>
      <c r="K316" s="4">
        <v>14971.14</v>
      </c>
      <c r="L316" s="4">
        <v>13016.61</v>
      </c>
      <c r="M316" s="4">
        <v>1954.53</v>
      </c>
      <c r="N316" t="s">
        <v>25</v>
      </c>
      <c r="O316" s="7">
        <v>37</v>
      </c>
      <c r="P316" s="2">
        <v>45922.541666666664</v>
      </c>
      <c r="Q316" t="s">
        <v>41</v>
      </c>
      <c r="R316">
        <v>9</v>
      </c>
      <c r="S316" t="s">
        <v>42</v>
      </c>
      <c r="T316">
        <f>IF(orders[[#This Row],[Status]]="Completed",1,0)</f>
        <v>1</v>
      </c>
      <c r="U316">
        <f>IF(orders[[#This Row],[Status]]="Pending",1,0)</f>
        <v>0</v>
      </c>
      <c r="V316">
        <f>IF(orders[[#This Row],[Status]]="Delayed",1,0)</f>
        <v>0</v>
      </c>
      <c r="W316">
        <f>IF(orders[[#This Row],[Status]]="Cancelled",1,0)</f>
        <v>0</v>
      </c>
    </row>
    <row r="317" spans="1:23" x14ac:dyDescent="0.35">
      <c r="A317" t="s">
        <v>597</v>
      </c>
      <c r="B317" s="1">
        <v>45940</v>
      </c>
      <c r="C317" t="s">
        <v>148</v>
      </c>
      <c r="D317" t="s">
        <v>77</v>
      </c>
      <c r="E317" t="s">
        <v>46</v>
      </c>
      <c r="F317" t="s">
        <v>23</v>
      </c>
      <c r="G317" t="s">
        <v>110</v>
      </c>
      <c r="H317" s="7">
        <v>2</v>
      </c>
      <c r="I317" s="4">
        <v>16728.38</v>
      </c>
      <c r="J317" s="23">
        <v>0.05</v>
      </c>
      <c r="K317" s="4">
        <v>15891.96</v>
      </c>
      <c r="L317" s="4">
        <v>12427.08</v>
      </c>
      <c r="M317" s="4">
        <v>3464.88</v>
      </c>
      <c r="N317" t="s">
        <v>25</v>
      </c>
      <c r="O317" s="7">
        <v>22</v>
      </c>
      <c r="P317" s="2">
        <v>45940.916666666664</v>
      </c>
      <c r="Q317" t="s">
        <v>116</v>
      </c>
      <c r="R317">
        <v>10</v>
      </c>
      <c r="S317" t="s">
        <v>35</v>
      </c>
      <c r="T317">
        <f>IF(orders[[#This Row],[Status]]="Completed",1,0)</f>
        <v>1</v>
      </c>
      <c r="U317">
        <f>IF(orders[[#This Row],[Status]]="Pending",1,0)</f>
        <v>0</v>
      </c>
      <c r="V317">
        <f>IF(orders[[#This Row],[Status]]="Delayed",1,0)</f>
        <v>0</v>
      </c>
      <c r="W317">
        <f>IF(orders[[#This Row],[Status]]="Cancelled",1,0)</f>
        <v>0</v>
      </c>
    </row>
    <row r="318" spans="1:23" x14ac:dyDescent="0.35">
      <c r="A318" t="s">
        <v>598</v>
      </c>
      <c r="B318" s="1">
        <v>45684</v>
      </c>
      <c r="C318" t="s">
        <v>154</v>
      </c>
      <c r="D318" t="s">
        <v>30</v>
      </c>
      <c r="E318" t="s">
        <v>59</v>
      </c>
      <c r="F318" t="s">
        <v>32</v>
      </c>
      <c r="G318" t="s">
        <v>53</v>
      </c>
      <c r="H318" s="7">
        <v>6</v>
      </c>
      <c r="I318" s="4">
        <v>18976.38</v>
      </c>
      <c r="J318" s="23">
        <v>0.15</v>
      </c>
      <c r="K318" s="4">
        <v>16129.92</v>
      </c>
      <c r="L318" s="4">
        <v>9599.2099999999991</v>
      </c>
      <c r="M318" s="4">
        <v>6530.71</v>
      </c>
      <c r="N318" t="s">
        <v>98</v>
      </c>
      <c r="O318" s="7">
        <v>21</v>
      </c>
      <c r="P318" s="2">
        <v>45684.875</v>
      </c>
      <c r="Q318" t="s">
        <v>65</v>
      </c>
      <c r="R318">
        <v>1</v>
      </c>
      <c r="S318" t="s">
        <v>55</v>
      </c>
      <c r="T318">
        <f>IF(orders[[#This Row],[Status]]="Completed",1,0)</f>
        <v>0</v>
      </c>
      <c r="U318">
        <f>IF(orders[[#This Row],[Status]]="Pending",1,0)</f>
        <v>1</v>
      </c>
      <c r="V318">
        <f>IF(orders[[#This Row],[Status]]="Delayed",1,0)</f>
        <v>0</v>
      </c>
      <c r="W318">
        <f>IF(orders[[#This Row],[Status]]="Cancelled",1,0)</f>
        <v>0</v>
      </c>
    </row>
    <row r="319" spans="1:23" x14ac:dyDescent="0.35">
      <c r="A319" t="s">
        <v>599</v>
      </c>
      <c r="B319" s="1">
        <v>45883</v>
      </c>
      <c r="C319" t="s">
        <v>600</v>
      </c>
      <c r="D319" t="s">
        <v>38</v>
      </c>
      <c r="E319" t="s">
        <v>113</v>
      </c>
      <c r="F319" t="s">
        <v>72</v>
      </c>
      <c r="G319" t="s">
        <v>146</v>
      </c>
      <c r="H319" s="7">
        <v>5</v>
      </c>
      <c r="I319" s="4">
        <v>32181.4</v>
      </c>
      <c r="J319" s="23">
        <v>0.15</v>
      </c>
      <c r="K319" s="4">
        <v>27354.19</v>
      </c>
      <c r="L319" s="4">
        <v>18806.259999999998</v>
      </c>
      <c r="M319" s="4">
        <v>8547.93</v>
      </c>
      <c r="N319" t="s">
        <v>98</v>
      </c>
      <c r="O319" s="7">
        <v>17</v>
      </c>
      <c r="P319" s="2">
        <v>45883.708333333336</v>
      </c>
      <c r="Q319" t="s">
        <v>80</v>
      </c>
      <c r="R319">
        <v>8</v>
      </c>
      <c r="S319" t="s">
        <v>42</v>
      </c>
      <c r="T319">
        <f>IF(orders[[#This Row],[Status]]="Completed",1,0)</f>
        <v>0</v>
      </c>
      <c r="U319">
        <f>IF(orders[[#This Row],[Status]]="Pending",1,0)</f>
        <v>1</v>
      </c>
      <c r="V319">
        <f>IF(orders[[#This Row],[Status]]="Delayed",1,0)</f>
        <v>0</v>
      </c>
      <c r="W319">
        <f>IF(orders[[#This Row],[Status]]="Cancelled",1,0)</f>
        <v>0</v>
      </c>
    </row>
    <row r="320" spans="1:23" x14ac:dyDescent="0.35">
      <c r="A320" t="s">
        <v>601</v>
      </c>
      <c r="B320" s="1">
        <v>45934</v>
      </c>
      <c r="C320" t="s">
        <v>602</v>
      </c>
      <c r="D320" t="s">
        <v>45</v>
      </c>
      <c r="E320" t="s">
        <v>22</v>
      </c>
      <c r="F320" t="s">
        <v>72</v>
      </c>
      <c r="G320" t="s">
        <v>104</v>
      </c>
      <c r="H320" s="7">
        <v>1</v>
      </c>
      <c r="I320" s="4">
        <v>4325.28</v>
      </c>
      <c r="J320" s="23">
        <v>0.1</v>
      </c>
      <c r="K320" s="4">
        <v>3892.75</v>
      </c>
      <c r="L320" s="4">
        <v>2636.13</v>
      </c>
      <c r="M320" s="4">
        <v>1256.6199999999999</v>
      </c>
      <c r="N320" t="s">
        <v>98</v>
      </c>
      <c r="O320" s="7">
        <v>9</v>
      </c>
      <c r="P320" s="2">
        <v>45934.375</v>
      </c>
      <c r="Q320" t="s">
        <v>116</v>
      </c>
      <c r="R320">
        <v>10</v>
      </c>
      <c r="S320" t="s">
        <v>35</v>
      </c>
      <c r="T320">
        <f>IF(orders[[#This Row],[Status]]="Completed",1,0)</f>
        <v>0</v>
      </c>
      <c r="U320">
        <f>IF(orders[[#This Row],[Status]]="Pending",1,0)</f>
        <v>1</v>
      </c>
      <c r="V320">
        <f>IF(orders[[#This Row],[Status]]="Delayed",1,0)</f>
        <v>0</v>
      </c>
      <c r="W320">
        <f>IF(orders[[#This Row],[Status]]="Cancelled",1,0)</f>
        <v>0</v>
      </c>
    </row>
    <row r="321" spans="1:23" x14ac:dyDescent="0.35">
      <c r="A321" t="s">
        <v>603</v>
      </c>
      <c r="B321" s="1">
        <v>45943</v>
      </c>
      <c r="C321" t="s">
        <v>590</v>
      </c>
      <c r="D321" t="s">
        <v>68</v>
      </c>
      <c r="E321" t="s">
        <v>22</v>
      </c>
      <c r="F321" t="s">
        <v>83</v>
      </c>
      <c r="G321" t="s">
        <v>155</v>
      </c>
      <c r="H321" s="7">
        <v>7</v>
      </c>
      <c r="I321" s="4">
        <v>8520.61</v>
      </c>
      <c r="J321" s="23">
        <v>0.05</v>
      </c>
      <c r="K321" s="4">
        <v>8094.58</v>
      </c>
      <c r="L321" s="4">
        <v>5879.11</v>
      </c>
      <c r="M321" s="4">
        <v>2215.4699999999998</v>
      </c>
      <c r="N321" t="s">
        <v>25</v>
      </c>
      <c r="O321" s="7">
        <v>48</v>
      </c>
      <c r="P321" s="2">
        <v>45945</v>
      </c>
      <c r="Q321" t="s">
        <v>116</v>
      </c>
      <c r="R321">
        <v>10</v>
      </c>
      <c r="S321" t="s">
        <v>35</v>
      </c>
      <c r="T321">
        <f>IF(orders[[#This Row],[Status]]="Completed",1,0)</f>
        <v>1</v>
      </c>
      <c r="U321">
        <f>IF(orders[[#This Row],[Status]]="Pending",1,0)</f>
        <v>0</v>
      </c>
      <c r="V321">
        <f>IF(orders[[#This Row],[Status]]="Delayed",1,0)</f>
        <v>0</v>
      </c>
      <c r="W321">
        <f>IF(orders[[#This Row],[Status]]="Cancelled",1,0)</f>
        <v>0</v>
      </c>
    </row>
    <row r="322" spans="1:23" x14ac:dyDescent="0.35">
      <c r="A322" t="s">
        <v>604</v>
      </c>
      <c r="B322" s="1">
        <v>45754</v>
      </c>
      <c r="C322" t="s">
        <v>379</v>
      </c>
      <c r="D322" t="s">
        <v>38</v>
      </c>
      <c r="E322" t="s">
        <v>52</v>
      </c>
      <c r="F322" t="s">
        <v>23</v>
      </c>
      <c r="G322" t="s">
        <v>136</v>
      </c>
      <c r="H322" s="7">
        <v>7</v>
      </c>
      <c r="I322" s="4">
        <v>35081.760000000002</v>
      </c>
      <c r="J322" s="23">
        <v>0</v>
      </c>
      <c r="K322" s="4">
        <v>35081.760000000002</v>
      </c>
      <c r="L322" s="4">
        <v>29041.98</v>
      </c>
      <c r="M322" s="4">
        <v>6039.78</v>
      </c>
      <c r="N322" t="s">
        <v>25</v>
      </c>
      <c r="O322" s="7">
        <v>10</v>
      </c>
      <c r="P322" s="2">
        <v>45754.416666666664</v>
      </c>
      <c r="Q322" t="s">
        <v>26</v>
      </c>
      <c r="R322">
        <v>4</v>
      </c>
      <c r="S322" t="s">
        <v>27</v>
      </c>
      <c r="T322">
        <f>IF(orders[[#This Row],[Status]]="Completed",1,0)</f>
        <v>1</v>
      </c>
      <c r="U322">
        <f>IF(orders[[#This Row],[Status]]="Pending",1,0)</f>
        <v>0</v>
      </c>
      <c r="V322">
        <f>IF(orders[[#This Row],[Status]]="Delayed",1,0)</f>
        <v>0</v>
      </c>
      <c r="W322">
        <f>IF(orders[[#This Row],[Status]]="Cancelled",1,0)</f>
        <v>0</v>
      </c>
    </row>
    <row r="323" spans="1:23" x14ac:dyDescent="0.35">
      <c r="A323" t="s">
        <v>605</v>
      </c>
      <c r="B323" s="1">
        <v>45941</v>
      </c>
      <c r="C323" t="s">
        <v>493</v>
      </c>
      <c r="D323" t="s">
        <v>58</v>
      </c>
      <c r="E323" t="s">
        <v>113</v>
      </c>
      <c r="F323" t="s">
        <v>23</v>
      </c>
      <c r="G323" t="s">
        <v>122</v>
      </c>
      <c r="H323" s="7">
        <v>2</v>
      </c>
      <c r="I323" s="4">
        <v>5307.9</v>
      </c>
      <c r="J323" s="23">
        <v>0.1</v>
      </c>
      <c r="K323" s="4">
        <v>4777.1099999999997</v>
      </c>
      <c r="L323" s="4">
        <v>3547.14</v>
      </c>
      <c r="M323" s="4">
        <v>1229.97</v>
      </c>
      <c r="N323" t="s">
        <v>85</v>
      </c>
      <c r="O323" s="7">
        <v>53</v>
      </c>
      <c r="P323" s="2">
        <v>45943.208333333336</v>
      </c>
      <c r="Q323" t="s">
        <v>116</v>
      </c>
      <c r="R323">
        <v>10</v>
      </c>
      <c r="S323" t="s">
        <v>35</v>
      </c>
      <c r="T323">
        <f>IF(orders[[#This Row],[Status]]="Completed",1,0)</f>
        <v>0</v>
      </c>
      <c r="U323">
        <f>IF(orders[[#This Row],[Status]]="Pending",1,0)</f>
        <v>0</v>
      </c>
      <c r="V323">
        <f>IF(orders[[#This Row],[Status]]="Delayed",1,0)</f>
        <v>1</v>
      </c>
      <c r="W323">
        <f>IF(orders[[#This Row],[Status]]="Cancelled",1,0)</f>
        <v>0</v>
      </c>
    </row>
    <row r="324" spans="1:23" x14ac:dyDescent="0.35">
      <c r="A324" t="s">
        <v>606</v>
      </c>
      <c r="B324" s="1">
        <v>45974</v>
      </c>
      <c r="C324" t="s">
        <v>138</v>
      </c>
      <c r="D324" t="s">
        <v>38</v>
      </c>
      <c r="E324" t="s">
        <v>92</v>
      </c>
      <c r="F324" t="s">
        <v>23</v>
      </c>
      <c r="G324" t="s">
        <v>110</v>
      </c>
      <c r="H324" s="7">
        <v>5</v>
      </c>
      <c r="I324" s="4">
        <v>2186.35</v>
      </c>
      <c r="J324" s="23">
        <v>0.1</v>
      </c>
      <c r="K324" s="4">
        <v>1967.72</v>
      </c>
      <c r="L324" s="4">
        <v>1122.22</v>
      </c>
      <c r="M324" s="4">
        <v>845.5</v>
      </c>
      <c r="N324" t="s">
        <v>25</v>
      </c>
      <c r="O324" s="7">
        <v>15</v>
      </c>
      <c r="P324" s="2">
        <v>45974.625</v>
      </c>
      <c r="Q324" t="s">
        <v>86</v>
      </c>
      <c r="R324">
        <v>11</v>
      </c>
      <c r="S324" t="s">
        <v>35</v>
      </c>
      <c r="T324">
        <f>IF(orders[[#This Row],[Status]]="Completed",1,0)</f>
        <v>1</v>
      </c>
      <c r="U324">
        <f>IF(orders[[#This Row],[Status]]="Pending",1,0)</f>
        <v>0</v>
      </c>
      <c r="V324">
        <f>IF(orders[[#This Row],[Status]]="Delayed",1,0)</f>
        <v>0</v>
      </c>
      <c r="W324">
        <f>IF(orders[[#This Row],[Status]]="Cancelled",1,0)</f>
        <v>0</v>
      </c>
    </row>
    <row r="325" spans="1:23" x14ac:dyDescent="0.35">
      <c r="A325" t="s">
        <v>607</v>
      </c>
      <c r="B325" s="1">
        <v>45961</v>
      </c>
      <c r="C325" t="s">
        <v>457</v>
      </c>
      <c r="D325" t="s">
        <v>30</v>
      </c>
      <c r="E325" t="s">
        <v>78</v>
      </c>
      <c r="F325" t="s">
        <v>83</v>
      </c>
      <c r="G325" t="s">
        <v>182</v>
      </c>
      <c r="H325" s="7">
        <v>7</v>
      </c>
      <c r="I325" s="4">
        <v>38161.620000000003</v>
      </c>
      <c r="J325" s="23">
        <v>0</v>
      </c>
      <c r="K325" s="4">
        <v>38161.620000000003</v>
      </c>
      <c r="L325" s="4">
        <v>29242.76</v>
      </c>
      <c r="M325" s="4">
        <v>8918.86</v>
      </c>
      <c r="N325" t="s">
        <v>25</v>
      </c>
      <c r="O325" s="7">
        <v>17</v>
      </c>
      <c r="P325" s="2">
        <v>45961.708333333336</v>
      </c>
      <c r="Q325" t="s">
        <v>116</v>
      </c>
      <c r="R325">
        <v>10</v>
      </c>
      <c r="S325" t="s">
        <v>35</v>
      </c>
      <c r="T325">
        <f>IF(orders[[#This Row],[Status]]="Completed",1,0)</f>
        <v>1</v>
      </c>
      <c r="U325">
        <f>IF(orders[[#This Row],[Status]]="Pending",1,0)</f>
        <v>0</v>
      </c>
      <c r="V325">
        <f>IF(orders[[#This Row],[Status]]="Delayed",1,0)</f>
        <v>0</v>
      </c>
      <c r="W325">
        <f>IF(orders[[#This Row],[Status]]="Cancelled",1,0)</f>
        <v>0</v>
      </c>
    </row>
    <row r="326" spans="1:23" x14ac:dyDescent="0.35">
      <c r="A326" t="s">
        <v>608</v>
      </c>
      <c r="B326" s="1">
        <v>45804</v>
      </c>
      <c r="C326" t="s">
        <v>167</v>
      </c>
      <c r="D326" t="s">
        <v>21</v>
      </c>
      <c r="E326" t="s">
        <v>78</v>
      </c>
      <c r="F326" t="s">
        <v>23</v>
      </c>
      <c r="G326" t="s">
        <v>136</v>
      </c>
      <c r="H326" s="7">
        <v>7</v>
      </c>
      <c r="I326" s="4">
        <v>51254.63</v>
      </c>
      <c r="J326" s="23">
        <v>0</v>
      </c>
      <c r="K326" s="4">
        <v>51254.63</v>
      </c>
      <c r="L326" s="4">
        <v>28329.85</v>
      </c>
      <c r="M326" s="4">
        <v>22924.78</v>
      </c>
      <c r="N326" t="s">
        <v>25</v>
      </c>
      <c r="O326" s="7">
        <v>18</v>
      </c>
      <c r="P326" s="2">
        <v>45804.75</v>
      </c>
      <c r="Q326" t="s">
        <v>74</v>
      </c>
      <c r="R326">
        <v>5</v>
      </c>
      <c r="S326" t="s">
        <v>27</v>
      </c>
      <c r="T326">
        <f>IF(orders[[#This Row],[Status]]="Completed",1,0)</f>
        <v>1</v>
      </c>
      <c r="U326">
        <f>IF(orders[[#This Row],[Status]]="Pending",1,0)</f>
        <v>0</v>
      </c>
      <c r="V326">
        <f>IF(orders[[#This Row],[Status]]="Delayed",1,0)</f>
        <v>0</v>
      </c>
      <c r="W326">
        <f>IF(orders[[#This Row],[Status]]="Cancelled",1,0)</f>
        <v>0</v>
      </c>
    </row>
    <row r="327" spans="1:23" x14ac:dyDescent="0.35">
      <c r="A327" t="s">
        <v>609</v>
      </c>
      <c r="B327" s="1">
        <v>45661</v>
      </c>
      <c r="C327" t="s">
        <v>101</v>
      </c>
      <c r="D327" t="s">
        <v>149</v>
      </c>
      <c r="E327" t="s">
        <v>22</v>
      </c>
      <c r="F327" t="s">
        <v>72</v>
      </c>
      <c r="G327" t="s">
        <v>146</v>
      </c>
      <c r="H327" s="7">
        <v>4</v>
      </c>
      <c r="I327" s="4">
        <v>12115.32</v>
      </c>
      <c r="J327" s="23">
        <v>0</v>
      </c>
      <c r="K327" s="4">
        <v>12115.32</v>
      </c>
      <c r="L327" s="4">
        <v>9781.75</v>
      </c>
      <c r="M327" s="4">
        <v>2333.5700000000002</v>
      </c>
      <c r="N327" t="s">
        <v>25</v>
      </c>
      <c r="O327" s="7">
        <v>6</v>
      </c>
      <c r="P327" s="2">
        <v>45661.25</v>
      </c>
      <c r="Q327" t="s">
        <v>65</v>
      </c>
      <c r="R327">
        <v>1</v>
      </c>
      <c r="S327" t="s">
        <v>55</v>
      </c>
      <c r="T327">
        <f>IF(orders[[#This Row],[Status]]="Completed",1,0)</f>
        <v>1</v>
      </c>
      <c r="U327">
        <f>IF(orders[[#This Row],[Status]]="Pending",1,0)</f>
        <v>0</v>
      </c>
      <c r="V327">
        <f>IF(orders[[#This Row],[Status]]="Delayed",1,0)</f>
        <v>0</v>
      </c>
      <c r="W327">
        <f>IF(orders[[#This Row],[Status]]="Cancelled",1,0)</f>
        <v>0</v>
      </c>
    </row>
    <row r="328" spans="1:23" x14ac:dyDescent="0.35">
      <c r="A328" t="s">
        <v>610</v>
      </c>
      <c r="B328" s="1">
        <v>45692</v>
      </c>
      <c r="C328" t="s">
        <v>135</v>
      </c>
      <c r="D328" t="s">
        <v>21</v>
      </c>
      <c r="E328" t="s">
        <v>22</v>
      </c>
      <c r="F328" t="s">
        <v>32</v>
      </c>
      <c r="G328" t="s">
        <v>33</v>
      </c>
      <c r="H328" s="7">
        <v>3</v>
      </c>
      <c r="I328" s="4">
        <v>10226.91</v>
      </c>
      <c r="J328" s="23">
        <v>0.25</v>
      </c>
      <c r="K328" s="4">
        <v>7670.18</v>
      </c>
      <c r="L328" s="4">
        <v>5905.96</v>
      </c>
      <c r="M328" s="4">
        <v>1764.22</v>
      </c>
      <c r="N328" t="s">
        <v>25</v>
      </c>
      <c r="O328" s="7">
        <v>18</v>
      </c>
      <c r="P328" s="2">
        <v>45692.75</v>
      </c>
      <c r="Q328" t="s">
        <v>139</v>
      </c>
      <c r="R328">
        <v>2</v>
      </c>
      <c r="S328" t="s">
        <v>55</v>
      </c>
      <c r="T328">
        <f>IF(orders[[#This Row],[Status]]="Completed",1,0)</f>
        <v>1</v>
      </c>
      <c r="U328">
        <f>IF(orders[[#This Row],[Status]]="Pending",1,0)</f>
        <v>0</v>
      </c>
      <c r="V328">
        <f>IF(orders[[#This Row],[Status]]="Delayed",1,0)</f>
        <v>0</v>
      </c>
      <c r="W328">
        <f>IF(orders[[#This Row],[Status]]="Cancelled",1,0)</f>
        <v>0</v>
      </c>
    </row>
    <row r="329" spans="1:23" x14ac:dyDescent="0.35">
      <c r="A329" t="s">
        <v>611</v>
      </c>
      <c r="B329" s="1">
        <v>45849</v>
      </c>
      <c r="C329" t="s">
        <v>612</v>
      </c>
      <c r="D329" t="s">
        <v>30</v>
      </c>
      <c r="E329" t="s">
        <v>22</v>
      </c>
      <c r="F329" t="s">
        <v>72</v>
      </c>
      <c r="G329" t="s">
        <v>129</v>
      </c>
      <c r="H329" s="7">
        <v>2</v>
      </c>
      <c r="I329" s="4">
        <v>15180.06</v>
      </c>
      <c r="J329" s="23">
        <v>0.15</v>
      </c>
      <c r="K329" s="4">
        <v>12903.05</v>
      </c>
      <c r="L329" s="4">
        <v>8411.49</v>
      </c>
      <c r="M329" s="4">
        <v>4491.5600000000004</v>
      </c>
      <c r="N329" t="s">
        <v>25</v>
      </c>
      <c r="O329" s="7">
        <v>27</v>
      </c>
      <c r="P329" s="2">
        <v>45850.125</v>
      </c>
      <c r="Q329" t="s">
        <v>60</v>
      </c>
      <c r="R329">
        <v>7</v>
      </c>
      <c r="S329" t="s">
        <v>42</v>
      </c>
      <c r="T329">
        <f>IF(orders[[#This Row],[Status]]="Completed",1,0)</f>
        <v>1</v>
      </c>
      <c r="U329">
        <f>IF(orders[[#This Row],[Status]]="Pending",1,0)</f>
        <v>0</v>
      </c>
      <c r="V329">
        <f>IF(orders[[#This Row],[Status]]="Delayed",1,0)</f>
        <v>0</v>
      </c>
      <c r="W329">
        <f>IF(orders[[#This Row],[Status]]="Cancelled",1,0)</f>
        <v>0</v>
      </c>
    </row>
    <row r="330" spans="1:23" x14ac:dyDescent="0.35">
      <c r="A330" t="s">
        <v>613</v>
      </c>
      <c r="B330" s="1">
        <v>45706</v>
      </c>
      <c r="C330" t="s">
        <v>614</v>
      </c>
      <c r="D330" t="s">
        <v>149</v>
      </c>
      <c r="E330" t="s">
        <v>59</v>
      </c>
      <c r="F330" t="s">
        <v>72</v>
      </c>
      <c r="G330" t="s">
        <v>119</v>
      </c>
      <c r="H330" s="7">
        <v>1</v>
      </c>
      <c r="I330" s="4">
        <v>6943.63</v>
      </c>
      <c r="J330" s="23">
        <v>0.2</v>
      </c>
      <c r="K330" s="4">
        <v>5554.9</v>
      </c>
      <c r="L330" s="4">
        <v>3591.28</v>
      </c>
      <c r="M330" s="4">
        <v>1963.62</v>
      </c>
      <c r="N330" t="s">
        <v>25</v>
      </c>
      <c r="O330" s="7">
        <v>11</v>
      </c>
      <c r="P330" s="2">
        <v>45706.458333333336</v>
      </c>
      <c r="Q330" t="s">
        <v>139</v>
      </c>
      <c r="R330">
        <v>2</v>
      </c>
      <c r="S330" t="s">
        <v>55</v>
      </c>
      <c r="T330">
        <f>IF(orders[[#This Row],[Status]]="Completed",1,0)</f>
        <v>1</v>
      </c>
      <c r="U330">
        <f>IF(orders[[#This Row],[Status]]="Pending",1,0)</f>
        <v>0</v>
      </c>
      <c r="V330">
        <f>IF(orders[[#This Row],[Status]]="Delayed",1,0)</f>
        <v>0</v>
      </c>
      <c r="W330">
        <f>IF(orders[[#This Row],[Status]]="Cancelled",1,0)</f>
        <v>0</v>
      </c>
    </row>
    <row r="331" spans="1:23" x14ac:dyDescent="0.35">
      <c r="A331" t="s">
        <v>615</v>
      </c>
      <c r="B331" s="1">
        <v>45674</v>
      </c>
      <c r="C331" t="s">
        <v>219</v>
      </c>
      <c r="D331" t="s">
        <v>58</v>
      </c>
      <c r="E331" t="s">
        <v>92</v>
      </c>
      <c r="F331" t="s">
        <v>32</v>
      </c>
      <c r="G331" t="s">
        <v>53</v>
      </c>
      <c r="H331" s="7">
        <v>7</v>
      </c>
      <c r="I331" s="4">
        <v>42839.02</v>
      </c>
      <c r="J331" s="23">
        <v>0</v>
      </c>
      <c r="K331" s="4">
        <v>42839.02</v>
      </c>
      <c r="L331" s="4">
        <v>34846.550000000003</v>
      </c>
      <c r="M331" s="4">
        <v>7992.47</v>
      </c>
      <c r="N331" t="s">
        <v>25</v>
      </c>
      <c r="O331" s="7">
        <v>8</v>
      </c>
      <c r="P331" s="2">
        <v>45674.333333333336</v>
      </c>
      <c r="Q331" t="s">
        <v>65</v>
      </c>
      <c r="R331">
        <v>1</v>
      </c>
      <c r="S331" t="s">
        <v>55</v>
      </c>
      <c r="T331">
        <f>IF(orders[[#This Row],[Status]]="Completed",1,0)</f>
        <v>1</v>
      </c>
      <c r="U331">
        <f>IF(orders[[#This Row],[Status]]="Pending",1,0)</f>
        <v>0</v>
      </c>
      <c r="V331">
        <f>IF(orders[[#This Row],[Status]]="Delayed",1,0)</f>
        <v>0</v>
      </c>
      <c r="W331">
        <f>IF(orders[[#This Row],[Status]]="Cancelled",1,0)</f>
        <v>0</v>
      </c>
    </row>
    <row r="332" spans="1:23" x14ac:dyDescent="0.35">
      <c r="A332" t="s">
        <v>616</v>
      </c>
      <c r="B332" s="1">
        <v>45829</v>
      </c>
      <c r="C332" t="s">
        <v>37</v>
      </c>
      <c r="D332" t="s">
        <v>68</v>
      </c>
      <c r="E332" t="s">
        <v>46</v>
      </c>
      <c r="F332" t="s">
        <v>72</v>
      </c>
      <c r="G332" t="s">
        <v>146</v>
      </c>
      <c r="H332" s="7">
        <v>4</v>
      </c>
      <c r="I332" s="4">
        <v>8909.84</v>
      </c>
      <c r="J332" s="23">
        <v>0.25</v>
      </c>
      <c r="K332" s="4">
        <v>6682.38</v>
      </c>
      <c r="L332" s="4">
        <v>5402.71</v>
      </c>
      <c r="M332" s="4">
        <v>1279.67</v>
      </c>
      <c r="N332" t="s">
        <v>98</v>
      </c>
      <c r="O332" s="7">
        <v>6</v>
      </c>
      <c r="P332" s="2">
        <v>45829.25</v>
      </c>
      <c r="Q332" t="s">
        <v>99</v>
      </c>
      <c r="R332">
        <v>6</v>
      </c>
      <c r="S332" t="s">
        <v>27</v>
      </c>
      <c r="T332">
        <f>IF(orders[[#This Row],[Status]]="Completed",1,0)</f>
        <v>0</v>
      </c>
      <c r="U332">
        <f>IF(orders[[#This Row],[Status]]="Pending",1,0)</f>
        <v>1</v>
      </c>
      <c r="V332">
        <f>IF(orders[[#This Row],[Status]]="Delayed",1,0)</f>
        <v>0</v>
      </c>
      <c r="W332">
        <f>IF(orders[[#This Row],[Status]]="Cancelled",1,0)</f>
        <v>0</v>
      </c>
    </row>
    <row r="333" spans="1:23" x14ac:dyDescent="0.35">
      <c r="A333" t="s">
        <v>617</v>
      </c>
      <c r="B333" s="1">
        <v>45877</v>
      </c>
      <c r="C333" t="s">
        <v>618</v>
      </c>
      <c r="D333" t="s">
        <v>63</v>
      </c>
      <c r="E333" t="s">
        <v>46</v>
      </c>
      <c r="F333" t="s">
        <v>83</v>
      </c>
      <c r="G333" t="s">
        <v>107</v>
      </c>
      <c r="H333" s="7">
        <v>5</v>
      </c>
      <c r="I333" s="4">
        <v>38751.550000000003</v>
      </c>
      <c r="J333" s="23">
        <v>0</v>
      </c>
      <c r="K333" s="4">
        <v>38751.550000000003</v>
      </c>
      <c r="L333" s="4">
        <v>25818.6</v>
      </c>
      <c r="M333" s="4">
        <v>12932.95</v>
      </c>
      <c r="N333" t="s">
        <v>25</v>
      </c>
      <c r="O333" s="7">
        <v>17</v>
      </c>
      <c r="P333" s="2">
        <v>45877.708333333336</v>
      </c>
      <c r="Q333" t="s">
        <v>80</v>
      </c>
      <c r="R333">
        <v>8</v>
      </c>
      <c r="S333" t="s">
        <v>42</v>
      </c>
      <c r="T333">
        <f>IF(orders[[#This Row],[Status]]="Completed",1,0)</f>
        <v>1</v>
      </c>
      <c r="U333">
        <f>IF(orders[[#This Row],[Status]]="Pending",1,0)</f>
        <v>0</v>
      </c>
      <c r="V333">
        <f>IF(orders[[#This Row],[Status]]="Delayed",1,0)</f>
        <v>0</v>
      </c>
      <c r="W333">
        <f>IF(orders[[#This Row],[Status]]="Cancelled",1,0)</f>
        <v>0</v>
      </c>
    </row>
    <row r="334" spans="1:23" x14ac:dyDescent="0.35">
      <c r="A334" t="s">
        <v>619</v>
      </c>
      <c r="B334" s="1">
        <v>45815</v>
      </c>
      <c r="C334" t="s">
        <v>157</v>
      </c>
      <c r="D334" t="s">
        <v>30</v>
      </c>
      <c r="E334" t="s">
        <v>113</v>
      </c>
      <c r="F334" t="s">
        <v>32</v>
      </c>
      <c r="G334" t="s">
        <v>64</v>
      </c>
      <c r="H334" s="7">
        <v>7</v>
      </c>
      <c r="I334" s="4">
        <v>10075.59</v>
      </c>
      <c r="J334" s="23">
        <v>0.1</v>
      </c>
      <c r="K334" s="4">
        <v>9068.0300000000007</v>
      </c>
      <c r="L334" s="4">
        <v>5882</v>
      </c>
      <c r="M334" s="4">
        <v>3186.03</v>
      </c>
      <c r="N334" t="s">
        <v>25</v>
      </c>
      <c r="O334" s="7">
        <v>19</v>
      </c>
      <c r="P334" s="2">
        <v>45815.791666666664</v>
      </c>
      <c r="Q334" t="s">
        <v>99</v>
      </c>
      <c r="R334">
        <v>6</v>
      </c>
      <c r="S334" t="s">
        <v>27</v>
      </c>
      <c r="T334">
        <f>IF(orders[[#This Row],[Status]]="Completed",1,0)</f>
        <v>1</v>
      </c>
      <c r="U334">
        <f>IF(orders[[#This Row],[Status]]="Pending",1,0)</f>
        <v>0</v>
      </c>
      <c r="V334">
        <f>IF(orders[[#This Row],[Status]]="Delayed",1,0)</f>
        <v>0</v>
      </c>
      <c r="W334">
        <f>IF(orders[[#This Row],[Status]]="Cancelled",1,0)</f>
        <v>0</v>
      </c>
    </row>
    <row r="335" spans="1:23" x14ac:dyDescent="0.35">
      <c r="A335" t="s">
        <v>620</v>
      </c>
      <c r="B335" s="1">
        <v>45703</v>
      </c>
      <c r="C335" t="s">
        <v>621</v>
      </c>
      <c r="D335" t="s">
        <v>77</v>
      </c>
      <c r="E335" t="s">
        <v>59</v>
      </c>
      <c r="F335" t="s">
        <v>72</v>
      </c>
      <c r="G335" t="s">
        <v>146</v>
      </c>
      <c r="H335" s="7">
        <v>3</v>
      </c>
      <c r="I335" s="4">
        <v>16150.59</v>
      </c>
      <c r="J335" s="23">
        <v>0.15</v>
      </c>
      <c r="K335" s="4">
        <v>13728</v>
      </c>
      <c r="L335" s="4">
        <v>10086.540000000001</v>
      </c>
      <c r="M335" s="4">
        <v>3641.46</v>
      </c>
      <c r="N335" t="s">
        <v>25</v>
      </c>
      <c r="O335" s="7">
        <v>23</v>
      </c>
      <c r="P335" s="2">
        <v>45703.958333333336</v>
      </c>
      <c r="Q335" t="s">
        <v>139</v>
      </c>
      <c r="R335">
        <v>2</v>
      </c>
      <c r="S335" t="s">
        <v>55</v>
      </c>
      <c r="T335">
        <f>IF(orders[[#This Row],[Status]]="Completed",1,0)</f>
        <v>1</v>
      </c>
      <c r="U335">
        <f>IF(orders[[#This Row],[Status]]="Pending",1,0)</f>
        <v>0</v>
      </c>
      <c r="V335">
        <f>IF(orders[[#This Row],[Status]]="Delayed",1,0)</f>
        <v>0</v>
      </c>
      <c r="W335">
        <f>IF(orders[[#This Row],[Status]]="Cancelled",1,0)</f>
        <v>0</v>
      </c>
    </row>
    <row r="336" spans="1:23" x14ac:dyDescent="0.35">
      <c r="A336" t="s">
        <v>622</v>
      </c>
      <c r="B336" s="1">
        <v>45663</v>
      </c>
      <c r="C336" t="s">
        <v>623</v>
      </c>
      <c r="D336" t="s">
        <v>30</v>
      </c>
      <c r="E336" t="s">
        <v>22</v>
      </c>
      <c r="F336" t="s">
        <v>39</v>
      </c>
      <c r="G336" t="s">
        <v>47</v>
      </c>
      <c r="H336" s="7">
        <v>1</v>
      </c>
      <c r="I336" s="4">
        <v>390.49</v>
      </c>
      <c r="J336" s="23">
        <v>0.05</v>
      </c>
      <c r="K336" s="4">
        <v>370.97</v>
      </c>
      <c r="L336" s="4">
        <v>205.06</v>
      </c>
      <c r="M336" s="4">
        <v>165.91</v>
      </c>
      <c r="N336" t="s">
        <v>85</v>
      </c>
      <c r="O336" s="7">
        <v>57</v>
      </c>
      <c r="P336" s="2">
        <v>45665.375</v>
      </c>
      <c r="Q336" t="s">
        <v>65</v>
      </c>
      <c r="R336">
        <v>1</v>
      </c>
      <c r="S336" t="s">
        <v>55</v>
      </c>
      <c r="T336">
        <f>IF(orders[[#This Row],[Status]]="Completed",1,0)</f>
        <v>0</v>
      </c>
      <c r="U336">
        <f>IF(orders[[#This Row],[Status]]="Pending",1,0)</f>
        <v>0</v>
      </c>
      <c r="V336">
        <f>IF(orders[[#This Row],[Status]]="Delayed",1,0)</f>
        <v>1</v>
      </c>
      <c r="W336">
        <f>IF(orders[[#This Row],[Status]]="Cancelled",1,0)</f>
        <v>0</v>
      </c>
    </row>
    <row r="337" spans="1:23" x14ac:dyDescent="0.35">
      <c r="A337" t="s">
        <v>624</v>
      </c>
      <c r="B337" s="1">
        <v>45756</v>
      </c>
      <c r="C337" t="s">
        <v>223</v>
      </c>
      <c r="D337" t="s">
        <v>30</v>
      </c>
      <c r="E337" t="s">
        <v>46</v>
      </c>
      <c r="F337" t="s">
        <v>72</v>
      </c>
      <c r="G337" t="s">
        <v>119</v>
      </c>
      <c r="H337" s="7">
        <v>5</v>
      </c>
      <c r="I337" s="4">
        <v>27625.3</v>
      </c>
      <c r="J337" s="23">
        <v>0.05</v>
      </c>
      <c r="K337" s="4">
        <v>26244.04</v>
      </c>
      <c r="L337" s="4">
        <v>15150.16</v>
      </c>
      <c r="M337" s="4">
        <v>11093.88</v>
      </c>
      <c r="N337" t="s">
        <v>85</v>
      </c>
      <c r="O337" s="7">
        <v>80</v>
      </c>
      <c r="P337" s="2">
        <v>45759.333333333336</v>
      </c>
      <c r="Q337" t="s">
        <v>26</v>
      </c>
      <c r="R337">
        <v>4</v>
      </c>
      <c r="S337" t="s">
        <v>27</v>
      </c>
      <c r="T337">
        <f>IF(orders[[#This Row],[Status]]="Completed",1,0)</f>
        <v>0</v>
      </c>
      <c r="U337">
        <f>IF(orders[[#This Row],[Status]]="Pending",1,0)</f>
        <v>0</v>
      </c>
      <c r="V337">
        <f>IF(orders[[#This Row],[Status]]="Delayed",1,0)</f>
        <v>1</v>
      </c>
      <c r="W337">
        <f>IF(orders[[#This Row],[Status]]="Cancelled",1,0)</f>
        <v>0</v>
      </c>
    </row>
    <row r="338" spans="1:23" x14ac:dyDescent="0.35">
      <c r="A338" t="s">
        <v>625</v>
      </c>
      <c r="B338" s="1">
        <v>45890</v>
      </c>
      <c r="C338" t="s">
        <v>541</v>
      </c>
      <c r="D338" t="s">
        <v>149</v>
      </c>
      <c r="E338" t="s">
        <v>92</v>
      </c>
      <c r="F338" t="s">
        <v>83</v>
      </c>
      <c r="G338" t="s">
        <v>155</v>
      </c>
      <c r="H338" s="7">
        <v>5</v>
      </c>
      <c r="I338" s="4">
        <v>12320.8</v>
      </c>
      <c r="J338" s="23">
        <v>0</v>
      </c>
      <c r="K338" s="4">
        <v>12320.8</v>
      </c>
      <c r="L338" s="4">
        <v>7289.43</v>
      </c>
      <c r="M338" s="4">
        <v>5031.37</v>
      </c>
      <c r="N338" t="s">
        <v>98</v>
      </c>
      <c r="O338" s="7">
        <v>1</v>
      </c>
      <c r="P338" s="2">
        <v>45890.041666666664</v>
      </c>
      <c r="Q338" t="s">
        <v>80</v>
      </c>
      <c r="R338">
        <v>8</v>
      </c>
      <c r="S338" t="s">
        <v>42</v>
      </c>
      <c r="T338">
        <f>IF(orders[[#This Row],[Status]]="Completed",1,0)</f>
        <v>0</v>
      </c>
      <c r="U338">
        <f>IF(orders[[#This Row],[Status]]="Pending",1,0)</f>
        <v>1</v>
      </c>
      <c r="V338">
        <f>IF(orders[[#This Row],[Status]]="Delayed",1,0)</f>
        <v>0</v>
      </c>
      <c r="W338">
        <f>IF(orders[[#This Row],[Status]]="Cancelled",1,0)</f>
        <v>0</v>
      </c>
    </row>
    <row r="339" spans="1:23" x14ac:dyDescent="0.35">
      <c r="A339" t="s">
        <v>626</v>
      </c>
      <c r="B339" s="1">
        <v>45694</v>
      </c>
      <c r="C339" t="s">
        <v>627</v>
      </c>
      <c r="D339" t="s">
        <v>51</v>
      </c>
      <c r="E339" t="s">
        <v>46</v>
      </c>
      <c r="F339" t="s">
        <v>23</v>
      </c>
      <c r="G339" t="s">
        <v>122</v>
      </c>
      <c r="H339" s="7">
        <v>2</v>
      </c>
      <c r="I339" s="4">
        <v>7809.6</v>
      </c>
      <c r="J339" s="23">
        <v>0</v>
      </c>
      <c r="K339" s="4">
        <v>7809.6</v>
      </c>
      <c r="L339" s="4">
        <v>4773.12</v>
      </c>
      <c r="M339" s="4">
        <v>3036.48</v>
      </c>
      <c r="N339" t="s">
        <v>98</v>
      </c>
      <c r="O339" s="7">
        <v>9</v>
      </c>
      <c r="P339" s="2">
        <v>45694.375</v>
      </c>
      <c r="Q339" t="s">
        <v>139</v>
      </c>
      <c r="R339">
        <v>2</v>
      </c>
      <c r="S339" t="s">
        <v>55</v>
      </c>
      <c r="T339">
        <f>IF(orders[[#This Row],[Status]]="Completed",1,0)</f>
        <v>0</v>
      </c>
      <c r="U339">
        <f>IF(orders[[#This Row],[Status]]="Pending",1,0)</f>
        <v>1</v>
      </c>
      <c r="V339">
        <f>IF(orders[[#This Row],[Status]]="Delayed",1,0)</f>
        <v>0</v>
      </c>
      <c r="W339">
        <f>IF(orders[[#This Row],[Status]]="Cancelled",1,0)</f>
        <v>0</v>
      </c>
    </row>
    <row r="340" spans="1:23" x14ac:dyDescent="0.35">
      <c r="A340" t="s">
        <v>628</v>
      </c>
      <c r="B340" s="1">
        <v>45937</v>
      </c>
      <c r="C340" t="s">
        <v>486</v>
      </c>
      <c r="D340" t="s">
        <v>38</v>
      </c>
      <c r="E340" t="s">
        <v>78</v>
      </c>
      <c r="F340" t="s">
        <v>72</v>
      </c>
      <c r="G340" t="s">
        <v>146</v>
      </c>
      <c r="H340" s="7">
        <v>7</v>
      </c>
      <c r="I340" s="4">
        <v>21230.720000000001</v>
      </c>
      <c r="J340" s="23">
        <v>0.1</v>
      </c>
      <c r="K340" s="4">
        <v>19107.650000000001</v>
      </c>
      <c r="L340" s="4">
        <v>13737.75</v>
      </c>
      <c r="M340" s="4">
        <v>5369.9</v>
      </c>
      <c r="N340" t="s">
        <v>25</v>
      </c>
      <c r="O340" s="7">
        <v>38</v>
      </c>
      <c r="P340" s="2">
        <v>45938.583333333336</v>
      </c>
      <c r="Q340" t="s">
        <v>116</v>
      </c>
      <c r="R340">
        <v>10</v>
      </c>
      <c r="S340" t="s">
        <v>35</v>
      </c>
      <c r="T340">
        <f>IF(orders[[#This Row],[Status]]="Completed",1,0)</f>
        <v>1</v>
      </c>
      <c r="U340">
        <f>IF(orders[[#This Row],[Status]]="Pending",1,0)</f>
        <v>0</v>
      </c>
      <c r="V340">
        <f>IF(orders[[#This Row],[Status]]="Delayed",1,0)</f>
        <v>0</v>
      </c>
      <c r="W340">
        <f>IF(orders[[#This Row],[Status]]="Cancelled",1,0)</f>
        <v>0</v>
      </c>
    </row>
    <row r="341" spans="1:23" x14ac:dyDescent="0.35">
      <c r="A341" t="s">
        <v>629</v>
      </c>
      <c r="B341" s="1">
        <v>46006</v>
      </c>
      <c r="C341" t="s">
        <v>57</v>
      </c>
      <c r="D341" t="s">
        <v>51</v>
      </c>
      <c r="E341" t="s">
        <v>92</v>
      </c>
      <c r="F341" t="s">
        <v>23</v>
      </c>
      <c r="G341" t="s">
        <v>136</v>
      </c>
      <c r="H341" s="7">
        <v>2</v>
      </c>
      <c r="I341" s="4">
        <v>3185.04</v>
      </c>
      <c r="J341" s="23">
        <v>0.1</v>
      </c>
      <c r="K341" s="4">
        <v>2866.54</v>
      </c>
      <c r="L341" s="4">
        <v>2515.2199999999998</v>
      </c>
      <c r="M341" s="4">
        <v>351.32</v>
      </c>
      <c r="N341" t="s">
        <v>85</v>
      </c>
      <c r="O341" s="7">
        <v>55</v>
      </c>
      <c r="P341" s="2">
        <v>46008.291666666664</v>
      </c>
      <c r="Q341" t="s">
        <v>34</v>
      </c>
      <c r="R341">
        <v>12</v>
      </c>
      <c r="S341" t="s">
        <v>35</v>
      </c>
      <c r="T341">
        <f>IF(orders[[#This Row],[Status]]="Completed",1,0)</f>
        <v>0</v>
      </c>
      <c r="U341">
        <f>IF(orders[[#This Row],[Status]]="Pending",1,0)</f>
        <v>0</v>
      </c>
      <c r="V341">
        <f>IF(orders[[#This Row],[Status]]="Delayed",1,0)</f>
        <v>1</v>
      </c>
      <c r="W341">
        <f>IF(orders[[#This Row],[Status]]="Cancelled",1,0)</f>
        <v>0</v>
      </c>
    </row>
    <row r="342" spans="1:23" x14ac:dyDescent="0.35">
      <c r="A342" t="s">
        <v>630</v>
      </c>
      <c r="B342" s="1">
        <v>45959</v>
      </c>
      <c r="C342" t="s">
        <v>493</v>
      </c>
      <c r="D342" t="s">
        <v>58</v>
      </c>
      <c r="E342" t="s">
        <v>59</v>
      </c>
      <c r="F342" t="s">
        <v>39</v>
      </c>
      <c r="G342" t="s">
        <v>47</v>
      </c>
      <c r="H342" s="7">
        <v>1</v>
      </c>
      <c r="I342" s="4">
        <v>5343.54</v>
      </c>
      <c r="J342" s="23">
        <v>0.15</v>
      </c>
      <c r="K342" s="4">
        <v>4542.01</v>
      </c>
      <c r="L342" s="4">
        <v>3476.28</v>
      </c>
      <c r="M342" s="4">
        <v>1065.73</v>
      </c>
      <c r="N342" t="s">
        <v>25</v>
      </c>
      <c r="O342" s="7">
        <v>32</v>
      </c>
      <c r="P342" s="2">
        <v>45960.333333333336</v>
      </c>
      <c r="Q342" t="s">
        <v>116</v>
      </c>
      <c r="R342">
        <v>10</v>
      </c>
      <c r="S342" t="s">
        <v>35</v>
      </c>
      <c r="T342">
        <f>IF(orders[[#This Row],[Status]]="Completed",1,0)</f>
        <v>1</v>
      </c>
      <c r="U342">
        <f>IF(orders[[#This Row],[Status]]="Pending",1,0)</f>
        <v>0</v>
      </c>
      <c r="V342">
        <f>IF(orders[[#This Row],[Status]]="Delayed",1,0)</f>
        <v>0</v>
      </c>
      <c r="W342">
        <f>IF(orders[[#This Row],[Status]]="Cancelled",1,0)</f>
        <v>0</v>
      </c>
    </row>
    <row r="343" spans="1:23" x14ac:dyDescent="0.35">
      <c r="A343" t="s">
        <v>631</v>
      </c>
      <c r="B343" s="1">
        <v>45838</v>
      </c>
      <c r="C343" t="s">
        <v>307</v>
      </c>
      <c r="D343" t="s">
        <v>77</v>
      </c>
      <c r="E343" t="s">
        <v>46</v>
      </c>
      <c r="F343" t="s">
        <v>72</v>
      </c>
      <c r="G343" t="s">
        <v>146</v>
      </c>
      <c r="H343" s="7">
        <v>7</v>
      </c>
      <c r="I343" s="4">
        <v>52601.5</v>
      </c>
      <c r="J343" s="23">
        <v>0.1</v>
      </c>
      <c r="K343" s="4">
        <v>47341.35</v>
      </c>
      <c r="L343" s="4">
        <v>26995.39</v>
      </c>
      <c r="M343" s="4">
        <v>20345.96</v>
      </c>
      <c r="N343" t="s">
        <v>48</v>
      </c>
      <c r="O343" s="7">
        <v>10</v>
      </c>
      <c r="P343" s="2">
        <v>45838.416666666664</v>
      </c>
      <c r="Q343" t="s">
        <v>99</v>
      </c>
      <c r="R343">
        <v>6</v>
      </c>
      <c r="S343" t="s">
        <v>27</v>
      </c>
      <c r="T343">
        <f>IF(orders[[#This Row],[Status]]="Completed",1,0)</f>
        <v>0</v>
      </c>
      <c r="U343">
        <f>IF(orders[[#This Row],[Status]]="Pending",1,0)</f>
        <v>0</v>
      </c>
      <c r="V343">
        <f>IF(orders[[#This Row],[Status]]="Delayed",1,0)</f>
        <v>0</v>
      </c>
      <c r="W343">
        <f>IF(orders[[#This Row],[Status]]="Cancelled",1,0)</f>
        <v>1</v>
      </c>
    </row>
    <row r="344" spans="1:23" x14ac:dyDescent="0.35">
      <c r="A344" t="s">
        <v>632</v>
      </c>
      <c r="B344" s="1">
        <v>45752</v>
      </c>
      <c r="C344" t="s">
        <v>633</v>
      </c>
      <c r="D344" t="s">
        <v>68</v>
      </c>
      <c r="E344" t="s">
        <v>22</v>
      </c>
      <c r="F344" t="s">
        <v>32</v>
      </c>
      <c r="G344" t="s">
        <v>53</v>
      </c>
      <c r="H344" s="7">
        <v>6</v>
      </c>
      <c r="I344" s="4">
        <v>48950.1</v>
      </c>
      <c r="J344" s="23">
        <v>0.1</v>
      </c>
      <c r="K344" s="4">
        <v>44055.09</v>
      </c>
      <c r="L344" s="4">
        <v>31871.27</v>
      </c>
      <c r="M344" s="4">
        <v>12183.82</v>
      </c>
      <c r="N344" t="s">
        <v>85</v>
      </c>
      <c r="O344" s="7">
        <v>87</v>
      </c>
      <c r="P344" s="2">
        <v>45755.625</v>
      </c>
      <c r="Q344" t="s">
        <v>26</v>
      </c>
      <c r="R344">
        <v>4</v>
      </c>
      <c r="S344" t="s">
        <v>27</v>
      </c>
      <c r="T344">
        <f>IF(orders[[#This Row],[Status]]="Completed",1,0)</f>
        <v>0</v>
      </c>
      <c r="U344">
        <f>IF(orders[[#This Row],[Status]]="Pending",1,0)</f>
        <v>0</v>
      </c>
      <c r="V344">
        <f>IF(orders[[#This Row],[Status]]="Delayed",1,0)</f>
        <v>1</v>
      </c>
      <c r="W344">
        <f>IF(orders[[#This Row],[Status]]="Cancelled",1,0)</f>
        <v>0</v>
      </c>
    </row>
    <row r="345" spans="1:23" x14ac:dyDescent="0.35">
      <c r="A345" t="s">
        <v>634</v>
      </c>
      <c r="B345" s="1">
        <v>45756</v>
      </c>
      <c r="C345" t="s">
        <v>299</v>
      </c>
      <c r="D345" t="s">
        <v>45</v>
      </c>
      <c r="E345" t="s">
        <v>59</v>
      </c>
      <c r="F345" t="s">
        <v>23</v>
      </c>
      <c r="G345" t="s">
        <v>136</v>
      </c>
      <c r="H345" s="7">
        <v>7</v>
      </c>
      <c r="I345" s="4">
        <v>12292.63</v>
      </c>
      <c r="J345" s="23">
        <v>0</v>
      </c>
      <c r="K345" s="4">
        <v>12292.63</v>
      </c>
      <c r="L345" s="4">
        <v>8775.6200000000008</v>
      </c>
      <c r="M345" s="4">
        <v>3517.01</v>
      </c>
      <c r="N345" t="s">
        <v>85</v>
      </c>
      <c r="O345" s="7">
        <v>75</v>
      </c>
      <c r="P345" s="2">
        <v>45759.125</v>
      </c>
      <c r="Q345" t="s">
        <v>26</v>
      </c>
      <c r="R345">
        <v>4</v>
      </c>
      <c r="S345" t="s">
        <v>27</v>
      </c>
      <c r="T345">
        <f>IF(orders[[#This Row],[Status]]="Completed",1,0)</f>
        <v>0</v>
      </c>
      <c r="U345">
        <f>IF(orders[[#This Row],[Status]]="Pending",1,0)</f>
        <v>0</v>
      </c>
      <c r="V345">
        <f>IF(orders[[#This Row],[Status]]="Delayed",1,0)</f>
        <v>1</v>
      </c>
      <c r="W345">
        <f>IF(orders[[#This Row],[Status]]="Cancelled",1,0)</f>
        <v>0</v>
      </c>
    </row>
    <row r="346" spans="1:23" x14ac:dyDescent="0.35">
      <c r="A346" t="s">
        <v>635</v>
      </c>
      <c r="B346" s="1">
        <v>45845</v>
      </c>
      <c r="C346" t="s">
        <v>402</v>
      </c>
      <c r="D346" t="s">
        <v>58</v>
      </c>
      <c r="E346" t="s">
        <v>78</v>
      </c>
      <c r="F346" t="s">
        <v>39</v>
      </c>
      <c r="G346" t="s">
        <v>93</v>
      </c>
      <c r="H346" s="7">
        <v>6</v>
      </c>
      <c r="I346" s="4">
        <v>36840.36</v>
      </c>
      <c r="J346" s="23">
        <v>0</v>
      </c>
      <c r="K346" s="4">
        <v>36840.36</v>
      </c>
      <c r="L346" s="4">
        <v>22014.89</v>
      </c>
      <c r="M346" s="4">
        <v>14825.47</v>
      </c>
      <c r="N346" t="s">
        <v>25</v>
      </c>
      <c r="O346" s="7">
        <v>31</v>
      </c>
      <c r="P346" s="2">
        <v>45846.291666666664</v>
      </c>
      <c r="Q346" t="s">
        <v>60</v>
      </c>
      <c r="R346">
        <v>7</v>
      </c>
      <c r="S346" t="s">
        <v>42</v>
      </c>
      <c r="T346">
        <f>IF(orders[[#This Row],[Status]]="Completed",1,0)</f>
        <v>1</v>
      </c>
      <c r="U346">
        <f>IF(orders[[#This Row],[Status]]="Pending",1,0)</f>
        <v>0</v>
      </c>
      <c r="V346">
        <f>IF(orders[[#This Row],[Status]]="Delayed",1,0)</f>
        <v>0</v>
      </c>
      <c r="W346">
        <f>IF(orders[[#This Row],[Status]]="Cancelled",1,0)</f>
        <v>0</v>
      </c>
    </row>
    <row r="347" spans="1:23" x14ac:dyDescent="0.35">
      <c r="A347" t="s">
        <v>636</v>
      </c>
      <c r="B347" s="1">
        <v>45773</v>
      </c>
      <c r="C347" t="s">
        <v>418</v>
      </c>
      <c r="D347" t="s">
        <v>45</v>
      </c>
      <c r="E347" t="s">
        <v>31</v>
      </c>
      <c r="F347" t="s">
        <v>32</v>
      </c>
      <c r="G347" t="s">
        <v>89</v>
      </c>
      <c r="H347" s="7">
        <v>5</v>
      </c>
      <c r="I347" s="4">
        <v>28486.15</v>
      </c>
      <c r="J347" s="23">
        <v>0.25</v>
      </c>
      <c r="K347" s="4">
        <v>21364.61</v>
      </c>
      <c r="L347" s="4">
        <v>18238.75</v>
      </c>
      <c r="M347" s="4">
        <v>3125.86</v>
      </c>
      <c r="N347" t="s">
        <v>48</v>
      </c>
      <c r="O347" s="7">
        <v>24</v>
      </c>
      <c r="P347" s="2">
        <v>45774</v>
      </c>
      <c r="Q347" t="s">
        <v>26</v>
      </c>
      <c r="R347">
        <v>4</v>
      </c>
      <c r="S347" t="s">
        <v>27</v>
      </c>
      <c r="T347">
        <f>IF(orders[[#This Row],[Status]]="Completed",1,0)</f>
        <v>0</v>
      </c>
      <c r="U347">
        <f>IF(orders[[#This Row],[Status]]="Pending",1,0)</f>
        <v>0</v>
      </c>
      <c r="V347">
        <f>IF(orders[[#This Row],[Status]]="Delayed",1,0)</f>
        <v>0</v>
      </c>
      <c r="W347">
        <f>IF(orders[[#This Row],[Status]]="Cancelled",1,0)</f>
        <v>1</v>
      </c>
    </row>
    <row r="348" spans="1:23" x14ac:dyDescent="0.35">
      <c r="A348" t="s">
        <v>637</v>
      </c>
      <c r="B348" s="1">
        <v>45848</v>
      </c>
      <c r="C348" t="s">
        <v>422</v>
      </c>
      <c r="D348" t="s">
        <v>45</v>
      </c>
      <c r="E348" t="s">
        <v>22</v>
      </c>
      <c r="F348" t="s">
        <v>32</v>
      </c>
      <c r="G348" t="s">
        <v>79</v>
      </c>
      <c r="H348" s="7">
        <v>2</v>
      </c>
      <c r="I348" s="4">
        <v>6034.4</v>
      </c>
      <c r="J348" s="23">
        <v>0</v>
      </c>
      <c r="K348" s="4">
        <v>6034.4</v>
      </c>
      <c r="L348" s="4">
        <v>4196.6400000000003</v>
      </c>
      <c r="M348" s="4">
        <v>1837.76</v>
      </c>
      <c r="N348" t="s">
        <v>98</v>
      </c>
      <c r="O348" s="7">
        <v>23</v>
      </c>
      <c r="P348" s="2">
        <v>45848.958333333336</v>
      </c>
      <c r="Q348" t="s">
        <v>60</v>
      </c>
      <c r="R348">
        <v>7</v>
      </c>
      <c r="S348" t="s">
        <v>42</v>
      </c>
      <c r="T348">
        <f>IF(orders[[#This Row],[Status]]="Completed",1,0)</f>
        <v>0</v>
      </c>
      <c r="U348">
        <f>IF(orders[[#This Row],[Status]]="Pending",1,0)</f>
        <v>1</v>
      </c>
      <c r="V348">
        <f>IF(orders[[#This Row],[Status]]="Delayed",1,0)</f>
        <v>0</v>
      </c>
      <c r="W348">
        <f>IF(orders[[#This Row],[Status]]="Cancelled",1,0)</f>
        <v>0</v>
      </c>
    </row>
    <row r="349" spans="1:23" x14ac:dyDescent="0.35">
      <c r="A349" t="s">
        <v>638</v>
      </c>
      <c r="B349" s="1">
        <v>45910</v>
      </c>
      <c r="C349" t="s">
        <v>409</v>
      </c>
      <c r="D349" t="s">
        <v>68</v>
      </c>
      <c r="E349" t="s">
        <v>59</v>
      </c>
      <c r="F349" t="s">
        <v>32</v>
      </c>
      <c r="G349" t="s">
        <v>79</v>
      </c>
      <c r="H349" s="7">
        <v>3</v>
      </c>
      <c r="I349" s="4">
        <v>928.44</v>
      </c>
      <c r="J349" s="23">
        <v>0.1</v>
      </c>
      <c r="K349" s="4">
        <v>835.6</v>
      </c>
      <c r="L349" s="4">
        <v>733.83</v>
      </c>
      <c r="M349" s="4">
        <v>101.77</v>
      </c>
      <c r="N349" t="s">
        <v>48</v>
      </c>
      <c r="O349" s="7">
        <v>21</v>
      </c>
      <c r="P349" s="2">
        <v>45910.875</v>
      </c>
      <c r="Q349" t="s">
        <v>41</v>
      </c>
      <c r="R349">
        <v>9</v>
      </c>
      <c r="S349" t="s">
        <v>42</v>
      </c>
      <c r="T349">
        <f>IF(orders[[#This Row],[Status]]="Completed",1,0)</f>
        <v>0</v>
      </c>
      <c r="U349">
        <f>IF(orders[[#This Row],[Status]]="Pending",1,0)</f>
        <v>0</v>
      </c>
      <c r="V349">
        <f>IF(orders[[#This Row],[Status]]="Delayed",1,0)</f>
        <v>0</v>
      </c>
      <c r="W349">
        <f>IF(orders[[#This Row],[Status]]="Cancelled",1,0)</f>
        <v>1</v>
      </c>
    </row>
    <row r="350" spans="1:23" x14ac:dyDescent="0.35">
      <c r="A350" t="s">
        <v>639</v>
      </c>
      <c r="B350" s="1">
        <v>45818</v>
      </c>
      <c r="C350" t="s">
        <v>640</v>
      </c>
      <c r="D350" t="s">
        <v>21</v>
      </c>
      <c r="E350" t="s">
        <v>113</v>
      </c>
      <c r="F350" t="s">
        <v>32</v>
      </c>
      <c r="G350" t="s">
        <v>89</v>
      </c>
      <c r="H350" s="7">
        <v>7</v>
      </c>
      <c r="I350" s="4">
        <v>41368.32</v>
      </c>
      <c r="J350" s="23">
        <v>0</v>
      </c>
      <c r="K350" s="4">
        <v>41368.32</v>
      </c>
      <c r="L350" s="4">
        <v>28487.21</v>
      </c>
      <c r="M350" s="4">
        <v>12881.11</v>
      </c>
      <c r="N350" t="s">
        <v>85</v>
      </c>
      <c r="O350" s="7">
        <v>50</v>
      </c>
      <c r="P350" s="2">
        <v>45820.083333333336</v>
      </c>
      <c r="Q350" t="s">
        <v>99</v>
      </c>
      <c r="R350">
        <v>6</v>
      </c>
      <c r="S350" t="s">
        <v>27</v>
      </c>
      <c r="T350">
        <f>IF(orders[[#This Row],[Status]]="Completed",1,0)</f>
        <v>0</v>
      </c>
      <c r="U350">
        <f>IF(orders[[#This Row],[Status]]="Pending",1,0)</f>
        <v>0</v>
      </c>
      <c r="V350">
        <f>IF(orders[[#This Row],[Status]]="Delayed",1,0)</f>
        <v>1</v>
      </c>
      <c r="W350">
        <f>IF(orders[[#This Row],[Status]]="Cancelled",1,0)</f>
        <v>0</v>
      </c>
    </row>
    <row r="351" spans="1:23" x14ac:dyDescent="0.35">
      <c r="A351" t="s">
        <v>641</v>
      </c>
      <c r="B351" s="1">
        <v>45913</v>
      </c>
      <c r="C351" t="s">
        <v>377</v>
      </c>
      <c r="D351" t="s">
        <v>51</v>
      </c>
      <c r="E351" t="s">
        <v>46</v>
      </c>
      <c r="F351" t="s">
        <v>72</v>
      </c>
      <c r="G351" t="s">
        <v>146</v>
      </c>
      <c r="H351" s="7">
        <v>3</v>
      </c>
      <c r="I351" s="4">
        <v>24134.639999999999</v>
      </c>
      <c r="J351" s="23">
        <v>0.15</v>
      </c>
      <c r="K351" s="4">
        <v>20514.439999999999</v>
      </c>
      <c r="L351" s="4">
        <v>15398.67</v>
      </c>
      <c r="M351" s="4">
        <v>5115.7700000000004</v>
      </c>
      <c r="N351" t="s">
        <v>98</v>
      </c>
      <c r="O351" s="7">
        <v>2</v>
      </c>
      <c r="P351" s="2">
        <v>45913.083333333336</v>
      </c>
      <c r="Q351" t="s">
        <v>41</v>
      </c>
      <c r="R351">
        <v>9</v>
      </c>
      <c r="S351" t="s">
        <v>42</v>
      </c>
      <c r="T351">
        <f>IF(orders[[#This Row],[Status]]="Completed",1,0)</f>
        <v>0</v>
      </c>
      <c r="U351">
        <f>IF(orders[[#This Row],[Status]]="Pending",1,0)</f>
        <v>1</v>
      </c>
      <c r="V351">
        <f>IF(orders[[#This Row],[Status]]="Delayed",1,0)</f>
        <v>0</v>
      </c>
      <c r="W351">
        <f>IF(orders[[#This Row],[Status]]="Cancelled",1,0)</f>
        <v>0</v>
      </c>
    </row>
    <row r="352" spans="1:23" x14ac:dyDescent="0.35">
      <c r="A352" t="s">
        <v>642</v>
      </c>
      <c r="B352" s="1">
        <v>45980</v>
      </c>
      <c r="C352" t="s">
        <v>399</v>
      </c>
      <c r="D352" t="s">
        <v>30</v>
      </c>
      <c r="E352" t="s">
        <v>22</v>
      </c>
      <c r="F352" t="s">
        <v>72</v>
      </c>
      <c r="G352" t="s">
        <v>129</v>
      </c>
      <c r="H352" s="7">
        <v>7</v>
      </c>
      <c r="I352" s="4">
        <v>37997.4</v>
      </c>
      <c r="J352" s="23">
        <v>0.15</v>
      </c>
      <c r="K352" s="4">
        <v>32297.79</v>
      </c>
      <c r="L352" s="4">
        <v>18880.37</v>
      </c>
      <c r="M352" s="4">
        <v>13417.42</v>
      </c>
      <c r="N352" t="s">
        <v>48</v>
      </c>
      <c r="O352" s="7">
        <v>18</v>
      </c>
      <c r="P352" s="2">
        <v>45980.75</v>
      </c>
      <c r="Q352" t="s">
        <v>86</v>
      </c>
      <c r="R352">
        <v>11</v>
      </c>
      <c r="S352" t="s">
        <v>35</v>
      </c>
      <c r="T352">
        <f>IF(orders[[#This Row],[Status]]="Completed",1,0)</f>
        <v>0</v>
      </c>
      <c r="U352">
        <f>IF(orders[[#This Row],[Status]]="Pending",1,0)</f>
        <v>0</v>
      </c>
      <c r="V352">
        <f>IF(orders[[#This Row],[Status]]="Delayed",1,0)</f>
        <v>0</v>
      </c>
      <c r="W352">
        <f>IF(orders[[#This Row],[Status]]="Cancelled",1,0)</f>
        <v>1</v>
      </c>
    </row>
    <row r="353" spans="1:23" x14ac:dyDescent="0.35">
      <c r="A353" t="s">
        <v>643</v>
      </c>
      <c r="B353" s="1">
        <v>45785</v>
      </c>
      <c r="C353" t="s">
        <v>644</v>
      </c>
      <c r="D353" t="s">
        <v>63</v>
      </c>
      <c r="E353" t="s">
        <v>52</v>
      </c>
      <c r="F353" t="s">
        <v>72</v>
      </c>
      <c r="G353" t="s">
        <v>146</v>
      </c>
      <c r="H353" s="7">
        <v>5</v>
      </c>
      <c r="I353" s="4">
        <v>18923.45</v>
      </c>
      <c r="J353" s="23">
        <v>0.05</v>
      </c>
      <c r="K353" s="4">
        <v>17977.28</v>
      </c>
      <c r="L353" s="4">
        <v>12582.21</v>
      </c>
      <c r="M353" s="4">
        <v>5395.07</v>
      </c>
      <c r="N353" t="s">
        <v>98</v>
      </c>
      <c r="O353" s="7">
        <v>22</v>
      </c>
      <c r="P353" s="2">
        <v>45785.916666666664</v>
      </c>
      <c r="Q353" t="s">
        <v>74</v>
      </c>
      <c r="R353">
        <v>5</v>
      </c>
      <c r="S353" t="s">
        <v>27</v>
      </c>
      <c r="T353">
        <f>IF(orders[[#This Row],[Status]]="Completed",1,0)</f>
        <v>0</v>
      </c>
      <c r="U353">
        <f>IF(orders[[#This Row],[Status]]="Pending",1,0)</f>
        <v>1</v>
      </c>
      <c r="V353">
        <f>IF(orders[[#This Row],[Status]]="Delayed",1,0)</f>
        <v>0</v>
      </c>
      <c r="W353">
        <f>IF(orders[[#This Row],[Status]]="Cancelled",1,0)</f>
        <v>0</v>
      </c>
    </row>
    <row r="354" spans="1:23" x14ac:dyDescent="0.35">
      <c r="A354" t="s">
        <v>645</v>
      </c>
      <c r="B354" s="1">
        <v>45675</v>
      </c>
      <c r="C354" t="s">
        <v>640</v>
      </c>
      <c r="D354" t="s">
        <v>45</v>
      </c>
      <c r="E354" t="s">
        <v>22</v>
      </c>
      <c r="F354" t="s">
        <v>39</v>
      </c>
      <c r="G354" t="s">
        <v>93</v>
      </c>
      <c r="H354" s="7">
        <v>2</v>
      </c>
      <c r="I354" s="4">
        <v>9070.08</v>
      </c>
      <c r="J354" s="23">
        <v>0.05</v>
      </c>
      <c r="K354" s="4">
        <v>8616.58</v>
      </c>
      <c r="L354" s="4">
        <v>5418.04</v>
      </c>
      <c r="M354" s="4">
        <v>3198.54</v>
      </c>
      <c r="N354" t="s">
        <v>98</v>
      </c>
      <c r="O354" s="7">
        <v>12</v>
      </c>
      <c r="P354" s="2">
        <v>45675.5</v>
      </c>
      <c r="Q354" t="s">
        <v>65</v>
      </c>
      <c r="R354">
        <v>1</v>
      </c>
      <c r="S354" t="s">
        <v>55</v>
      </c>
      <c r="T354">
        <f>IF(orders[[#This Row],[Status]]="Completed",1,0)</f>
        <v>0</v>
      </c>
      <c r="U354">
        <f>IF(orders[[#This Row],[Status]]="Pending",1,0)</f>
        <v>1</v>
      </c>
      <c r="V354">
        <f>IF(orders[[#This Row],[Status]]="Delayed",1,0)</f>
        <v>0</v>
      </c>
      <c r="W354">
        <f>IF(orders[[#This Row],[Status]]="Cancelled",1,0)</f>
        <v>0</v>
      </c>
    </row>
    <row r="355" spans="1:23" x14ac:dyDescent="0.35">
      <c r="A355" t="s">
        <v>646</v>
      </c>
      <c r="B355" s="1">
        <v>45938</v>
      </c>
      <c r="C355" t="s">
        <v>647</v>
      </c>
      <c r="D355" t="s">
        <v>77</v>
      </c>
      <c r="E355" t="s">
        <v>31</v>
      </c>
      <c r="F355" t="s">
        <v>39</v>
      </c>
      <c r="G355" t="s">
        <v>40</v>
      </c>
      <c r="H355" s="7">
        <v>1</v>
      </c>
      <c r="I355" s="4">
        <v>1816.9</v>
      </c>
      <c r="J355" s="23">
        <v>0.1</v>
      </c>
      <c r="K355" s="4">
        <v>1635.21</v>
      </c>
      <c r="L355" s="4">
        <v>1350.25</v>
      </c>
      <c r="M355" s="4">
        <v>284.95999999999998</v>
      </c>
      <c r="N355" t="s">
        <v>25</v>
      </c>
      <c r="O355" s="7">
        <v>15</v>
      </c>
      <c r="P355" s="2">
        <v>45938.625</v>
      </c>
      <c r="Q355" t="s">
        <v>116</v>
      </c>
      <c r="R355">
        <v>10</v>
      </c>
      <c r="S355" t="s">
        <v>35</v>
      </c>
      <c r="T355">
        <f>IF(orders[[#This Row],[Status]]="Completed",1,0)</f>
        <v>1</v>
      </c>
      <c r="U355">
        <f>IF(orders[[#This Row],[Status]]="Pending",1,0)</f>
        <v>0</v>
      </c>
      <c r="V355">
        <f>IF(orders[[#This Row],[Status]]="Delayed",1,0)</f>
        <v>0</v>
      </c>
      <c r="W355">
        <f>IF(orders[[#This Row],[Status]]="Cancelled",1,0)</f>
        <v>0</v>
      </c>
    </row>
    <row r="356" spans="1:23" x14ac:dyDescent="0.35">
      <c r="A356" t="s">
        <v>648</v>
      </c>
      <c r="B356" s="1">
        <v>45880</v>
      </c>
      <c r="C356" t="s">
        <v>279</v>
      </c>
      <c r="D356" t="s">
        <v>58</v>
      </c>
      <c r="E356" t="s">
        <v>59</v>
      </c>
      <c r="F356" t="s">
        <v>39</v>
      </c>
      <c r="G356" t="s">
        <v>188</v>
      </c>
      <c r="H356" s="7">
        <v>1</v>
      </c>
      <c r="I356" s="4">
        <v>6417.04</v>
      </c>
      <c r="J356" s="23">
        <v>0.05</v>
      </c>
      <c r="K356" s="4">
        <v>6096.19</v>
      </c>
      <c r="L356" s="4">
        <v>4929.95</v>
      </c>
      <c r="M356" s="4">
        <v>1166.24</v>
      </c>
      <c r="N356" t="s">
        <v>25</v>
      </c>
      <c r="O356" s="7">
        <v>47</v>
      </c>
      <c r="P356" s="2">
        <v>45881.958333333336</v>
      </c>
      <c r="Q356" t="s">
        <v>80</v>
      </c>
      <c r="R356">
        <v>8</v>
      </c>
      <c r="S356" t="s">
        <v>42</v>
      </c>
      <c r="T356">
        <f>IF(orders[[#This Row],[Status]]="Completed",1,0)</f>
        <v>1</v>
      </c>
      <c r="U356">
        <f>IF(orders[[#This Row],[Status]]="Pending",1,0)</f>
        <v>0</v>
      </c>
      <c r="V356">
        <f>IF(orders[[#This Row],[Status]]="Delayed",1,0)</f>
        <v>0</v>
      </c>
      <c r="W356">
        <f>IF(orders[[#This Row],[Status]]="Cancelled",1,0)</f>
        <v>0</v>
      </c>
    </row>
    <row r="357" spans="1:23" x14ac:dyDescent="0.35">
      <c r="A357" t="s">
        <v>649</v>
      </c>
      <c r="B357" s="1">
        <v>45711</v>
      </c>
      <c r="C357" t="s">
        <v>467</v>
      </c>
      <c r="D357" t="s">
        <v>21</v>
      </c>
      <c r="E357" t="s">
        <v>78</v>
      </c>
      <c r="F357" t="s">
        <v>83</v>
      </c>
      <c r="G357" t="s">
        <v>152</v>
      </c>
      <c r="H357" s="7">
        <v>1</v>
      </c>
      <c r="I357" s="4">
        <v>6382.61</v>
      </c>
      <c r="J357" s="23">
        <v>0</v>
      </c>
      <c r="K357" s="4">
        <v>6382.61</v>
      </c>
      <c r="L357" s="4">
        <v>5246.37</v>
      </c>
      <c r="M357" s="4">
        <v>1136.24</v>
      </c>
      <c r="N357" t="s">
        <v>98</v>
      </c>
      <c r="O357" s="7">
        <v>13</v>
      </c>
      <c r="P357" s="2">
        <v>45711.541666666664</v>
      </c>
      <c r="Q357" t="s">
        <v>139</v>
      </c>
      <c r="R357">
        <v>2</v>
      </c>
      <c r="S357" t="s">
        <v>55</v>
      </c>
      <c r="T357">
        <f>IF(orders[[#This Row],[Status]]="Completed",1,0)</f>
        <v>0</v>
      </c>
      <c r="U357">
        <f>IF(orders[[#This Row],[Status]]="Pending",1,0)</f>
        <v>1</v>
      </c>
      <c r="V357">
        <f>IF(orders[[#This Row],[Status]]="Delayed",1,0)</f>
        <v>0</v>
      </c>
      <c r="W357">
        <f>IF(orders[[#This Row],[Status]]="Cancelled",1,0)</f>
        <v>0</v>
      </c>
    </row>
    <row r="358" spans="1:23" x14ac:dyDescent="0.35">
      <c r="A358" t="s">
        <v>650</v>
      </c>
      <c r="B358" s="1">
        <v>45715</v>
      </c>
      <c r="C358" t="s">
        <v>415</v>
      </c>
      <c r="D358" t="s">
        <v>45</v>
      </c>
      <c r="E358" t="s">
        <v>52</v>
      </c>
      <c r="F358" t="s">
        <v>39</v>
      </c>
      <c r="G358" t="s">
        <v>114</v>
      </c>
      <c r="H358" s="7">
        <v>7</v>
      </c>
      <c r="I358" s="4">
        <v>9555.49</v>
      </c>
      <c r="J358" s="23">
        <v>0.15</v>
      </c>
      <c r="K358" s="4">
        <v>8122.17</v>
      </c>
      <c r="L358" s="4">
        <v>6406.7</v>
      </c>
      <c r="M358" s="4">
        <v>1715.47</v>
      </c>
      <c r="N358" t="s">
        <v>25</v>
      </c>
      <c r="O358" s="7">
        <v>27</v>
      </c>
      <c r="P358" s="2">
        <v>45716.125</v>
      </c>
      <c r="Q358" t="s">
        <v>139</v>
      </c>
      <c r="R358">
        <v>2</v>
      </c>
      <c r="S358" t="s">
        <v>55</v>
      </c>
      <c r="T358">
        <f>IF(orders[[#This Row],[Status]]="Completed",1,0)</f>
        <v>1</v>
      </c>
      <c r="U358">
        <f>IF(orders[[#This Row],[Status]]="Pending",1,0)</f>
        <v>0</v>
      </c>
      <c r="V358">
        <f>IF(orders[[#This Row],[Status]]="Delayed",1,0)</f>
        <v>0</v>
      </c>
      <c r="W358">
        <f>IF(orders[[#This Row],[Status]]="Cancelled",1,0)</f>
        <v>0</v>
      </c>
    </row>
    <row r="359" spans="1:23" x14ac:dyDescent="0.35">
      <c r="A359" t="s">
        <v>651</v>
      </c>
      <c r="B359" s="1">
        <v>45980</v>
      </c>
      <c r="C359" t="s">
        <v>244</v>
      </c>
      <c r="D359" t="s">
        <v>21</v>
      </c>
      <c r="E359" t="s">
        <v>31</v>
      </c>
      <c r="F359" t="s">
        <v>72</v>
      </c>
      <c r="G359" t="s">
        <v>119</v>
      </c>
      <c r="H359" s="7">
        <v>7</v>
      </c>
      <c r="I359" s="4">
        <v>52367.839999999997</v>
      </c>
      <c r="J359" s="23">
        <v>0</v>
      </c>
      <c r="K359" s="4">
        <v>52367.839999999997</v>
      </c>
      <c r="L359" s="4">
        <v>43192.23</v>
      </c>
      <c r="M359" s="4">
        <v>9175.61</v>
      </c>
      <c r="N359" t="s">
        <v>85</v>
      </c>
      <c r="O359" s="7">
        <v>62</v>
      </c>
      <c r="P359" s="2">
        <v>45982.583333333336</v>
      </c>
      <c r="Q359" t="s">
        <v>86</v>
      </c>
      <c r="R359">
        <v>11</v>
      </c>
      <c r="S359" t="s">
        <v>35</v>
      </c>
      <c r="T359">
        <f>IF(orders[[#This Row],[Status]]="Completed",1,0)</f>
        <v>0</v>
      </c>
      <c r="U359">
        <f>IF(orders[[#This Row],[Status]]="Pending",1,0)</f>
        <v>0</v>
      </c>
      <c r="V359">
        <f>IF(orders[[#This Row],[Status]]="Delayed",1,0)</f>
        <v>1</v>
      </c>
      <c r="W359">
        <f>IF(orders[[#This Row],[Status]]="Cancelled",1,0)</f>
        <v>0</v>
      </c>
    </row>
    <row r="360" spans="1:23" x14ac:dyDescent="0.35">
      <c r="A360" t="s">
        <v>652</v>
      </c>
      <c r="B360" s="1">
        <v>46017</v>
      </c>
      <c r="C360" t="s">
        <v>488</v>
      </c>
      <c r="D360" t="s">
        <v>21</v>
      </c>
      <c r="E360" t="s">
        <v>113</v>
      </c>
      <c r="F360" t="s">
        <v>72</v>
      </c>
      <c r="G360" t="s">
        <v>129</v>
      </c>
      <c r="H360" s="7">
        <v>3</v>
      </c>
      <c r="I360" s="4">
        <v>7193.19</v>
      </c>
      <c r="J360" s="23">
        <v>0.2</v>
      </c>
      <c r="K360" s="4">
        <v>5754.55</v>
      </c>
      <c r="L360" s="4">
        <v>3546.38</v>
      </c>
      <c r="M360" s="4">
        <v>2208.17</v>
      </c>
      <c r="N360" t="s">
        <v>85</v>
      </c>
      <c r="O360" s="7">
        <v>92</v>
      </c>
      <c r="P360" s="2">
        <v>46020.833333333336</v>
      </c>
      <c r="Q360" t="s">
        <v>34</v>
      </c>
      <c r="R360">
        <v>12</v>
      </c>
      <c r="S360" t="s">
        <v>35</v>
      </c>
      <c r="T360">
        <f>IF(orders[[#This Row],[Status]]="Completed",1,0)</f>
        <v>0</v>
      </c>
      <c r="U360">
        <f>IF(orders[[#This Row],[Status]]="Pending",1,0)</f>
        <v>0</v>
      </c>
      <c r="V360">
        <f>IF(orders[[#This Row],[Status]]="Delayed",1,0)</f>
        <v>1</v>
      </c>
      <c r="W360">
        <f>IF(orders[[#This Row],[Status]]="Cancelled",1,0)</f>
        <v>0</v>
      </c>
    </row>
    <row r="361" spans="1:23" x14ac:dyDescent="0.35">
      <c r="A361" t="s">
        <v>653</v>
      </c>
      <c r="B361" s="1">
        <v>45831</v>
      </c>
      <c r="C361" t="s">
        <v>312</v>
      </c>
      <c r="D361" t="s">
        <v>45</v>
      </c>
      <c r="E361" t="s">
        <v>78</v>
      </c>
      <c r="F361" t="s">
        <v>83</v>
      </c>
      <c r="G361" t="s">
        <v>84</v>
      </c>
      <c r="H361" s="7">
        <v>2</v>
      </c>
      <c r="I361" s="4">
        <v>16703.68</v>
      </c>
      <c r="J361" s="23">
        <v>0.1</v>
      </c>
      <c r="K361" s="4">
        <v>15033.31</v>
      </c>
      <c r="L361" s="4">
        <v>10510.91</v>
      </c>
      <c r="M361" s="4">
        <v>4522.3999999999996</v>
      </c>
      <c r="N361" t="s">
        <v>25</v>
      </c>
      <c r="O361" s="7">
        <v>19</v>
      </c>
      <c r="P361" s="2">
        <v>45831.791666666664</v>
      </c>
      <c r="Q361" t="s">
        <v>99</v>
      </c>
      <c r="R361">
        <v>6</v>
      </c>
      <c r="S361" t="s">
        <v>27</v>
      </c>
      <c r="T361">
        <f>IF(orders[[#This Row],[Status]]="Completed",1,0)</f>
        <v>1</v>
      </c>
      <c r="U361">
        <f>IF(orders[[#This Row],[Status]]="Pending",1,0)</f>
        <v>0</v>
      </c>
      <c r="V361">
        <f>IF(orders[[#This Row],[Status]]="Delayed",1,0)</f>
        <v>0</v>
      </c>
      <c r="W361">
        <f>IF(orders[[#This Row],[Status]]="Cancelled",1,0)</f>
        <v>0</v>
      </c>
    </row>
    <row r="362" spans="1:23" x14ac:dyDescent="0.35">
      <c r="A362" t="s">
        <v>654</v>
      </c>
      <c r="B362" s="1">
        <v>45937</v>
      </c>
      <c r="C362" t="s">
        <v>402</v>
      </c>
      <c r="D362" t="s">
        <v>149</v>
      </c>
      <c r="E362" t="s">
        <v>78</v>
      </c>
      <c r="F362" t="s">
        <v>83</v>
      </c>
      <c r="G362" t="s">
        <v>107</v>
      </c>
      <c r="H362" s="7">
        <v>7</v>
      </c>
      <c r="I362" s="4">
        <v>23430.68</v>
      </c>
      <c r="J362" s="23">
        <v>0</v>
      </c>
      <c r="K362" s="4">
        <v>23430.68</v>
      </c>
      <c r="L362" s="4">
        <v>18236.32</v>
      </c>
      <c r="M362" s="4">
        <v>5194.3599999999997</v>
      </c>
      <c r="N362" t="s">
        <v>25</v>
      </c>
      <c r="O362" s="7">
        <v>35</v>
      </c>
      <c r="P362" s="2">
        <v>45938.458333333336</v>
      </c>
      <c r="Q362" t="s">
        <v>116</v>
      </c>
      <c r="R362">
        <v>10</v>
      </c>
      <c r="S362" t="s">
        <v>35</v>
      </c>
      <c r="T362">
        <f>IF(orders[[#This Row],[Status]]="Completed",1,0)</f>
        <v>1</v>
      </c>
      <c r="U362">
        <f>IF(orders[[#This Row],[Status]]="Pending",1,0)</f>
        <v>0</v>
      </c>
      <c r="V362">
        <f>IF(orders[[#This Row],[Status]]="Delayed",1,0)</f>
        <v>0</v>
      </c>
      <c r="W362">
        <f>IF(orders[[#This Row],[Status]]="Cancelled",1,0)</f>
        <v>0</v>
      </c>
    </row>
    <row r="363" spans="1:23" x14ac:dyDescent="0.35">
      <c r="A363" t="s">
        <v>655</v>
      </c>
      <c r="B363" s="1">
        <v>45771</v>
      </c>
      <c r="C363" t="s">
        <v>656</v>
      </c>
      <c r="D363" t="s">
        <v>38</v>
      </c>
      <c r="E363" t="s">
        <v>22</v>
      </c>
      <c r="F363" t="s">
        <v>39</v>
      </c>
      <c r="G363" t="s">
        <v>47</v>
      </c>
      <c r="H363" s="7">
        <v>2</v>
      </c>
      <c r="I363" s="4">
        <v>3270.66</v>
      </c>
      <c r="J363" s="23">
        <v>0.1</v>
      </c>
      <c r="K363" s="4">
        <v>2943.59</v>
      </c>
      <c r="L363" s="4">
        <v>2238.13</v>
      </c>
      <c r="M363" s="4">
        <v>705.46</v>
      </c>
      <c r="N363" t="s">
        <v>98</v>
      </c>
      <c r="O363" s="7">
        <v>12</v>
      </c>
      <c r="P363" s="2">
        <v>45771.5</v>
      </c>
      <c r="Q363" t="s">
        <v>26</v>
      </c>
      <c r="R363">
        <v>4</v>
      </c>
      <c r="S363" t="s">
        <v>27</v>
      </c>
      <c r="T363">
        <f>IF(orders[[#This Row],[Status]]="Completed",1,0)</f>
        <v>0</v>
      </c>
      <c r="U363">
        <f>IF(orders[[#This Row],[Status]]="Pending",1,0)</f>
        <v>1</v>
      </c>
      <c r="V363">
        <f>IF(orders[[#This Row],[Status]]="Delayed",1,0)</f>
        <v>0</v>
      </c>
      <c r="W363">
        <f>IF(orders[[#This Row],[Status]]="Cancelled",1,0)</f>
        <v>0</v>
      </c>
    </row>
    <row r="364" spans="1:23" x14ac:dyDescent="0.35">
      <c r="A364" t="s">
        <v>657</v>
      </c>
      <c r="B364" s="1">
        <v>45945</v>
      </c>
      <c r="C364" t="s">
        <v>341</v>
      </c>
      <c r="D364" t="s">
        <v>77</v>
      </c>
      <c r="E364" t="s">
        <v>46</v>
      </c>
      <c r="F364" t="s">
        <v>23</v>
      </c>
      <c r="G364" t="s">
        <v>24</v>
      </c>
      <c r="H364" s="7">
        <v>3</v>
      </c>
      <c r="I364" s="4">
        <v>9260.58</v>
      </c>
      <c r="J364" s="23">
        <v>0.1</v>
      </c>
      <c r="K364" s="4">
        <v>8334.52</v>
      </c>
      <c r="L364" s="4">
        <v>6554.24</v>
      </c>
      <c r="M364" s="4">
        <v>1780.28</v>
      </c>
      <c r="N364" t="s">
        <v>98</v>
      </c>
      <c r="O364" s="7">
        <v>4</v>
      </c>
      <c r="P364" s="2">
        <v>45945.166666666664</v>
      </c>
      <c r="Q364" t="s">
        <v>116</v>
      </c>
      <c r="R364">
        <v>10</v>
      </c>
      <c r="S364" t="s">
        <v>35</v>
      </c>
      <c r="T364">
        <f>IF(orders[[#This Row],[Status]]="Completed",1,0)</f>
        <v>0</v>
      </c>
      <c r="U364">
        <f>IF(orders[[#This Row],[Status]]="Pending",1,0)</f>
        <v>1</v>
      </c>
      <c r="V364">
        <f>IF(orders[[#This Row],[Status]]="Delayed",1,0)</f>
        <v>0</v>
      </c>
      <c r="W364">
        <f>IF(orders[[#This Row],[Status]]="Cancelled",1,0)</f>
        <v>0</v>
      </c>
    </row>
    <row r="365" spans="1:23" x14ac:dyDescent="0.35">
      <c r="A365" t="s">
        <v>658</v>
      </c>
      <c r="B365" s="1">
        <v>45999</v>
      </c>
      <c r="C365" t="s">
        <v>128</v>
      </c>
      <c r="D365" t="s">
        <v>30</v>
      </c>
      <c r="E365" t="s">
        <v>52</v>
      </c>
      <c r="F365" t="s">
        <v>83</v>
      </c>
      <c r="G365" t="s">
        <v>107</v>
      </c>
      <c r="H365" s="7">
        <v>7</v>
      </c>
      <c r="I365" s="4">
        <v>26778.57</v>
      </c>
      <c r="J365" s="23">
        <v>0.05</v>
      </c>
      <c r="K365" s="4">
        <v>25439.64</v>
      </c>
      <c r="L365" s="4">
        <v>15874.47</v>
      </c>
      <c r="M365" s="4">
        <v>9565.17</v>
      </c>
      <c r="N365" t="s">
        <v>98</v>
      </c>
      <c r="O365" s="7">
        <v>21</v>
      </c>
      <c r="P365" s="2">
        <v>45999.875</v>
      </c>
      <c r="Q365" t="s">
        <v>34</v>
      </c>
      <c r="R365">
        <v>12</v>
      </c>
      <c r="S365" t="s">
        <v>35</v>
      </c>
      <c r="T365">
        <f>IF(orders[[#This Row],[Status]]="Completed",1,0)</f>
        <v>0</v>
      </c>
      <c r="U365">
        <f>IF(orders[[#This Row],[Status]]="Pending",1,0)</f>
        <v>1</v>
      </c>
      <c r="V365">
        <f>IF(orders[[#This Row],[Status]]="Delayed",1,0)</f>
        <v>0</v>
      </c>
      <c r="W365">
        <f>IF(orders[[#This Row],[Status]]="Cancelled",1,0)</f>
        <v>0</v>
      </c>
    </row>
    <row r="366" spans="1:23" x14ac:dyDescent="0.35">
      <c r="A366" t="s">
        <v>659</v>
      </c>
      <c r="B366" s="1">
        <v>45808</v>
      </c>
      <c r="C366" t="s">
        <v>570</v>
      </c>
      <c r="D366" t="s">
        <v>30</v>
      </c>
      <c r="E366" t="s">
        <v>46</v>
      </c>
      <c r="F366" t="s">
        <v>32</v>
      </c>
      <c r="G366" t="s">
        <v>33</v>
      </c>
      <c r="H366" s="7">
        <v>1</v>
      </c>
      <c r="I366" s="4">
        <v>728.72</v>
      </c>
      <c r="J366" s="23">
        <v>0.05</v>
      </c>
      <c r="K366" s="4">
        <v>692.28</v>
      </c>
      <c r="L366" s="4">
        <v>403.24</v>
      </c>
      <c r="M366" s="4">
        <v>289.04000000000002</v>
      </c>
      <c r="N366" t="s">
        <v>48</v>
      </c>
      <c r="O366" s="7">
        <v>21</v>
      </c>
      <c r="P366" s="2">
        <v>45808.875</v>
      </c>
      <c r="Q366" t="s">
        <v>74</v>
      </c>
      <c r="R366">
        <v>5</v>
      </c>
      <c r="S366" t="s">
        <v>27</v>
      </c>
      <c r="T366">
        <f>IF(orders[[#This Row],[Status]]="Completed",1,0)</f>
        <v>0</v>
      </c>
      <c r="U366">
        <f>IF(orders[[#This Row],[Status]]="Pending",1,0)</f>
        <v>0</v>
      </c>
      <c r="V366">
        <f>IF(orders[[#This Row],[Status]]="Delayed",1,0)</f>
        <v>0</v>
      </c>
      <c r="W366">
        <f>IF(orders[[#This Row],[Status]]="Cancelled",1,0)</f>
        <v>1</v>
      </c>
    </row>
    <row r="367" spans="1:23" x14ac:dyDescent="0.35">
      <c r="A367" t="s">
        <v>660</v>
      </c>
      <c r="B367" s="1">
        <v>45784</v>
      </c>
      <c r="C367" t="s">
        <v>249</v>
      </c>
      <c r="D367" t="s">
        <v>77</v>
      </c>
      <c r="E367" t="s">
        <v>78</v>
      </c>
      <c r="F367" t="s">
        <v>72</v>
      </c>
      <c r="G367" t="s">
        <v>129</v>
      </c>
      <c r="H367" s="7">
        <v>1</v>
      </c>
      <c r="I367" s="4">
        <v>4978.12</v>
      </c>
      <c r="J367" s="23">
        <v>0.05</v>
      </c>
      <c r="K367" s="4">
        <v>4729.21</v>
      </c>
      <c r="L367" s="4">
        <v>4031.87</v>
      </c>
      <c r="M367" s="4">
        <v>697.34</v>
      </c>
      <c r="N367" t="s">
        <v>98</v>
      </c>
      <c r="O367" s="7">
        <v>16</v>
      </c>
      <c r="P367" s="2">
        <v>45784.666666666664</v>
      </c>
      <c r="Q367" t="s">
        <v>74</v>
      </c>
      <c r="R367">
        <v>5</v>
      </c>
      <c r="S367" t="s">
        <v>27</v>
      </c>
      <c r="T367">
        <f>IF(orders[[#This Row],[Status]]="Completed",1,0)</f>
        <v>0</v>
      </c>
      <c r="U367">
        <f>IF(orders[[#This Row],[Status]]="Pending",1,0)</f>
        <v>1</v>
      </c>
      <c r="V367">
        <f>IF(orders[[#This Row],[Status]]="Delayed",1,0)</f>
        <v>0</v>
      </c>
      <c r="W367">
        <f>IF(orders[[#This Row],[Status]]="Cancelled",1,0)</f>
        <v>0</v>
      </c>
    </row>
    <row r="368" spans="1:23" x14ac:dyDescent="0.35">
      <c r="A368" t="s">
        <v>661</v>
      </c>
      <c r="B368" s="1">
        <v>45812</v>
      </c>
      <c r="C368" t="s">
        <v>662</v>
      </c>
      <c r="D368" t="s">
        <v>149</v>
      </c>
      <c r="E368" t="s">
        <v>59</v>
      </c>
      <c r="F368" t="s">
        <v>32</v>
      </c>
      <c r="G368" t="s">
        <v>53</v>
      </c>
      <c r="H368" s="7">
        <v>5</v>
      </c>
      <c r="I368" s="4">
        <v>25701.15</v>
      </c>
      <c r="J368" s="23">
        <v>0.05</v>
      </c>
      <c r="K368" s="4">
        <v>24416.09</v>
      </c>
      <c r="L368" s="4">
        <v>17942.330000000002</v>
      </c>
      <c r="M368" s="4">
        <v>6473.76</v>
      </c>
      <c r="N368" t="s">
        <v>98</v>
      </c>
      <c r="O368" s="7">
        <v>2</v>
      </c>
      <c r="P368" s="2">
        <v>45812.083333333336</v>
      </c>
      <c r="Q368" t="s">
        <v>99</v>
      </c>
      <c r="R368">
        <v>6</v>
      </c>
      <c r="S368" t="s">
        <v>27</v>
      </c>
      <c r="T368">
        <f>IF(orders[[#This Row],[Status]]="Completed",1,0)</f>
        <v>0</v>
      </c>
      <c r="U368">
        <f>IF(orders[[#This Row],[Status]]="Pending",1,0)</f>
        <v>1</v>
      </c>
      <c r="V368">
        <f>IF(orders[[#This Row],[Status]]="Delayed",1,0)</f>
        <v>0</v>
      </c>
      <c r="W368">
        <f>IF(orders[[#This Row],[Status]]="Cancelled",1,0)</f>
        <v>0</v>
      </c>
    </row>
    <row r="369" spans="1:23" x14ac:dyDescent="0.35">
      <c r="A369" t="s">
        <v>663</v>
      </c>
      <c r="B369" s="1">
        <v>45930</v>
      </c>
      <c r="C369" t="s">
        <v>590</v>
      </c>
      <c r="D369" t="s">
        <v>30</v>
      </c>
      <c r="E369" t="s">
        <v>59</v>
      </c>
      <c r="F369" t="s">
        <v>72</v>
      </c>
      <c r="G369" t="s">
        <v>104</v>
      </c>
      <c r="H369" s="7">
        <v>6</v>
      </c>
      <c r="I369" s="4">
        <v>37920.42</v>
      </c>
      <c r="J369" s="23">
        <v>0</v>
      </c>
      <c r="K369" s="4">
        <v>37920.42</v>
      </c>
      <c r="L369" s="4">
        <v>22781.17</v>
      </c>
      <c r="M369" s="4">
        <v>15139.25</v>
      </c>
      <c r="N369" t="s">
        <v>25</v>
      </c>
      <c r="O369" s="7">
        <v>24</v>
      </c>
      <c r="P369" s="2">
        <v>45931</v>
      </c>
      <c r="Q369" t="s">
        <v>41</v>
      </c>
      <c r="R369">
        <v>9</v>
      </c>
      <c r="S369" t="s">
        <v>42</v>
      </c>
      <c r="T369">
        <f>IF(orders[[#This Row],[Status]]="Completed",1,0)</f>
        <v>1</v>
      </c>
      <c r="U369">
        <f>IF(orders[[#This Row],[Status]]="Pending",1,0)</f>
        <v>0</v>
      </c>
      <c r="V369">
        <f>IF(orders[[#This Row],[Status]]="Delayed",1,0)</f>
        <v>0</v>
      </c>
      <c r="W369">
        <f>IF(orders[[#This Row],[Status]]="Cancelled",1,0)</f>
        <v>0</v>
      </c>
    </row>
    <row r="370" spans="1:23" x14ac:dyDescent="0.35">
      <c r="A370" t="s">
        <v>664</v>
      </c>
      <c r="B370" s="1">
        <v>45761</v>
      </c>
      <c r="C370" t="s">
        <v>665</v>
      </c>
      <c r="D370" t="s">
        <v>21</v>
      </c>
      <c r="E370" t="s">
        <v>113</v>
      </c>
      <c r="F370" t="s">
        <v>72</v>
      </c>
      <c r="G370" t="s">
        <v>73</v>
      </c>
      <c r="H370" s="7">
        <v>4</v>
      </c>
      <c r="I370" s="4">
        <v>1574.28</v>
      </c>
      <c r="J370" s="23">
        <v>0.05</v>
      </c>
      <c r="K370" s="4">
        <v>1495.57</v>
      </c>
      <c r="L370" s="4">
        <v>1214.1500000000001</v>
      </c>
      <c r="M370" s="4">
        <v>281.42</v>
      </c>
      <c r="N370" t="s">
        <v>25</v>
      </c>
      <c r="O370" s="7">
        <v>46</v>
      </c>
      <c r="P370" s="2">
        <v>45762.916666666664</v>
      </c>
      <c r="Q370" t="s">
        <v>26</v>
      </c>
      <c r="R370">
        <v>4</v>
      </c>
      <c r="S370" t="s">
        <v>27</v>
      </c>
      <c r="T370">
        <f>IF(orders[[#This Row],[Status]]="Completed",1,0)</f>
        <v>1</v>
      </c>
      <c r="U370">
        <f>IF(orders[[#This Row],[Status]]="Pending",1,0)</f>
        <v>0</v>
      </c>
      <c r="V370">
        <f>IF(orders[[#This Row],[Status]]="Delayed",1,0)</f>
        <v>0</v>
      </c>
      <c r="W370">
        <f>IF(orders[[#This Row],[Status]]="Cancelled",1,0)</f>
        <v>0</v>
      </c>
    </row>
    <row r="371" spans="1:23" x14ac:dyDescent="0.35">
      <c r="A371" t="s">
        <v>666</v>
      </c>
      <c r="B371" s="1">
        <v>45956</v>
      </c>
      <c r="C371" t="s">
        <v>420</v>
      </c>
      <c r="D371" t="s">
        <v>68</v>
      </c>
      <c r="E371" t="s">
        <v>31</v>
      </c>
      <c r="F371" t="s">
        <v>83</v>
      </c>
      <c r="G371" t="s">
        <v>84</v>
      </c>
      <c r="H371" s="7">
        <v>6</v>
      </c>
      <c r="I371" s="4">
        <v>28016.04</v>
      </c>
      <c r="J371" s="23">
        <v>0.05</v>
      </c>
      <c r="K371" s="4">
        <v>26615.24</v>
      </c>
      <c r="L371" s="4">
        <v>22674.240000000002</v>
      </c>
      <c r="M371" s="4">
        <v>3941</v>
      </c>
      <c r="N371" t="s">
        <v>25</v>
      </c>
      <c r="O371" s="7">
        <v>9</v>
      </c>
      <c r="P371" s="2">
        <v>45956.375</v>
      </c>
      <c r="Q371" t="s">
        <v>116</v>
      </c>
      <c r="R371">
        <v>10</v>
      </c>
      <c r="S371" t="s">
        <v>35</v>
      </c>
      <c r="T371">
        <f>IF(orders[[#This Row],[Status]]="Completed",1,0)</f>
        <v>1</v>
      </c>
      <c r="U371">
        <f>IF(orders[[#This Row],[Status]]="Pending",1,0)</f>
        <v>0</v>
      </c>
      <c r="V371">
        <f>IF(orders[[#This Row],[Status]]="Delayed",1,0)</f>
        <v>0</v>
      </c>
      <c r="W371">
        <f>IF(orders[[#This Row],[Status]]="Cancelled",1,0)</f>
        <v>0</v>
      </c>
    </row>
    <row r="372" spans="1:23" x14ac:dyDescent="0.35">
      <c r="A372" t="s">
        <v>667</v>
      </c>
      <c r="B372" s="1">
        <v>45903</v>
      </c>
      <c r="C372" t="s">
        <v>668</v>
      </c>
      <c r="D372" t="s">
        <v>58</v>
      </c>
      <c r="E372" t="s">
        <v>52</v>
      </c>
      <c r="F372" t="s">
        <v>83</v>
      </c>
      <c r="G372" t="s">
        <v>107</v>
      </c>
      <c r="H372" s="7">
        <v>7</v>
      </c>
      <c r="I372" s="4">
        <v>4142.46</v>
      </c>
      <c r="J372" s="23">
        <v>0.1</v>
      </c>
      <c r="K372" s="4">
        <v>3728.21</v>
      </c>
      <c r="L372" s="4">
        <v>2259.13</v>
      </c>
      <c r="M372" s="4">
        <v>1469.08</v>
      </c>
      <c r="N372" t="s">
        <v>25</v>
      </c>
      <c r="O372" s="7">
        <v>12</v>
      </c>
      <c r="P372" s="2">
        <v>45903.5</v>
      </c>
      <c r="Q372" t="s">
        <v>41</v>
      </c>
      <c r="R372">
        <v>9</v>
      </c>
      <c r="S372" t="s">
        <v>42</v>
      </c>
      <c r="T372">
        <f>IF(orders[[#This Row],[Status]]="Completed",1,0)</f>
        <v>1</v>
      </c>
      <c r="U372">
        <f>IF(orders[[#This Row],[Status]]="Pending",1,0)</f>
        <v>0</v>
      </c>
      <c r="V372">
        <f>IF(orders[[#This Row],[Status]]="Delayed",1,0)</f>
        <v>0</v>
      </c>
      <c r="W372">
        <f>IF(orders[[#This Row],[Status]]="Cancelled",1,0)</f>
        <v>0</v>
      </c>
    </row>
    <row r="373" spans="1:23" x14ac:dyDescent="0.35">
      <c r="A373" t="s">
        <v>669</v>
      </c>
      <c r="B373" s="1">
        <v>45833</v>
      </c>
      <c r="C373" t="s">
        <v>602</v>
      </c>
      <c r="D373" t="s">
        <v>51</v>
      </c>
      <c r="E373" t="s">
        <v>113</v>
      </c>
      <c r="F373" t="s">
        <v>32</v>
      </c>
      <c r="G373" t="s">
        <v>53</v>
      </c>
      <c r="H373" s="7">
        <v>2</v>
      </c>
      <c r="I373" s="4">
        <v>12009.1</v>
      </c>
      <c r="J373" s="23">
        <v>0.1</v>
      </c>
      <c r="K373" s="4">
        <v>10808.19</v>
      </c>
      <c r="L373" s="4">
        <v>8859.9699999999993</v>
      </c>
      <c r="M373" s="4">
        <v>1948.22</v>
      </c>
      <c r="N373" t="s">
        <v>25</v>
      </c>
      <c r="O373" s="7">
        <v>4</v>
      </c>
      <c r="P373" s="2">
        <v>45833.166666666664</v>
      </c>
      <c r="Q373" t="s">
        <v>99</v>
      </c>
      <c r="R373">
        <v>6</v>
      </c>
      <c r="S373" t="s">
        <v>27</v>
      </c>
      <c r="T373">
        <f>IF(orders[[#This Row],[Status]]="Completed",1,0)</f>
        <v>1</v>
      </c>
      <c r="U373">
        <f>IF(orders[[#This Row],[Status]]="Pending",1,0)</f>
        <v>0</v>
      </c>
      <c r="V373">
        <f>IF(orders[[#This Row],[Status]]="Delayed",1,0)</f>
        <v>0</v>
      </c>
      <c r="W373">
        <f>IF(orders[[#This Row],[Status]]="Cancelled",1,0)</f>
        <v>0</v>
      </c>
    </row>
    <row r="374" spans="1:23" x14ac:dyDescent="0.35">
      <c r="A374" t="s">
        <v>670</v>
      </c>
      <c r="B374" s="1">
        <v>45696</v>
      </c>
      <c r="C374" t="s">
        <v>263</v>
      </c>
      <c r="D374" t="s">
        <v>30</v>
      </c>
      <c r="E374" t="s">
        <v>31</v>
      </c>
      <c r="F374" t="s">
        <v>72</v>
      </c>
      <c r="G374" t="s">
        <v>119</v>
      </c>
      <c r="H374" s="7">
        <v>7</v>
      </c>
      <c r="I374" s="4">
        <v>4307.3100000000004</v>
      </c>
      <c r="J374" s="23">
        <v>0.1</v>
      </c>
      <c r="K374" s="4">
        <v>3876.58</v>
      </c>
      <c r="L374" s="4">
        <v>3325.97</v>
      </c>
      <c r="M374" s="4">
        <v>550.61</v>
      </c>
      <c r="N374" t="s">
        <v>98</v>
      </c>
      <c r="O374" s="7">
        <v>10</v>
      </c>
      <c r="P374" s="2">
        <v>45696.416666666664</v>
      </c>
      <c r="Q374" t="s">
        <v>139</v>
      </c>
      <c r="R374">
        <v>2</v>
      </c>
      <c r="S374" t="s">
        <v>55</v>
      </c>
      <c r="T374">
        <f>IF(orders[[#This Row],[Status]]="Completed",1,0)</f>
        <v>0</v>
      </c>
      <c r="U374">
        <f>IF(orders[[#This Row],[Status]]="Pending",1,0)</f>
        <v>1</v>
      </c>
      <c r="V374">
        <f>IF(orders[[#This Row],[Status]]="Delayed",1,0)</f>
        <v>0</v>
      </c>
      <c r="W374">
        <f>IF(orders[[#This Row],[Status]]="Cancelled",1,0)</f>
        <v>0</v>
      </c>
    </row>
    <row r="375" spans="1:23" x14ac:dyDescent="0.35">
      <c r="A375" t="s">
        <v>671</v>
      </c>
      <c r="B375" s="1">
        <v>45827</v>
      </c>
      <c r="C375" t="s">
        <v>275</v>
      </c>
      <c r="D375" t="s">
        <v>77</v>
      </c>
      <c r="E375" t="s">
        <v>92</v>
      </c>
      <c r="F375" t="s">
        <v>32</v>
      </c>
      <c r="G375" t="s">
        <v>53</v>
      </c>
      <c r="H375" s="7">
        <v>2</v>
      </c>
      <c r="I375" s="4">
        <v>15525.86</v>
      </c>
      <c r="J375" s="23">
        <v>0.15</v>
      </c>
      <c r="K375" s="4">
        <v>13196.98</v>
      </c>
      <c r="L375" s="4">
        <v>11344.91</v>
      </c>
      <c r="M375" s="4">
        <v>1852.07</v>
      </c>
      <c r="N375" t="s">
        <v>25</v>
      </c>
      <c r="O375" s="7">
        <v>17</v>
      </c>
      <c r="P375" s="2">
        <v>45827.708333333336</v>
      </c>
      <c r="Q375" t="s">
        <v>99</v>
      </c>
      <c r="R375">
        <v>6</v>
      </c>
      <c r="S375" t="s">
        <v>27</v>
      </c>
      <c r="T375">
        <f>IF(orders[[#This Row],[Status]]="Completed",1,0)</f>
        <v>1</v>
      </c>
      <c r="U375">
        <f>IF(orders[[#This Row],[Status]]="Pending",1,0)</f>
        <v>0</v>
      </c>
      <c r="V375">
        <f>IF(orders[[#This Row],[Status]]="Delayed",1,0)</f>
        <v>0</v>
      </c>
      <c r="W375">
        <f>IF(orders[[#This Row],[Status]]="Cancelled",1,0)</f>
        <v>0</v>
      </c>
    </row>
    <row r="376" spans="1:23" x14ac:dyDescent="0.35">
      <c r="A376" t="s">
        <v>672</v>
      </c>
      <c r="B376" s="1">
        <v>45904</v>
      </c>
      <c r="C376" t="s">
        <v>673</v>
      </c>
      <c r="D376" t="s">
        <v>68</v>
      </c>
      <c r="E376" t="s">
        <v>92</v>
      </c>
      <c r="F376" t="s">
        <v>23</v>
      </c>
      <c r="G376" t="s">
        <v>122</v>
      </c>
      <c r="H376" s="7">
        <v>2</v>
      </c>
      <c r="I376" s="4">
        <v>12024.78</v>
      </c>
      <c r="J376" s="23">
        <v>0.15</v>
      </c>
      <c r="K376" s="4">
        <v>10221.06</v>
      </c>
      <c r="L376" s="4">
        <v>8704.99</v>
      </c>
      <c r="M376" s="4">
        <v>1516.07</v>
      </c>
      <c r="N376" t="s">
        <v>25</v>
      </c>
      <c r="O376" s="7">
        <v>9</v>
      </c>
      <c r="P376" s="2">
        <v>45904.375</v>
      </c>
      <c r="Q376" t="s">
        <v>41</v>
      </c>
      <c r="R376">
        <v>9</v>
      </c>
      <c r="S376" t="s">
        <v>42</v>
      </c>
      <c r="T376">
        <f>IF(orders[[#This Row],[Status]]="Completed",1,0)</f>
        <v>1</v>
      </c>
      <c r="U376">
        <f>IF(orders[[#This Row],[Status]]="Pending",1,0)</f>
        <v>0</v>
      </c>
      <c r="V376">
        <f>IF(orders[[#This Row],[Status]]="Delayed",1,0)</f>
        <v>0</v>
      </c>
      <c r="W376">
        <f>IF(orders[[#This Row],[Status]]="Cancelled",1,0)</f>
        <v>0</v>
      </c>
    </row>
    <row r="377" spans="1:23" x14ac:dyDescent="0.35">
      <c r="A377" t="s">
        <v>674</v>
      </c>
      <c r="B377" s="1">
        <v>45683</v>
      </c>
      <c r="C377" t="s">
        <v>95</v>
      </c>
      <c r="D377" t="s">
        <v>45</v>
      </c>
      <c r="E377" t="s">
        <v>31</v>
      </c>
      <c r="F377" t="s">
        <v>32</v>
      </c>
      <c r="G377" t="s">
        <v>89</v>
      </c>
      <c r="H377" s="7">
        <v>6</v>
      </c>
      <c r="I377" s="4">
        <v>26320.2</v>
      </c>
      <c r="J377" s="23">
        <v>0.1</v>
      </c>
      <c r="K377" s="4">
        <v>23688.18</v>
      </c>
      <c r="L377" s="4">
        <v>17299.93</v>
      </c>
      <c r="M377" s="4">
        <v>6388.25</v>
      </c>
      <c r="N377" t="s">
        <v>25</v>
      </c>
      <c r="O377" s="7">
        <v>4</v>
      </c>
      <c r="P377" s="2">
        <v>45683.166666666664</v>
      </c>
      <c r="Q377" t="s">
        <v>65</v>
      </c>
      <c r="R377">
        <v>1</v>
      </c>
      <c r="S377" t="s">
        <v>55</v>
      </c>
      <c r="T377">
        <f>IF(orders[[#This Row],[Status]]="Completed",1,0)</f>
        <v>1</v>
      </c>
      <c r="U377">
        <f>IF(orders[[#This Row],[Status]]="Pending",1,0)</f>
        <v>0</v>
      </c>
      <c r="V377">
        <f>IF(orders[[#This Row],[Status]]="Delayed",1,0)</f>
        <v>0</v>
      </c>
      <c r="W377">
        <f>IF(orders[[#This Row],[Status]]="Cancelled",1,0)</f>
        <v>0</v>
      </c>
    </row>
    <row r="378" spans="1:23" x14ac:dyDescent="0.35">
      <c r="A378" t="s">
        <v>675</v>
      </c>
      <c r="B378" s="1">
        <v>46012</v>
      </c>
      <c r="C378" t="s">
        <v>457</v>
      </c>
      <c r="D378" t="s">
        <v>38</v>
      </c>
      <c r="E378" t="s">
        <v>59</v>
      </c>
      <c r="F378" t="s">
        <v>39</v>
      </c>
      <c r="G378" t="s">
        <v>114</v>
      </c>
      <c r="H378" s="7">
        <v>4</v>
      </c>
      <c r="I378" s="4">
        <v>15346.24</v>
      </c>
      <c r="J378" s="23">
        <v>0.1</v>
      </c>
      <c r="K378" s="4">
        <v>13811.62</v>
      </c>
      <c r="L378" s="4">
        <v>9219.94</v>
      </c>
      <c r="M378" s="4">
        <v>4591.68</v>
      </c>
      <c r="N378" t="s">
        <v>25</v>
      </c>
      <c r="O378" s="7">
        <v>25</v>
      </c>
      <c r="P378" s="2">
        <v>46013.041666666664</v>
      </c>
      <c r="Q378" t="s">
        <v>34</v>
      </c>
      <c r="R378">
        <v>12</v>
      </c>
      <c r="S378" t="s">
        <v>35</v>
      </c>
      <c r="T378">
        <f>IF(orders[[#This Row],[Status]]="Completed",1,0)</f>
        <v>1</v>
      </c>
      <c r="U378">
        <f>IF(orders[[#This Row],[Status]]="Pending",1,0)</f>
        <v>0</v>
      </c>
      <c r="V378">
        <f>IF(orders[[#This Row],[Status]]="Delayed",1,0)</f>
        <v>0</v>
      </c>
      <c r="W378">
        <f>IF(orders[[#This Row],[Status]]="Cancelled",1,0)</f>
        <v>0</v>
      </c>
    </row>
    <row r="379" spans="1:23" x14ac:dyDescent="0.35">
      <c r="A379" t="s">
        <v>676</v>
      </c>
      <c r="B379" s="1">
        <v>45963</v>
      </c>
      <c r="C379" t="s">
        <v>677</v>
      </c>
      <c r="D379" t="s">
        <v>77</v>
      </c>
      <c r="E379" t="s">
        <v>59</v>
      </c>
      <c r="F379" t="s">
        <v>32</v>
      </c>
      <c r="G379" t="s">
        <v>33</v>
      </c>
      <c r="H379" s="7">
        <v>5</v>
      </c>
      <c r="I379" s="4">
        <v>6205.6</v>
      </c>
      <c r="J379" s="23">
        <v>0.05</v>
      </c>
      <c r="K379" s="4">
        <v>5895.32</v>
      </c>
      <c r="L379" s="4">
        <v>3256.57</v>
      </c>
      <c r="M379" s="4">
        <v>2638.75</v>
      </c>
      <c r="N379" t="s">
        <v>98</v>
      </c>
      <c r="O379" s="7">
        <v>5</v>
      </c>
      <c r="P379" s="2">
        <v>45963.208333333336</v>
      </c>
      <c r="Q379" t="s">
        <v>86</v>
      </c>
      <c r="R379">
        <v>11</v>
      </c>
      <c r="S379" t="s">
        <v>35</v>
      </c>
      <c r="T379">
        <f>IF(orders[[#This Row],[Status]]="Completed",1,0)</f>
        <v>0</v>
      </c>
      <c r="U379">
        <f>IF(orders[[#This Row],[Status]]="Pending",1,0)</f>
        <v>1</v>
      </c>
      <c r="V379">
        <f>IF(orders[[#This Row],[Status]]="Delayed",1,0)</f>
        <v>0</v>
      </c>
      <c r="W379">
        <f>IF(orders[[#This Row],[Status]]="Cancelled",1,0)</f>
        <v>0</v>
      </c>
    </row>
    <row r="380" spans="1:23" x14ac:dyDescent="0.35">
      <c r="A380" t="s">
        <v>678</v>
      </c>
      <c r="B380" s="1">
        <v>45670</v>
      </c>
      <c r="C380" t="s">
        <v>187</v>
      </c>
      <c r="D380" t="s">
        <v>21</v>
      </c>
      <c r="E380" t="s">
        <v>92</v>
      </c>
      <c r="F380" t="s">
        <v>39</v>
      </c>
      <c r="G380" t="s">
        <v>47</v>
      </c>
      <c r="H380" s="7">
        <v>6</v>
      </c>
      <c r="I380" s="4">
        <v>15479.04</v>
      </c>
      <c r="J380" s="23">
        <v>0.2</v>
      </c>
      <c r="K380" s="4">
        <v>12383.23</v>
      </c>
      <c r="L380" s="4">
        <v>7059.69</v>
      </c>
      <c r="M380" s="4">
        <v>5323.54</v>
      </c>
      <c r="N380" t="s">
        <v>98</v>
      </c>
      <c r="O380" s="7">
        <v>0</v>
      </c>
      <c r="P380" s="2">
        <v>45670</v>
      </c>
      <c r="Q380" t="s">
        <v>65</v>
      </c>
      <c r="R380">
        <v>1</v>
      </c>
      <c r="S380" t="s">
        <v>55</v>
      </c>
      <c r="T380">
        <f>IF(orders[[#This Row],[Status]]="Completed",1,0)</f>
        <v>0</v>
      </c>
      <c r="U380">
        <f>IF(orders[[#This Row],[Status]]="Pending",1,0)</f>
        <v>1</v>
      </c>
      <c r="V380">
        <f>IF(orders[[#This Row],[Status]]="Delayed",1,0)</f>
        <v>0</v>
      </c>
      <c r="W380">
        <f>IF(orders[[#This Row],[Status]]="Cancelled",1,0)</f>
        <v>0</v>
      </c>
    </row>
    <row r="381" spans="1:23" x14ac:dyDescent="0.35">
      <c r="A381" t="s">
        <v>679</v>
      </c>
      <c r="B381" s="1">
        <v>45973</v>
      </c>
      <c r="C381" t="s">
        <v>190</v>
      </c>
      <c r="D381" t="s">
        <v>38</v>
      </c>
      <c r="E381" t="s">
        <v>78</v>
      </c>
      <c r="F381" t="s">
        <v>39</v>
      </c>
      <c r="G381" t="s">
        <v>47</v>
      </c>
      <c r="H381" s="7">
        <v>4</v>
      </c>
      <c r="I381" s="4">
        <v>29623.24</v>
      </c>
      <c r="J381" s="23">
        <v>0</v>
      </c>
      <c r="K381" s="4">
        <v>29623.24</v>
      </c>
      <c r="L381" s="4">
        <v>20484.97</v>
      </c>
      <c r="M381" s="4">
        <v>9138.27</v>
      </c>
      <c r="N381" t="s">
        <v>25</v>
      </c>
      <c r="O381" s="7">
        <v>6</v>
      </c>
      <c r="P381" s="2">
        <v>45973.25</v>
      </c>
      <c r="Q381" t="s">
        <v>86</v>
      </c>
      <c r="R381">
        <v>11</v>
      </c>
      <c r="S381" t="s">
        <v>35</v>
      </c>
      <c r="T381">
        <f>IF(orders[[#This Row],[Status]]="Completed",1,0)</f>
        <v>1</v>
      </c>
      <c r="U381">
        <f>IF(orders[[#This Row],[Status]]="Pending",1,0)</f>
        <v>0</v>
      </c>
      <c r="V381">
        <f>IF(orders[[#This Row],[Status]]="Delayed",1,0)</f>
        <v>0</v>
      </c>
      <c r="W381">
        <f>IF(orders[[#This Row],[Status]]="Cancelled",1,0)</f>
        <v>0</v>
      </c>
    </row>
    <row r="382" spans="1:23" x14ac:dyDescent="0.35">
      <c r="A382" t="s">
        <v>680</v>
      </c>
      <c r="B382" s="1">
        <v>45970</v>
      </c>
      <c r="C382" t="s">
        <v>681</v>
      </c>
      <c r="D382" t="s">
        <v>58</v>
      </c>
      <c r="E382" t="s">
        <v>59</v>
      </c>
      <c r="F382" t="s">
        <v>39</v>
      </c>
      <c r="G382" t="s">
        <v>47</v>
      </c>
      <c r="H382" s="7">
        <v>1</v>
      </c>
      <c r="I382" s="4">
        <v>7702.18</v>
      </c>
      <c r="J382" s="23">
        <v>0.05</v>
      </c>
      <c r="K382" s="4">
        <v>7317.07</v>
      </c>
      <c r="L382" s="4">
        <v>4988.6099999999997</v>
      </c>
      <c r="M382" s="4">
        <v>2328.46</v>
      </c>
      <c r="N382" t="s">
        <v>85</v>
      </c>
      <c r="O382" s="7">
        <v>70</v>
      </c>
      <c r="P382" s="2">
        <v>45972.916666666664</v>
      </c>
      <c r="Q382" t="s">
        <v>86</v>
      </c>
      <c r="R382">
        <v>11</v>
      </c>
      <c r="S382" t="s">
        <v>35</v>
      </c>
      <c r="T382">
        <f>IF(orders[[#This Row],[Status]]="Completed",1,0)</f>
        <v>0</v>
      </c>
      <c r="U382">
        <f>IF(orders[[#This Row],[Status]]="Pending",1,0)</f>
        <v>0</v>
      </c>
      <c r="V382">
        <f>IF(orders[[#This Row],[Status]]="Delayed",1,0)</f>
        <v>1</v>
      </c>
      <c r="W382">
        <f>IF(orders[[#This Row],[Status]]="Cancelled",1,0)</f>
        <v>0</v>
      </c>
    </row>
    <row r="383" spans="1:23" x14ac:dyDescent="0.35">
      <c r="A383" t="s">
        <v>682</v>
      </c>
      <c r="B383" s="1">
        <v>45693</v>
      </c>
      <c r="C383" t="s">
        <v>426</v>
      </c>
      <c r="D383" t="s">
        <v>58</v>
      </c>
      <c r="E383" t="s">
        <v>46</v>
      </c>
      <c r="F383" t="s">
        <v>23</v>
      </c>
      <c r="G383" t="s">
        <v>122</v>
      </c>
      <c r="H383" s="7">
        <v>1</v>
      </c>
      <c r="I383" s="4">
        <v>156.24</v>
      </c>
      <c r="J383" s="23">
        <v>0.15</v>
      </c>
      <c r="K383" s="4">
        <v>132.80000000000001</v>
      </c>
      <c r="L383" s="4">
        <v>81.13</v>
      </c>
      <c r="M383" s="4">
        <v>51.67</v>
      </c>
      <c r="N383" t="s">
        <v>25</v>
      </c>
      <c r="O383" s="7">
        <v>9</v>
      </c>
      <c r="P383" s="2">
        <v>45693.375</v>
      </c>
      <c r="Q383" t="s">
        <v>139</v>
      </c>
      <c r="R383">
        <v>2</v>
      </c>
      <c r="S383" t="s">
        <v>55</v>
      </c>
      <c r="T383">
        <f>IF(orders[[#This Row],[Status]]="Completed",1,0)</f>
        <v>1</v>
      </c>
      <c r="U383">
        <f>IF(orders[[#This Row],[Status]]="Pending",1,0)</f>
        <v>0</v>
      </c>
      <c r="V383">
        <f>IF(orders[[#This Row],[Status]]="Delayed",1,0)</f>
        <v>0</v>
      </c>
      <c r="W383">
        <f>IF(orders[[#This Row],[Status]]="Cancelled",1,0)</f>
        <v>0</v>
      </c>
    </row>
    <row r="384" spans="1:23" x14ac:dyDescent="0.35">
      <c r="A384" t="s">
        <v>683</v>
      </c>
      <c r="B384" s="1">
        <v>45830</v>
      </c>
      <c r="C384" t="s">
        <v>684</v>
      </c>
      <c r="D384" t="s">
        <v>149</v>
      </c>
      <c r="E384" t="s">
        <v>78</v>
      </c>
      <c r="F384" t="s">
        <v>32</v>
      </c>
      <c r="G384" t="s">
        <v>33</v>
      </c>
      <c r="H384" s="7">
        <v>2</v>
      </c>
      <c r="I384" s="4">
        <v>10222.08</v>
      </c>
      <c r="J384" s="23">
        <v>0</v>
      </c>
      <c r="K384" s="4">
        <v>10222.08</v>
      </c>
      <c r="L384" s="4">
        <v>6956.21</v>
      </c>
      <c r="M384" s="4">
        <v>3265.87</v>
      </c>
      <c r="N384" t="s">
        <v>25</v>
      </c>
      <c r="O384" s="7">
        <v>9</v>
      </c>
      <c r="P384" s="2">
        <v>45830.375</v>
      </c>
      <c r="Q384" t="s">
        <v>99</v>
      </c>
      <c r="R384">
        <v>6</v>
      </c>
      <c r="S384" t="s">
        <v>27</v>
      </c>
      <c r="T384">
        <f>IF(orders[[#This Row],[Status]]="Completed",1,0)</f>
        <v>1</v>
      </c>
      <c r="U384">
        <f>IF(orders[[#This Row],[Status]]="Pending",1,0)</f>
        <v>0</v>
      </c>
      <c r="V384">
        <f>IF(orders[[#This Row],[Status]]="Delayed",1,0)</f>
        <v>0</v>
      </c>
      <c r="W384">
        <f>IF(orders[[#This Row],[Status]]="Cancelled",1,0)</f>
        <v>0</v>
      </c>
    </row>
    <row r="385" spans="1:23" x14ac:dyDescent="0.35">
      <c r="A385" t="s">
        <v>685</v>
      </c>
      <c r="B385" s="1">
        <v>45677</v>
      </c>
      <c r="C385" t="s">
        <v>321</v>
      </c>
      <c r="D385" t="s">
        <v>63</v>
      </c>
      <c r="E385" t="s">
        <v>59</v>
      </c>
      <c r="F385" t="s">
        <v>32</v>
      </c>
      <c r="G385" t="s">
        <v>33</v>
      </c>
      <c r="H385" s="7">
        <v>3</v>
      </c>
      <c r="I385" s="4">
        <v>18468.48</v>
      </c>
      <c r="J385" s="23">
        <v>0</v>
      </c>
      <c r="K385" s="4">
        <v>18468.48</v>
      </c>
      <c r="L385" s="4">
        <v>11222.09</v>
      </c>
      <c r="M385" s="4">
        <v>7246.39</v>
      </c>
      <c r="N385" t="s">
        <v>48</v>
      </c>
      <c r="O385" s="7">
        <v>1</v>
      </c>
      <c r="P385" s="2">
        <v>45677.041666666664</v>
      </c>
      <c r="Q385" t="s">
        <v>65</v>
      </c>
      <c r="R385">
        <v>1</v>
      </c>
      <c r="S385" t="s">
        <v>55</v>
      </c>
      <c r="T385">
        <f>IF(orders[[#This Row],[Status]]="Completed",1,0)</f>
        <v>0</v>
      </c>
      <c r="U385">
        <f>IF(orders[[#This Row],[Status]]="Pending",1,0)</f>
        <v>0</v>
      </c>
      <c r="V385">
        <f>IF(orders[[#This Row],[Status]]="Delayed",1,0)</f>
        <v>0</v>
      </c>
      <c r="W385">
        <f>IF(orders[[#This Row],[Status]]="Cancelled",1,0)</f>
        <v>1</v>
      </c>
    </row>
    <row r="386" spans="1:23" x14ac:dyDescent="0.35">
      <c r="A386" t="s">
        <v>686</v>
      </c>
      <c r="B386" s="1">
        <v>45978</v>
      </c>
      <c r="C386" t="s">
        <v>560</v>
      </c>
      <c r="D386" t="s">
        <v>149</v>
      </c>
      <c r="E386" t="s">
        <v>31</v>
      </c>
      <c r="F386" t="s">
        <v>23</v>
      </c>
      <c r="G386" t="s">
        <v>24</v>
      </c>
      <c r="H386" s="7">
        <v>7</v>
      </c>
      <c r="I386" s="4">
        <v>37215.78</v>
      </c>
      <c r="J386" s="23">
        <v>0.1</v>
      </c>
      <c r="K386" s="4">
        <v>33494.199999999997</v>
      </c>
      <c r="L386" s="4">
        <v>27803.57</v>
      </c>
      <c r="M386" s="4">
        <v>5690.63</v>
      </c>
      <c r="N386" t="s">
        <v>25</v>
      </c>
      <c r="O386" s="7">
        <v>24</v>
      </c>
      <c r="P386" s="2">
        <v>45979</v>
      </c>
      <c r="Q386" t="s">
        <v>86</v>
      </c>
      <c r="R386">
        <v>11</v>
      </c>
      <c r="S386" t="s">
        <v>35</v>
      </c>
      <c r="T386">
        <f>IF(orders[[#This Row],[Status]]="Completed",1,0)</f>
        <v>1</v>
      </c>
      <c r="U386">
        <f>IF(orders[[#This Row],[Status]]="Pending",1,0)</f>
        <v>0</v>
      </c>
      <c r="V386">
        <f>IF(orders[[#This Row],[Status]]="Delayed",1,0)</f>
        <v>0</v>
      </c>
      <c r="W386">
        <f>IF(orders[[#This Row],[Status]]="Cancelled",1,0)</f>
        <v>0</v>
      </c>
    </row>
    <row r="387" spans="1:23" x14ac:dyDescent="0.35">
      <c r="A387" t="s">
        <v>687</v>
      </c>
      <c r="B387" s="1">
        <v>45921</v>
      </c>
      <c r="C387" t="s">
        <v>420</v>
      </c>
      <c r="D387" t="s">
        <v>68</v>
      </c>
      <c r="E387" t="s">
        <v>22</v>
      </c>
      <c r="F387" t="s">
        <v>72</v>
      </c>
      <c r="G387" t="s">
        <v>119</v>
      </c>
      <c r="H387" s="7">
        <v>7</v>
      </c>
      <c r="I387" s="4">
        <v>5824.21</v>
      </c>
      <c r="J387" s="23">
        <v>0.1</v>
      </c>
      <c r="K387" s="4">
        <v>5241.79</v>
      </c>
      <c r="L387" s="4">
        <v>3398.8</v>
      </c>
      <c r="M387" s="4">
        <v>1842.99</v>
      </c>
      <c r="N387" t="s">
        <v>98</v>
      </c>
      <c r="O387" s="7">
        <v>2</v>
      </c>
      <c r="P387" s="2">
        <v>45921.083333333336</v>
      </c>
      <c r="Q387" t="s">
        <v>41</v>
      </c>
      <c r="R387">
        <v>9</v>
      </c>
      <c r="S387" t="s">
        <v>42</v>
      </c>
      <c r="T387">
        <f>IF(orders[[#This Row],[Status]]="Completed",1,0)</f>
        <v>0</v>
      </c>
      <c r="U387">
        <f>IF(orders[[#This Row],[Status]]="Pending",1,0)</f>
        <v>1</v>
      </c>
      <c r="V387">
        <f>IF(orders[[#This Row],[Status]]="Delayed",1,0)</f>
        <v>0</v>
      </c>
      <c r="W387">
        <f>IF(orders[[#This Row],[Status]]="Cancelled",1,0)</f>
        <v>0</v>
      </c>
    </row>
    <row r="388" spans="1:23" x14ac:dyDescent="0.35">
      <c r="A388" t="s">
        <v>688</v>
      </c>
      <c r="B388" s="1">
        <v>45799</v>
      </c>
      <c r="C388" t="s">
        <v>138</v>
      </c>
      <c r="D388" t="s">
        <v>38</v>
      </c>
      <c r="E388" t="s">
        <v>31</v>
      </c>
      <c r="F388" t="s">
        <v>83</v>
      </c>
      <c r="G388" t="s">
        <v>107</v>
      </c>
      <c r="H388" s="7">
        <v>2</v>
      </c>
      <c r="I388" s="4">
        <v>3936</v>
      </c>
      <c r="J388" s="23">
        <v>0.15</v>
      </c>
      <c r="K388" s="4">
        <v>3345.6</v>
      </c>
      <c r="L388" s="4">
        <v>2500.92</v>
      </c>
      <c r="M388" s="4">
        <v>844.68</v>
      </c>
      <c r="N388" t="s">
        <v>25</v>
      </c>
      <c r="O388" s="7">
        <v>29</v>
      </c>
      <c r="P388" s="2">
        <v>45800.208333333336</v>
      </c>
      <c r="Q388" t="s">
        <v>74</v>
      </c>
      <c r="R388">
        <v>5</v>
      </c>
      <c r="S388" t="s">
        <v>27</v>
      </c>
      <c r="T388">
        <f>IF(orders[[#This Row],[Status]]="Completed",1,0)</f>
        <v>1</v>
      </c>
      <c r="U388">
        <f>IF(orders[[#This Row],[Status]]="Pending",1,0)</f>
        <v>0</v>
      </c>
      <c r="V388">
        <f>IF(orders[[#This Row],[Status]]="Delayed",1,0)</f>
        <v>0</v>
      </c>
      <c r="W388">
        <f>IF(orders[[#This Row],[Status]]="Cancelled",1,0)</f>
        <v>0</v>
      </c>
    </row>
    <row r="389" spans="1:23" x14ac:dyDescent="0.35">
      <c r="A389" t="s">
        <v>689</v>
      </c>
      <c r="B389" s="1">
        <v>45800</v>
      </c>
      <c r="C389" t="s">
        <v>690</v>
      </c>
      <c r="D389" t="s">
        <v>63</v>
      </c>
      <c r="E389" t="s">
        <v>59</v>
      </c>
      <c r="F389" t="s">
        <v>32</v>
      </c>
      <c r="G389" t="s">
        <v>53</v>
      </c>
      <c r="H389" s="7">
        <v>3</v>
      </c>
      <c r="I389" s="4">
        <v>6721.02</v>
      </c>
      <c r="J389" s="23">
        <v>0.15</v>
      </c>
      <c r="K389" s="4">
        <v>5712.87</v>
      </c>
      <c r="L389" s="4">
        <v>4090.06</v>
      </c>
      <c r="M389" s="4">
        <v>1622.81</v>
      </c>
      <c r="N389" t="s">
        <v>25</v>
      </c>
      <c r="O389" s="7">
        <v>34</v>
      </c>
      <c r="P389" s="2">
        <v>45801.416666666664</v>
      </c>
      <c r="Q389" t="s">
        <v>74</v>
      </c>
      <c r="R389">
        <v>5</v>
      </c>
      <c r="S389" t="s">
        <v>27</v>
      </c>
      <c r="T389">
        <f>IF(orders[[#This Row],[Status]]="Completed",1,0)</f>
        <v>1</v>
      </c>
      <c r="U389">
        <f>IF(orders[[#This Row],[Status]]="Pending",1,0)</f>
        <v>0</v>
      </c>
      <c r="V389">
        <f>IF(orders[[#This Row],[Status]]="Delayed",1,0)</f>
        <v>0</v>
      </c>
      <c r="W389">
        <f>IF(orders[[#This Row],[Status]]="Cancelled",1,0)</f>
        <v>0</v>
      </c>
    </row>
    <row r="390" spans="1:23" x14ac:dyDescent="0.35">
      <c r="A390" t="s">
        <v>691</v>
      </c>
      <c r="B390" s="1">
        <v>45749</v>
      </c>
      <c r="C390" t="s">
        <v>692</v>
      </c>
      <c r="D390" t="s">
        <v>45</v>
      </c>
      <c r="E390" t="s">
        <v>31</v>
      </c>
      <c r="F390" t="s">
        <v>83</v>
      </c>
      <c r="G390" t="s">
        <v>107</v>
      </c>
      <c r="H390" s="7">
        <v>4</v>
      </c>
      <c r="I390" s="4">
        <v>28379.599999999999</v>
      </c>
      <c r="J390" s="23">
        <v>0</v>
      </c>
      <c r="K390" s="4">
        <v>28379.599999999999</v>
      </c>
      <c r="L390" s="4">
        <v>16094.67</v>
      </c>
      <c r="M390" s="4">
        <v>12284.93</v>
      </c>
      <c r="N390" t="s">
        <v>98</v>
      </c>
      <c r="O390" s="7">
        <v>16</v>
      </c>
      <c r="P390" s="2">
        <v>45749.666666666664</v>
      </c>
      <c r="Q390" t="s">
        <v>26</v>
      </c>
      <c r="R390">
        <v>4</v>
      </c>
      <c r="S390" t="s">
        <v>27</v>
      </c>
      <c r="T390">
        <f>IF(orders[[#This Row],[Status]]="Completed",1,0)</f>
        <v>0</v>
      </c>
      <c r="U390">
        <f>IF(orders[[#This Row],[Status]]="Pending",1,0)</f>
        <v>1</v>
      </c>
      <c r="V390">
        <f>IF(orders[[#This Row],[Status]]="Delayed",1,0)</f>
        <v>0</v>
      </c>
      <c r="W390">
        <f>IF(orders[[#This Row],[Status]]="Cancelled",1,0)</f>
        <v>0</v>
      </c>
    </row>
    <row r="391" spans="1:23" x14ac:dyDescent="0.35">
      <c r="A391" t="s">
        <v>693</v>
      </c>
      <c r="B391" s="1">
        <v>46011</v>
      </c>
      <c r="C391" t="s">
        <v>97</v>
      </c>
      <c r="D391" t="s">
        <v>21</v>
      </c>
      <c r="E391" t="s">
        <v>52</v>
      </c>
      <c r="F391" t="s">
        <v>23</v>
      </c>
      <c r="G391" t="s">
        <v>69</v>
      </c>
      <c r="H391" s="7">
        <v>1</v>
      </c>
      <c r="I391" s="4">
        <v>4017.72</v>
      </c>
      <c r="J391" s="23">
        <v>0</v>
      </c>
      <c r="K391" s="4">
        <v>4017.72</v>
      </c>
      <c r="L391" s="4">
        <v>3459</v>
      </c>
      <c r="M391" s="4">
        <v>558.72</v>
      </c>
      <c r="N391" t="s">
        <v>25</v>
      </c>
      <c r="O391" s="7">
        <v>35</v>
      </c>
      <c r="P391" s="2">
        <v>46012.458333333336</v>
      </c>
      <c r="Q391" t="s">
        <v>34</v>
      </c>
      <c r="R391">
        <v>12</v>
      </c>
      <c r="S391" t="s">
        <v>35</v>
      </c>
      <c r="T391">
        <f>IF(orders[[#This Row],[Status]]="Completed",1,0)</f>
        <v>1</v>
      </c>
      <c r="U391">
        <f>IF(orders[[#This Row],[Status]]="Pending",1,0)</f>
        <v>0</v>
      </c>
      <c r="V391">
        <f>IF(orders[[#This Row],[Status]]="Delayed",1,0)</f>
        <v>0</v>
      </c>
      <c r="W391">
        <f>IF(orders[[#This Row],[Status]]="Cancelled",1,0)</f>
        <v>0</v>
      </c>
    </row>
    <row r="392" spans="1:23" x14ac:dyDescent="0.35">
      <c r="A392" t="s">
        <v>694</v>
      </c>
      <c r="B392" s="1">
        <v>45979</v>
      </c>
      <c r="C392" t="s">
        <v>307</v>
      </c>
      <c r="D392" t="s">
        <v>38</v>
      </c>
      <c r="E392" t="s">
        <v>92</v>
      </c>
      <c r="F392" t="s">
        <v>72</v>
      </c>
      <c r="G392" t="s">
        <v>119</v>
      </c>
      <c r="H392" s="7">
        <v>7</v>
      </c>
      <c r="I392" s="4">
        <v>29505.14</v>
      </c>
      <c r="J392" s="23">
        <v>0.1</v>
      </c>
      <c r="K392" s="4">
        <v>26554.63</v>
      </c>
      <c r="L392" s="4">
        <v>19225.14</v>
      </c>
      <c r="M392" s="4">
        <v>7329.49</v>
      </c>
      <c r="N392" t="s">
        <v>25</v>
      </c>
      <c r="O392" s="7">
        <v>13</v>
      </c>
      <c r="P392" s="2">
        <v>45979.541666666664</v>
      </c>
      <c r="Q392" t="s">
        <v>86</v>
      </c>
      <c r="R392">
        <v>11</v>
      </c>
      <c r="S392" t="s">
        <v>35</v>
      </c>
      <c r="T392">
        <f>IF(orders[[#This Row],[Status]]="Completed",1,0)</f>
        <v>1</v>
      </c>
      <c r="U392">
        <f>IF(orders[[#This Row],[Status]]="Pending",1,0)</f>
        <v>0</v>
      </c>
      <c r="V392">
        <f>IF(orders[[#This Row],[Status]]="Delayed",1,0)</f>
        <v>0</v>
      </c>
      <c r="W392">
        <f>IF(orders[[#This Row],[Status]]="Cancelled",1,0)</f>
        <v>0</v>
      </c>
    </row>
    <row r="393" spans="1:23" x14ac:dyDescent="0.35">
      <c r="A393" t="s">
        <v>695</v>
      </c>
      <c r="B393" s="1">
        <v>45945</v>
      </c>
      <c r="C393" t="s">
        <v>583</v>
      </c>
      <c r="D393" t="s">
        <v>149</v>
      </c>
      <c r="E393" t="s">
        <v>22</v>
      </c>
      <c r="F393" t="s">
        <v>72</v>
      </c>
      <c r="G393" t="s">
        <v>146</v>
      </c>
      <c r="H393" s="7">
        <v>6</v>
      </c>
      <c r="I393" s="4">
        <v>47738.16</v>
      </c>
      <c r="J393" s="23">
        <v>0.05</v>
      </c>
      <c r="K393" s="4">
        <v>45351.25</v>
      </c>
      <c r="L393" s="4">
        <v>29807.97</v>
      </c>
      <c r="M393" s="4">
        <v>15543.28</v>
      </c>
      <c r="N393" t="s">
        <v>25</v>
      </c>
      <c r="O393" s="7">
        <v>26</v>
      </c>
      <c r="P393" s="2">
        <v>45946.083333333336</v>
      </c>
      <c r="Q393" t="s">
        <v>116</v>
      </c>
      <c r="R393">
        <v>10</v>
      </c>
      <c r="S393" t="s">
        <v>35</v>
      </c>
      <c r="T393">
        <f>IF(orders[[#This Row],[Status]]="Completed",1,0)</f>
        <v>1</v>
      </c>
      <c r="U393">
        <f>IF(orders[[#This Row],[Status]]="Pending",1,0)</f>
        <v>0</v>
      </c>
      <c r="V393">
        <f>IF(orders[[#This Row],[Status]]="Delayed",1,0)</f>
        <v>0</v>
      </c>
      <c r="W393">
        <f>IF(orders[[#This Row],[Status]]="Cancelled",1,0)</f>
        <v>0</v>
      </c>
    </row>
    <row r="394" spans="1:23" x14ac:dyDescent="0.35">
      <c r="A394" t="s">
        <v>696</v>
      </c>
      <c r="B394" s="1">
        <v>45872</v>
      </c>
      <c r="C394" t="s">
        <v>233</v>
      </c>
      <c r="D394" t="s">
        <v>51</v>
      </c>
      <c r="E394" t="s">
        <v>78</v>
      </c>
      <c r="F394" t="s">
        <v>72</v>
      </c>
      <c r="G394" t="s">
        <v>119</v>
      </c>
      <c r="H394" s="7">
        <v>3</v>
      </c>
      <c r="I394" s="4">
        <v>16409.009999999998</v>
      </c>
      <c r="J394" s="23">
        <v>0.1</v>
      </c>
      <c r="K394" s="4">
        <v>14768.11</v>
      </c>
      <c r="L394" s="4">
        <v>8893.09</v>
      </c>
      <c r="M394" s="4">
        <v>5875.02</v>
      </c>
      <c r="N394" t="s">
        <v>25</v>
      </c>
      <c r="O394" s="7">
        <v>9</v>
      </c>
      <c r="P394" s="2">
        <v>45872.375</v>
      </c>
      <c r="Q394" t="s">
        <v>80</v>
      </c>
      <c r="R394">
        <v>8</v>
      </c>
      <c r="S394" t="s">
        <v>42</v>
      </c>
      <c r="T394">
        <f>IF(orders[[#This Row],[Status]]="Completed",1,0)</f>
        <v>1</v>
      </c>
      <c r="U394">
        <f>IF(orders[[#This Row],[Status]]="Pending",1,0)</f>
        <v>0</v>
      </c>
      <c r="V394">
        <f>IF(orders[[#This Row],[Status]]="Delayed",1,0)</f>
        <v>0</v>
      </c>
      <c r="W394">
        <f>IF(orders[[#This Row],[Status]]="Cancelled",1,0)</f>
        <v>0</v>
      </c>
    </row>
    <row r="395" spans="1:23" x14ac:dyDescent="0.35">
      <c r="A395" t="s">
        <v>697</v>
      </c>
      <c r="B395" s="1">
        <v>45999</v>
      </c>
      <c r="C395" t="s">
        <v>698</v>
      </c>
      <c r="D395" t="s">
        <v>63</v>
      </c>
      <c r="E395" t="s">
        <v>78</v>
      </c>
      <c r="F395" t="s">
        <v>23</v>
      </c>
      <c r="G395" t="s">
        <v>122</v>
      </c>
      <c r="H395" s="7">
        <v>4</v>
      </c>
      <c r="I395" s="4">
        <v>30615.52</v>
      </c>
      <c r="J395" s="23">
        <v>0</v>
      </c>
      <c r="K395" s="4">
        <v>30615.52</v>
      </c>
      <c r="L395" s="4">
        <v>20258.71</v>
      </c>
      <c r="M395" s="4">
        <v>10356.81</v>
      </c>
      <c r="N395" t="s">
        <v>85</v>
      </c>
      <c r="O395" s="7">
        <v>70</v>
      </c>
      <c r="P395" s="2">
        <v>46001.916666666664</v>
      </c>
      <c r="Q395" t="s">
        <v>34</v>
      </c>
      <c r="R395">
        <v>12</v>
      </c>
      <c r="S395" t="s">
        <v>35</v>
      </c>
      <c r="T395">
        <f>IF(orders[[#This Row],[Status]]="Completed",1,0)</f>
        <v>0</v>
      </c>
      <c r="U395">
        <f>IF(orders[[#This Row],[Status]]="Pending",1,0)</f>
        <v>0</v>
      </c>
      <c r="V395">
        <f>IF(orders[[#This Row],[Status]]="Delayed",1,0)</f>
        <v>1</v>
      </c>
      <c r="W395">
        <f>IF(orders[[#This Row],[Status]]="Cancelled",1,0)</f>
        <v>0</v>
      </c>
    </row>
    <row r="396" spans="1:23" x14ac:dyDescent="0.35">
      <c r="A396" t="s">
        <v>699</v>
      </c>
      <c r="B396" s="1">
        <v>45708</v>
      </c>
      <c r="C396" t="s">
        <v>200</v>
      </c>
      <c r="D396" t="s">
        <v>63</v>
      </c>
      <c r="E396" t="s">
        <v>52</v>
      </c>
      <c r="F396" t="s">
        <v>39</v>
      </c>
      <c r="G396" t="s">
        <v>114</v>
      </c>
      <c r="H396" s="7">
        <v>1</v>
      </c>
      <c r="I396" s="4">
        <v>3961.85</v>
      </c>
      <c r="J396" s="23">
        <v>0.1</v>
      </c>
      <c r="K396" s="4">
        <v>3565.66</v>
      </c>
      <c r="L396" s="4">
        <v>1985.25</v>
      </c>
      <c r="M396" s="4">
        <v>1580.41</v>
      </c>
      <c r="N396" t="s">
        <v>25</v>
      </c>
      <c r="O396" s="7">
        <v>31</v>
      </c>
      <c r="P396" s="2">
        <v>45709.291666666664</v>
      </c>
      <c r="Q396" t="s">
        <v>139</v>
      </c>
      <c r="R396">
        <v>2</v>
      </c>
      <c r="S396" t="s">
        <v>55</v>
      </c>
      <c r="T396">
        <f>IF(orders[[#This Row],[Status]]="Completed",1,0)</f>
        <v>1</v>
      </c>
      <c r="U396">
        <f>IF(orders[[#This Row],[Status]]="Pending",1,0)</f>
        <v>0</v>
      </c>
      <c r="V396">
        <f>IF(orders[[#This Row],[Status]]="Delayed",1,0)</f>
        <v>0</v>
      </c>
      <c r="W396">
        <f>IF(orders[[#This Row],[Status]]="Cancelled",1,0)</f>
        <v>0</v>
      </c>
    </row>
    <row r="397" spans="1:23" x14ac:dyDescent="0.35">
      <c r="A397" t="s">
        <v>700</v>
      </c>
      <c r="B397" s="1">
        <v>45810</v>
      </c>
      <c r="C397" t="s">
        <v>701</v>
      </c>
      <c r="D397" t="s">
        <v>21</v>
      </c>
      <c r="E397" t="s">
        <v>52</v>
      </c>
      <c r="F397" t="s">
        <v>39</v>
      </c>
      <c r="G397" t="s">
        <v>114</v>
      </c>
      <c r="H397" s="7">
        <v>6</v>
      </c>
      <c r="I397" s="4">
        <v>8386.74</v>
      </c>
      <c r="J397" s="23">
        <v>0.1</v>
      </c>
      <c r="K397" s="4">
        <v>7548.07</v>
      </c>
      <c r="L397" s="4">
        <v>5057.01</v>
      </c>
      <c r="M397" s="4">
        <v>2491.06</v>
      </c>
      <c r="N397" t="s">
        <v>25</v>
      </c>
      <c r="O397" s="7">
        <v>33</v>
      </c>
      <c r="P397" s="2">
        <v>45811.375</v>
      </c>
      <c r="Q397" t="s">
        <v>99</v>
      </c>
      <c r="R397">
        <v>6</v>
      </c>
      <c r="S397" t="s">
        <v>27</v>
      </c>
      <c r="T397">
        <f>IF(orders[[#This Row],[Status]]="Completed",1,0)</f>
        <v>1</v>
      </c>
      <c r="U397">
        <f>IF(orders[[#This Row],[Status]]="Pending",1,0)</f>
        <v>0</v>
      </c>
      <c r="V397">
        <f>IF(orders[[#This Row],[Status]]="Delayed",1,0)</f>
        <v>0</v>
      </c>
      <c r="W397">
        <f>IF(orders[[#This Row],[Status]]="Cancelled",1,0)</f>
        <v>0</v>
      </c>
    </row>
    <row r="398" spans="1:23" x14ac:dyDescent="0.35">
      <c r="A398" t="s">
        <v>702</v>
      </c>
      <c r="B398" s="1">
        <v>45843</v>
      </c>
      <c r="C398" t="s">
        <v>231</v>
      </c>
      <c r="D398" t="s">
        <v>30</v>
      </c>
      <c r="E398" t="s">
        <v>59</v>
      </c>
      <c r="F398" t="s">
        <v>83</v>
      </c>
      <c r="G398" t="s">
        <v>155</v>
      </c>
      <c r="H398" s="7">
        <v>3</v>
      </c>
      <c r="I398" s="4">
        <v>23744.880000000001</v>
      </c>
      <c r="J398" s="23">
        <v>0.1</v>
      </c>
      <c r="K398" s="4">
        <v>21370.39</v>
      </c>
      <c r="L398" s="4">
        <v>15501.87</v>
      </c>
      <c r="M398" s="4">
        <v>5868.52</v>
      </c>
      <c r="N398" t="s">
        <v>98</v>
      </c>
      <c r="O398" s="7">
        <v>6</v>
      </c>
      <c r="P398" s="2">
        <v>45843.25</v>
      </c>
      <c r="Q398" t="s">
        <v>60</v>
      </c>
      <c r="R398">
        <v>7</v>
      </c>
      <c r="S398" t="s">
        <v>42</v>
      </c>
      <c r="T398">
        <f>IF(orders[[#This Row],[Status]]="Completed",1,0)</f>
        <v>0</v>
      </c>
      <c r="U398">
        <f>IF(orders[[#This Row],[Status]]="Pending",1,0)</f>
        <v>1</v>
      </c>
      <c r="V398">
        <f>IF(orders[[#This Row],[Status]]="Delayed",1,0)</f>
        <v>0</v>
      </c>
      <c r="W398">
        <f>IF(orders[[#This Row],[Status]]="Cancelled",1,0)</f>
        <v>0</v>
      </c>
    </row>
    <row r="399" spans="1:23" x14ac:dyDescent="0.35">
      <c r="A399" t="s">
        <v>703</v>
      </c>
      <c r="B399" s="1">
        <v>45720</v>
      </c>
      <c r="C399" t="s">
        <v>154</v>
      </c>
      <c r="D399" t="s">
        <v>58</v>
      </c>
      <c r="E399" t="s">
        <v>59</v>
      </c>
      <c r="F399" t="s">
        <v>39</v>
      </c>
      <c r="G399" t="s">
        <v>93</v>
      </c>
      <c r="H399" s="7">
        <v>2</v>
      </c>
      <c r="I399" s="4">
        <v>7960.38</v>
      </c>
      <c r="J399" s="23">
        <v>0.1</v>
      </c>
      <c r="K399" s="4">
        <v>7164.34</v>
      </c>
      <c r="L399" s="4">
        <v>6001.68</v>
      </c>
      <c r="M399" s="4">
        <v>1162.6600000000001</v>
      </c>
      <c r="N399" t="s">
        <v>85</v>
      </c>
      <c r="O399" s="7">
        <v>56</v>
      </c>
      <c r="P399" s="2">
        <v>45722.333333333336</v>
      </c>
      <c r="Q399" t="s">
        <v>54</v>
      </c>
      <c r="R399">
        <v>3</v>
      </c>
      <c r="S399" t="s">
        <v>55</v>
      </c>
      <c r="T399">
        <f>IF(orders[[#This Row],[Status]]="Completed",1,0)</f>
        <v>0</v>
      </c>
      <c r="U399">
        <f>IF(orders[[#This Row],[Status]]="Pending",1,0)</f>
        <v>0</v>
      </c>
      <c r="V399">
        <f>IF(orders[[#This Row],[Status]]="Delayed",1,0)</f>
        <v>1</v>
      </c>
      <c r="W399">
        <f>IF(orders[[#This Row],[Status]]="Cancelled",1,0)</f>
        <v>0</v>
      </c>
    </row>
    <row r="400" spans="1:23" x14ac:dyDescent="0.35">
      <c r="A400" t="s">
        <v>704</v>
      </c>
      <c r="B400" s="1">
        <v>45847</v>
      </c>
      <c r="C400" t="s">
        <v>565</v>
      </c>
      <c r="D400" t="s">
        <v>58</v>
      </c>
      <c r="E400" t="s">
        <v>78</v>
      </c>
      <c r="F400" t="s">
        <v>39</v>
      </c>
      <c r="G400" t="s">
        <v>114</v>
      </c>
      <c r="H400" s="7">
        <v>2</v>
      </c>
      <c r="I400" s="4">
        <v>3333.24</v>
      </c>
      <c r="J400" s="23">
        <v>0.1</v>
      </c>
      <c r="K400" s="4">
        <v>2999.92</v>
      </c>
      <c r="L400" s="4">
        <v>2330.44</v>
      </c>
      <c r="M400" s="4">
        <v>669.48</v>
      </c>
      <c r="N400" t="s">
        <v>25</v>
      </c>
      <c r="O400" s="7">
        <v>35</v>
      </c>
      <c r="P400" s="2">
        <v>45848.458333333336</v>
      </c>
      <c r="Q400" t="s">
        <v>60</v>
      </c>
      <c r="R400">
        <v>7</v>
      </c>
      <c r="S400" t="s">
        <v>42</v>
      </c>
      <c r="T400">
        <f>IF(orders[[#This Row],[Status]]="Completed",1,0)</f>
        <v>1</v>
      </c>
      <c r="U400">
        <f>IF(orders[[#This Row],[Status]]="Pending",1,0)</f>
        <v>0</v>
      </c>
      <c r="V400">
        <f>IF(orders[[#This Row],[Status]]="Delayed",1,0)</f>
        <v>0</v>
      </c>
      <c r="W400">
        <f>IF(orders[[#This Row],[Status]]="Cancelled",1,0)</f>
        <v>0</v>
      </c>
    </row>
    <row r="401" spans="1:23" x14ac:dyDescent="0.35">
      <c r="A401" t="s">
        <v>705</v>
      </c>
      <c r="B401" s="1">
        <v>45782</v>
      </c>
      <c r="C401" t="s">
        <v>706</v>
      </c>
      <c r="D401" t="s">
        <v>51</v>
      </c>
      <c r="E401" t="s">
        <v>52</v>
      </c>
      <c r="F401" t="s">
        <v>72</v>
      </c>
      <c r="G401" t="s">
        <v>129</v>
      </c>
      <c r="H401" s="7">
        <v>2</v>
      </c>
      <c r="I401" s="4">
        <v>5350</v>
      </c>
      <c r="J401" s="23">
        <v>0.05</v>
      </c>
      <c r="K401" s="4">
        <v>5082.5</v>
      </c>
      <c r="L401" s="4">
        <v>2982.52</v>
      </c>
      <c r="M401" s="4">
        <v>2099.98</v>
      </c>
      <c r="N401" t="s">
        <v>25</v>
      </c>
      <c r="O401" s="7">
        <v>37</v>
      </c>
      <c r="P401" s="2">
        <v>45783.541666666664</v>
      </c>
      <c r="Q401" t="s">
        <v>74</v>
      </c>
      <c r="R401">
        <v>5</v>
      </c>
      <c r="S401" t="s">
        <v>27</v>
      </c>
      <c r="T401">
        <f>IF(orders[[#This Row],[Status]]="Completed",1,0)</f>
        <v>1</v>
      </c>
      <c r="U401">
        <f>IF(orders[[#This Row],[Status]]="Pending",1,0)</f>
        <v>0</v>
      </c>
      <c r="V401">
        <f>IF(orders[[#This Row],[Status]]="Delayed",1,0)</f>
        <v>0</v>
      </c>
      <c r="W401">
        <f>IF(orders[[#This Row],[Status]]="Cancelled",1,0)</f>
        <v>0</v>
      </c>
    </row>
    <row r="402" spans="1:23" x14ac:dyDescent="0.35">
      <c r="A402" t="s">
        <v>707</v>
      </c>
      <c r="B402" s="1">
        <v>45807</v>
      </c>
      <c r="C402" t="s">
        <v>708</v>
      </c>
      <c r="D402" t="s">
        <v>68</v>
      </c>
      <c r="E402" t="s">
        <v>52</v>
      </c>
      <c r="F402" t="s">
        <v>72</v>
      </c>
      <c r="G402" t="s">
        <v>129</v>
      </c>
      <c r="H402" s="7">
        <v>7</v>
      </c>
      <c r="I402" s="4">
        <v>4019.4</v>
      </c>
      <c r="J402" s="23">
        <v>0</v>
      </c>
      <c r="K402" s="4">
        <v>4019.4</v>
      </c>
      <c r="L402" s="4">
        <v>2406.64</v>
      </c>
      <c r="M402" s="4">
        <v>1612.76</v>
      </c>
      <c r="N402" t="s">
        <v>25</v>
      </c>
      <c r="O402" s="7">
        <v>44</v>
      </c>
      <c r="P402" s="2">
        <v>45808.833333333336</v>
      </c>
      <c r="Q402" t="s">
        <v>74</v>
      </c>
      <c r="R402">
        <v>5</v>
      </c>
      <c r="S402" t="s">
        <v>27</v>
      </c>
      <c r="T402">
        <f>IF(orders[[#This Row],[Status]]="Completed",1,0)</f>
        <v>1</v>
      </c>
      <c r="U402">
        <f>IF(orders[[#This Row],[Status]]="Pending",1,0)</f>
        <v>0</v>
      </c>
      <c r="V402">
        <f>IF(orders[[#This Row],[Status]]="Delayed",1,0)</f>
        <v>0</v>
      </c>
      <c r="W402">
        <f>IF(orders[[#This Row],[Status]]="Cancelled",1,0)</f>
        <v>0</v>
      </c>
    </row>
    <row r="403" spans="1:23" x14ac:dyDescent="0.35">
      <c r="A403" t="s">
        <v>709</v>
      </c>
      <c r="B403" s="1">
        <v>45971</v>
      </c>
      <c r="C403" t="s">
        <v>292</v>
      </c>
      <c r="D403" t="s">
        <v>68</v>
      </c>
      <c r="E403" t="s">
        <v>78</v>
      </c>
      <c r="F403" t="s">
        <v>83</v>
      </c>
      <c r="G403" t="s">
        <v>152</v>
      </c>
      <c r="H403" s="7">
        <v>4</v>
      </c>
      <c r="I403" s="4">
        <v>16241.24</v>
      </c>
      <c r="J403" s="23">
        <v>0</v>
      </c>
      <c r="K403" s="4">
        <v>16241.24</v>
      </c>
      <c r="L403" s="4">
        <v>11227.26</v>
      </c>
      <c r="M403" s="4">
        <v>5013.9799999999996</v>
      </c>
      <c r="N403" t="s">
        <v>25</v>
      </c>
      <c r="O403" s="7">
        <v>47</v>
      </c>
      <c r="P403" s="2">
        <v>45972.958333333336</v>
      </c>
      <c r="Q403" t="s">
        <v>86</v>
      </c>
      <c r="R403">
        <v>11</v>
      </c>
      <c r="S403" t="s">
        <v>35</v>
      </c>
      <c r="T403">
        <f>IF(orders[[#This Row],[Status]]="Completed",1,0)</f>
        <v>1</v>
      </c>
      <c r="U403">
        <f>IF(orders[[#This Row],[Status]]="Pending",1,0)</f>
        <v>0</v>
      </c>
      <c r="V403">
        <f>IF(orders[[#This Row],[Status]]="Delayed",1,0)</f>
        <v>0</v>
      </c>
      <c r="W403">
        <f>IF(orders[[#This Row],[Status]]="Cancelled",1,0)</f>
        <v>0</v>
      </c>
    </row>
    <row r="404" spans="1:23" x14ac:dyDescent="0.35">
      <c r="A404" t="s">
        <v>710</v>
      </c>
      <c r="B404" s="1">
        <v>45715</v>
      </c>
      <c r="C404" t="s">
        <v>44</v>
      </c>
      <c r="D404" t="s">
        <v>45</v>
      </c>
      <c r="E404" t="s">
        <v>113</v>
      </c>
      <c r="F404" t="s">
        <v>32</v>
      </c>
      <c r="G404" t="s">
        <v>89</v>
      </c>
      <c r="H404" s="7">
        <v>2</v>
      </c>
      <c r="I404" s="4">
        <v>14547.24</v>
      </c>
      <c r="J404" s="23">
        <v>0.05</v>
      </c>
      <c r="K404" s="4">
        <v>13819.88</v>
      </c>
      <c r="L404" s="4">
        <v>8493.4699999999993</v>
      </c>
      <c r="M404" s="4">
        <v>5326.41</v>
      </c>
      <c r="N404" t="s">
        <v>48</v>
      </c>
      <c r="O404" s="7">
        <v>13</v>
      </c>
      <c r="P404" s="2">
        <v>45715.541666666664</v>
      </c>
      <c r="Q404" t="s">
        <v>139</v>
      </c>
      <c r="R404">
        <v>2</v>
      </c>
      <c r="S404" t="s">
        <v>55</v>
      </c>
      <c r="T404">
        <f>IF(orders[[#This Row],[Status]]="Completed",1,0)</f>
        <v>0</v>
      </c>
      <c r="U404">
        <f>IF(orders[[#This Row],[Status]]="Pending",1,0)</f>
        <v>0</v>
      </c>
      <c r="V404">
        <f>IF(orders[[#This Row],[Status]]="Delayed",1,0)</f>
        <v>0</v>
      </c>
      <c r="W404">
        <f>IF(orders[[#This Row],[Status]]="Cancelled",1,0)</f>
        <v>1</v>
      </c>
    </row>
    <row r="405" spans="1:23" x14ac:dyDescent="0.35">
      <c r="A405" t="s">
        <v>711</v>
      </c>
      <c r="B405" s="1">
        <v>45999</v>
      </c>
      <c r="C405" t="s">
        <v>196</v>
      </c>
      <c r="D405" t="s">
        <v>38</v>
      </c>
      <c r="E405" t="s">
        <v>113</v>
      </c>
      <c r="F405" t="s">
        <v>83</v>
      </c>
      <c r="G405" t="s">
        <v>182</v>
      </c>
      <c r="H405" s="7">
        <v>7</v>
      </c>
      <c r="I405" s="4">
        <v>55617.8</v>
      </c>
      <c r="J405" s="23">
        <v>0.05</v>
      </c>
      <c r="K405" s="4">
        <v>52836.91</v>
      </c>
      <c r="L405" s="4">
        <v>29545.89</v>
      </c>
      <c r="M405" s="4">
        <v>23291.02</v>
      </c>
      <c r="N405" t="s">
        <v>25</v>
      </c>
      <c r="O405" s="7">
        <v>34</v>
      </c>
      <c r="P405" s="2">
        <v>46000.416666666664</v>
      </c>
      <c r="Q405" t="s">
        <v>34</v>
      </c>
      <c r="R405">
        <v>12</v>
      </c>
      <c r="S405" t="s">
        <v>35</v>
      </c>
      <c r="T405">
        <f>IF(orders[[#This Row],[Status]]="Completed",1,0)</f>
        <v>1</v>
      </c>
      <c r="U405">
        <f>IF(orders[[#This Row],[Status]]="Pending",1,0)</f>
        <v>0</v>
      </c>
      <c r="V405">
        <f>IF(orders[[#This Row],[Status]]="Delayed",1,0)</f>
        <v>0</v>
      </c>
      <c r="W405">
        <f>IF(orders[[#This Row],[Status]]="Cancelled",1,0)</f>
        <v>0</v>
      </c>
    </row>
    <row r="406" spans="1:23" x14ac:dyDescent="0.35">
      <c r="A406" t="s">
        <v>712</v>
      </c>
      <c r="B406" s="1">
        <v>45962</v>
      </c>
      <c r="C406" t="s">
        <v>556</v>
      </c>
      <c r="D406" t="s">
        <v>77</v>
      </c>
      <c r="E406" t="s">
        <v>46</v>
      </c>
      <c r="F406" t="s">
        <v>83</v>
      </c>
      <c r="G406" t="s">
        <v>155</v>
      </c>
      <c r="H406" s="7">
        <v>5</v>
      </c>
      <c r="I406" s="4">
        <v>39686.15</v>
      </c>
      <c r="J406" s="23">
        <v>0.1</v>
      </c>
      <c r="K406" s="4">
        <v>35717.54</v>
      </c>
      <c r="L406" s="4">
        <v>29133.19</v>
      </c>
      <c r="M406" s="4">
        <v>6584.35</v>
      </c>
      <c r="N406" t="s">
        <v>85</v>
      </c>
      <c r="O406" s="7">
        <v>56</v>
      </c>
      <c r="P406" s="2">
        <v>45964.333333333336</v>
      </c>
      <c r="Q406" t="s">
        <v>86</v>
      </c>
      <c r="R406">
        <v>11</v>
      </c>
      <c r="S406" t="s">
        <v>35</v>
      </c>
      <c r="T406">
        <f>IF(orders[[#This Row],[Status]]="Completed",1,0)</f>
        <v>0</v>
      </c>
      <c r="U406">
        <f>IF(orders[[#This Row],[Status]]="Pending",1,0)</f>
        <v>0</v>
      </c>
      <c r="V406">
        <f>IF(orders[[#This Row],[Status]]="Delayed",1,0)</f>
        <v>1</v>
      </c>
      <c r="W406">
        <f>IF(orders[[#This Row],[Status]]="Cancelled",1,0)</f>
        <v>0</v>
      </c>
    </row>
    <row r="407" spans="1:23" x14ac:dyDescent="0.35">
      <c r="A407" t="s">
        <v>713</v>
      </c>
      <c r="B407" s="1">
        <v>45837</v>
      </c>
      <c r="C407" t="s">
        <v>307</v>
      </c>
      <c r="D407" t="s">
        <v>30</v>
      </c>
      <c r="E407" t="s">
        <v>92</v>
      </c>
      <c r="F407" t="s">
        <v>23</v>
      </c>
      <c r="G407" t="s">
        <v>110</v>
      </c>
      <c r="H407" s="7">
        <v>7</v>
      </c>
      <c r="I407" s="4">
        <v>8369.69</v>
      </c>
      <c r="J407" s="23">
        <v>0.05</v>
      </c>
      <c r="K407" s="4">
        <v>7951.21</v>
      </c>
      <c r="L407" s="4">
        <v>4424.3900000000003</v>
      </c>
      <c r="M407" s="4">
        <v>3526.82</v>
      </c>
      <c r="N407" t="s">
        <v>25</v>
      </c>
      <c r="O407" s="7">
        <v>44</v>
      </c>
      <c r="P407" s="2">
        <v>45838.833333333336</v>
      </c>
      <c r="Q407" t="s">
        <v>99</v>
      </c>
      <c r="R407">
        <v>6</v>
      </c>
      <c r="S407" t="s">
        <v>27</v>
      </c>
      <c r="T407">
        <f>IF(orders[[#This Row],[Status]]="Completed",1,0)</f>
        <v>1</v>
      </c>
      <c r="U407">
        <f>IF(orders[[#This Row],[Status]]="Pending",1,0)</f>
        <v>0</v>
      </c>
      <c r="V407">
        <f>IF(orders[[#This Row],[Status]]="Delayed",1,0)</f>
        <v>0</v>
      </c>
      <c r="W407">
        <f>IF(orders[[#This Row],[Status]]="Cancelled",1,0)</f>
        <v>0</v>
      </c>
    </row>
    <row r="408" spans="1:23" x14ac:dyDescent="0.35">
      <c r="A408" t="s">
        <v>714</v>
      </c>
      <c r="B408" s="1">
        <v>45827</v>
      </c>
      <c r="C408" t="s">
        <v>343</v>
      </c>
      <c r="D408" t="s">
        <v>149</v>
      </c>
      <c r="E408" t="s">
        <v>52</v>
      </c>
      <c r="F408" t="s">
        <v>23</v>
      </c>
      <c r="G408" t="s">
        <v>69</v>
      </c>
      <c r="H408" s="7">
        <v>1</v>
      </c>
      <c r="I408" s="4">
        <v>3340.15</v>
      </c>
      <c r="J408" s="23">
        <v>0.1</v>
      </c>
      <c r="K408" s="4">
        <v>3006.14</v>
      </c>
      <c r="L408" s="4">
        <v>2477.44</v>
      </c>
      <c r="M408" s="4">
        <v>528.70000000000005</v>
      </c>
      <c r="N408" t="s">
        <v>25</v>
      </c>
      <c r="O408" s="7">
        <v>24</v>
      </c>
      <c r="P408" s="2">
        <v>45828</v>
      </c>
      <c r="Q408" t="s">
        <v>99</v>
      </c>
      <c r="R408">
        <v>6</v>
      </c>
      <c r="S408" t="s">
        <v>27</v>
      </c>
      <c r="T408">
        <f>IF(orders[[#This Row],[Status]]="Completed",1,0)</f>
        <v>1</v>
      </c>
      <c r="U408">
        <f>IF(orders[[#This Row],[Status]]="Pending",1,0)</f>
        <v>0</v>
      </c>
      <c r="V408">
        <f>IF(orders[[#This Row],[Status]]="Delayed",1,0)</f>
        <v>0</v>
      </c>
      <c r="W408">
        <f>IF(orders[[#This Row],[Status]]="Cancelled",1,0)</f>
        <v>0</v>
      </c>
    </row>
    <row r="409" spans="1:23" x14ac:dyDescent="0.35">
      <c r="A409" t="s">
        <v>715</v>
      </c>
      <c r="B409" s="1">
        <v>45983</v>
      </c>
      <c r="C409" t="s">
        <v>698</v>
      </c>
      <c r="D409" t="s">
        <v>77</v>
      </c>
      <c r="E409" t="s">
        <v>31</v>
      </c>
      <c r="F409" t="s">
        <v>83</v>
      </c>
      <c r="G409" t="s">
        <v>155</v>
      </c>
      <c r="H409" s="7">
        <v>7</v>
      </c>
      <c r="I409" s="4">
        <v>2699.97</v>
      </c>
      <c r="J409" s="23">
        <v>0.2</v>
      </c>
      <c r="K409" s="4">
        <v>2159.98</v>
      </c>
      <c r="L409" s="4">
        <v>1290.71</v>
      </c>
      <c r="M409" s="4">
        <v>869.27</v>
      </c>
      <c r="N409" t="s">
        <v>25</v>
      </c>
      <c r="O409" s="7">
        <v>19</v>
      </c>
      <c r="P409" s="2">
        <v>45983.791666666664</v>
      </c>
      <c r="Q409" t="s">
        <v>86</v>
      </c>
      <c r="R409">
        <v>11</v>
      </c>
      <c r="S409" t="s">
        <v>35</v>
      </c>
      <c r="T409">
        <f>IF(orders[[#This Row],[Status]]="Completed",1,0)</f>
        <v>1</v>
      </c>
      <c r="U409">
        <f>IF(orders[[#This Row],[Status]]="Pending",1,0)</f>
        <v>0</v>
      </c>
      <c r="V409">
        <f>IF(orders[[#This Row],[Status]]="Delayed",1,0)</f>
        <v>0</v>
      </c>
      <c r="W409">
        <f>IF(orders[[#This Row],[Status]]="Cancelled",1,0)</f>
        <v>0</v>
      </c>
    </row>
    <row r="410" spans="1:23" x14ac:dyDescent="0.35">
      <c r="A410" t="s">
        <v>716</v>
      </c>
      <c r="B410" s="1">
        <v>45928</v>
      </c>
      <c r="C410" t="s">
        <v>701</v>
      </c>
      <c r="D410" t="s">
        <v>77</v>
      </c>
      <c r="E410" t="s">
        <v>22</v>
      </c>
      <c r="F410" t="s">
        <v>83</v>
      </c>
      <c r="G410" t="s">
        <v>84</v>
      </c>
      <c r="H410" s="7">
        <v>4</v>
      </c>
      <c r="I410" s="4">
        <v>29162.52</v>
      </c>
      <c r="J410" s="23">
        <v>0.05</v>
      </c>
      <c r="K410" s="4">
        <v>27704.39</v>
      </c>
      <c r="L410" s="4">
        <v>24148.36</v>
      </c>
      <c r="M410" s="4">
        <v>3556.03</v>
      </c>
      <c r="N410" t="s">
        <v>98</v>
      </c>
      <c r="O410" s="7">
        <v>15</v>
      </c>
      <c r="P410" s="2">
        <v>45928.625</v>
      </c>
      <c r="Q410" t="s">
        <v>41</v>
      </c>
      <c r="R410">
        <v>9</v>
      </c>
      <c r="S410" t="s">
        <v>42</v>
      </c>
      <c r="T410">
        <f>IF(orders[[#This Row],[Status]]="Completed",1,0)</f>
        <v>0</v>
      </c>
      <c r="U410">
        <f>IF(orders[[#This Row],[Status]]="Pending",1,0)</f>
        <v>1</v>
      </c>
      <c r="V410">
        <f>IF(orders[[#This Row],[Status]]="Delayed",1,0)</f>
        <v>0</v>
      </c>
      <c r="W410">
        <f>IF(orders[[#This Row],[Status]]="Cancelled",1,0)</f>
        <v>0</v>
      </c>
    </row>
    <row r="411" spans="1:23" x14ac:dyDescent="0.35">
      <c r="A411" t="s">
        <v>717</v>
      </c>
      <c r="B411" s="1">
        <v>45711</v>
      </c>
      <c r="C411" t="s">
        <v>82</v>
      </c>
      <c r="D411" t="s">
        <v>63</v>
      </c>
      <c r="E411" t="s">
        <v>113</v>
      </c>
      <c r="F411" t="s">
        <v>83</v>
      </c>
      <c r="G411" t="s">
        <v>152</v>
      </c>
      <c r="H411" s="7">
        <v>6</v>
      </c>
      <c r="I411" s="4">
        <v>18873.66</v>
      </c>
      <c r="J411" s="23">
        <v>0</v>
      </c>
      <c r="K411" s="4">
        <v>18873.66</v>
      </c>
      <c r="L411" s="4">
        <v>14141.63</v>
      </c>
      <c r="M411" s="4">
        <v>4732.03</v>
      </c>
      <c r="N411" t="s">
        <v>25</v>
      </c>
      <c r="O411" s="7">
        <v>46</v>
      </c>
      <c r="P411" s="2">
        <v>45712.916666666664</v>
      </c>
      <c r="Q411" t="s">
        <v>139</v>
      </c>
      <c r="R411">
        <v>2</v>
      </c>
      <c r="S411" t="s">
        <v>55</v>
      </c>
      <c r="T411">
        <f>IF(orders[[#This Row],[Status]]="Completed",1,0)</f>
        <v>1</v>
      </c>
      <c r="U411">
        <f>IF(orders[[#This Row],[Status]]="Pending",1,0)</f>
        <v>0</v>
      </c>
      <c r="V411">
        <f>IF(orders[[#This Row],[Status]]="Delayed",1,0)</f>
        <v>0</v>
      </c>
      <c r="W411">
        <f>IF(orders[[#This Row],[Status]]="Cancelled",1,0)</f>
        <v>0</v>
      </c>
    </row>
    <row r="412" spans="1:23" x14ac:dyDescent="0.35">
      <c r="A412" t="s">
        <v>718</v>
      </c>
      <c r="B412" s="1">
        <v>45758</v>
      </c>
      <c r="C412" t="s">
        <v>91</v>
      </c>
      <c r="D412" t="s">
        <v>51</v>
      </c>
      <c r="E412" t="s">
        <v>78</v>
      </c>
      <c r="F412" t="s">
        <v>39</v>
      </c>
      <c r="G412" t="s">
        <v>93</v>
      </c>
      <c r="H412" s="7">
        <v>7</v>
      </c>
      <c r="I412" s="4">
        <v>37938.81</v>
      </c>
      <c r="J412" s="23">
        <v>0</v>
      </c>
      <c r="K412" s="4">
        <v>37938.81</v>
      </c>
      <c r="L412" s="4">
        <v>30068.19</v>
      </c>
      <c r="M412" s="4">
        <v>7870.62</v>
      </c>
      <c r="N412" t="s">
        <v>98</v>
      </c>
      <c r="O412" s="7">
        <v>9</v>
      </c>
      <c r="P412" s="2">
        <v>45758.375</v>
      </c>
      <c r="Q412" t="s">
        <v>26</v>
      </c>
      <c r="R412">
        <v>4</v>
      </c>
      <c r="S412" t="s">
        <v>27</v>
      </c>
      <c r="T412">
        <f>IF(orders[[#This Row],[Status]]="Completed",1,0)</f>
        <v>0</v>
      </c>
      <c r="U412">
        <f>IF(orders[[#This Row],[Status]]="Pending",1,0)</f>
        <v>1</v>
      </c>
      <c r="V412">
        <f>IF(orders[[#This Row],[Status]]="Delayed",1,0)</f>
        <v>0</v>
      </c>
      <c r="W412">
        <f>IF(orders[[#This Row],[Status]]="Cancelled",1,0)</f>
        <v>0</v>
      </c>
    </row>
    <row r="413" spans="1:23" x14ac:dyDescent="0.35">
      <c r="A413" t="s">
        <v>719</v>
      </c>
      <c r="B413" s="1">
        <v>45921</v>
      </c>
      <c r="C413" t="s">
        <v>121</v>
      </c>
      <c r="D413" t="s">
        <v>58</v>
      </c>
      <c r="E413" t="s">
        <v>59</v>
      </c>
      <c r="F413" t="s">
        <v>23</v>
      </c>
      <c r="G413" t="s">
        <v>136</v>
      </c>
      <c r="H413" s="7">
        <v>2</v>
      </c>
      <c r="I413" s="4">
        <v>12238.8</v>
      </c>
      <c r="J413" s="23">
        <v>0.1</v>
      </c>
      <c r="K413" s="4">
        <v>11014.92</v>
      </c>
      <c r="L413" s="4">
        <v>6459.81</v>
      </c>
      <c r="M413" s="4">
        <v>4555.1099999999997</v>
      </c>
      <c r="N413" t="s">
        <v>25</v>
      </c>
      <c r="O413" s="7">
        <v>22</v>
      </c>
      <c r="P413" s="2">
        <v>45921.916666666664</v>
      </c>
      <c r="Q413" t="s">
        <v>41</v>
      </c>
      <c r="R413">
        <v>9</v>
      </c>
      <c r="S413" t="s">
        <v>42</v>
      </c>
      <c r="T413">
        <f>IF(orders[[#This Row],[Status]]="Completed",1,0)</f>
        <v>1</v>
      </c>
      <c r="U413">
        <f>IF(orders[[#This Row],[Status]]="Pending",1,0)</f>
        <v>0</v>
      </c>
      <c r="V413">
        <f>IF(orders[[#This Row],[Status]]="Delayed",1,0)</f>
        <v>0</v>
      </c>
      <c r="W413">
        <f>IF(orders[[#This Row],[Status]]="Cancelled",1,0)</f>
        <v>0</v>
      </c>
    </row>
    <row r="414" spans="1:23" x14ac:dyDescent="0.35">
      <c r="A414" t="s">
        <v>720</v>
      </c>
      <c r="B414" s="1">
        <v>45710</v>
      </c>
      <c r="C414" t="s">
        <v>37</v>
      </c>
      <c r="D414" t="s">
        <v>45</v>
      </c>
      <c r="E414" t="s">
        <v>52</v>
      </c>
      <c r="F414" t="s">
        <v>83</v>
      </c>
      <c r="G414" t="s">
        <v>107</v>
      </c>
      <c r="H414" s="7">
        <v>1</v>
      </c>
      <c r="I414" s="4">
        <v>3739.2</v>
      </c>
      <c r="J414" s="23">
        <v>0.05</v>
      </c>
      <c r="K414" s="4">
        <v>3552.24</v>
      </c>
      <c r="L414" s="4">
        <v>2964.32</v>
      </c>
      <c r="M414" s="4">
        <v>587.91999999999996</v>
      </c>
      <c r="N414" t="s">
        <v>25</v>
      </c>
      <c r="O414" s="7">
        <v>35</v>
      </c>
      <c r="P414" s="2">
        <v>45711.458333333336</v>
      </c>
      <c r="Q414" t="s">
        <v>139</v>
      </c>
      <c r="R414">
        <v>2</v>
      </c>
      <c r="S414" t="s">
        <v>55</v>
      </c>
      <c r="T414">
        <f>IF(orders[[#This Row],[Status]]="Completed",1,0)</f>
        <v>1</v>
      </c>
      <c r="U414">
        <f>IF(orders[[#This Row],[Status]]="Pending",1,0)</f>
        <v>0</v>
      </c>
      <c r="V414">
        <f>IF(orders[[#This Row],[Status]]="Delayed",1,0)</f>
        <v>0</v>
      </c>
      <c r="W414">
        <f>IF(orders[[#This Row],[Status]]="Cancelled",1,0)</f>
        <v>0</v>
      </c>
    </row>
    <row r="415" spans="1:23" x14ac:dyDescent="0.35">
      <c r="A415" t="s">
        <v>721</v>
      </c>
      <c r="B415" s="1">
        <v>45717</v>
      </c>
      <c r="C415" t="s">
        <v>722</v>
      </c>
      <c r="D415" t="s">
        <v>68</v>
      </c>
      <c r="E415" t="s">
        <v>31</v>
      </c>
      <c r="F415" t="s">
        <v>72</v>
      </c>
      <c r="G415" t="s">
        <v>73</v>
      </c>
      <c r="H415" s="7">
        <v>3</v>
      </c>
      <c r="I415" s="4">
        <v>8126.37</v>
      </c>
      <c r="J415" s="23">
        <v>0</v>
      </c>
      <c r="K415" s="4">
        <v>8126.37</v>
      </c>
      <c r="L415" s="4">
        <v>6719.97</v>
      </c>
      <c r="M415" s="4">
        <v>1406.4</v>
      </c>
      <c r="N415" t="s">
        <v>25</v>
      </c>
      <c r="O415" s="7">
        <v>18</v>
      </c>
      <c r="P415" s="2">
        <v>45717.75</v>
      </c>
      <c r="Q415" t="s">
        <v>54</v>
      </c>
      <c r="R415">
        <v>3</v>
      </c>
      <c r="S415" t="s">
        <v>55</v>
      </c>
      <c r="T415">
        <f>IF(orders[[#This Row],[Status]]="Completed",1,0)</f>
        <v>1</v>
      </c>
      <c r="U415">
        <f>IF(orders[[#This Row],[Status]]="Pending",1,0)</f>
        <v>0</v>
      </c>
      <c r="V415">
        <f>IF(orders[[#This Row],[Status]]="Delayed",1,0)</f>
        <v>0</v>
      </c>
      <c r="W415">
        <f>IF(orders[[#This Row],[Status]]="Cancelled",1,0)</f>
        <v>0</v>
      </c>
    </row>
    <row r="416" spans="1:23" x14ac:dyDescent="0.35">
      <c r="A416" t="s">
        <v>723</v>
      </c>
      <c r="B416" s="1">
        <v>45765</v>
      </c>
      <c r="C416" t="s">
        <v>724</v>
      </c>
      <c r="D416" t="s">
        <v>51</v>
      </c>
      <c r="E416" t="s">
        <v>22</v>
      </c>
      <c r="F416" t="s">
        <v>72</v>
      </c>
      <c r="G416" t="s">
        <v>146</v>
      </c>
      <c r="H416" s="7">
        <v>2</v>
      </c>
      <c r="I416" s="4">
        <v>16368.96</v>
      </c>
      <c r="J416" s="23">
        <v>0.1</v>
      </c>
      <c r="K416" s="4">
        <v>14732.06</v>
      </c>
      <c r="L416" s="4">
        <v>11277.21</v>
      </c>
      <c r="M416" s="4">
        <v>3454.85</v>
      </c>
      <c r="N416" t="s">
        <v>98</v>
      </c>
      <c r="O416" s="7">
        <v>19</v>
      </c>
      <c r="P416" s="2">
        <v>45765.791666666664</v>
      </c>
      <c r="Q416" t="s">
        <v>26</v>
      </c>
      <c r="R416">
        <v>4</v>
      </c>
      <c r="S416" t="s">
        <v>27</v>
      </c>
      <c r="T416">
        <f>IF(orders[[#This Row],[Status]]="Completed",1,0)</f>
        <v>0</v>
      </c>
      <c r="U416">
        <f>IF(orders[[#This Row],[Status]]="Pending",1,0)</f>
        <v>1</v>
      </c>
      <c r="V416">
        <f>IF(orders[[#This Row],[Status]]="Delayed",1,0)</f>
        <v>0</v>
      </c>
      <c r="W416">
        <f>IF(orders[[#This Row],[Status]]="Cancelled",1,0)</f>
        <v>0</v>
      </c>
    </row>
    <row r="417" spans="1:23" x14ac:dyDescent="0.35">
      <c r="A417" t="s">
        <v>725</v>
      </c>
      <c r="B417" s="1">
        <v>45662</v>
      </c>
      <c r="C417" t="s">
        <v>612</v>
      </c>
      <c r="D417" t="s">
        <v>63</v>
      </c>
      <c r="E417" t="s">
        <v>31</v>
      </c>
      <c r="F417" t="s">
        <v>39</v>
      </c>
      <c r="G417" t="s">
        <v>40</v>
      </c>
      <c r="H417" s="7">
        <v>1</v>
      </c>
      <c r="I417" s="4">
        <v>8203.48</v>
      </c>
      <c r="J417" s="23">
        <v>0</v>
      </c>
      <c r="K417" s="4">
        <v>8203.48</v>
      </c>
      <c r="L417" s="4">
        <v>5871.65</v>
      </c>
      <c r="M417" s="4">
        <v>2331.83</v>
      </c>
      <c r="N417" t="s">
        <v>25</v>
      </c>
      <c r="O417" s="7">
        <v>14</v>
      </c>
      <c r="P417" s="2">
        <v>45662.583333333336</v>
      </c>
      <c r="Q417" t="s">
        <v>65</v>
      </c>
      <c r="R417">
        <v>1</v>
      </c>
      <c r="S417" t="s">
        <v>55</v>
      </c>
      <c r="T417">
        <f>IF(orders[[#This Row],[Status]]="Completed",1,0)</f>
        <v>1</v>
      </c>
      <c r="U417">
        <f>IF(orders[[#This Row],[Status]]="Pending",1,0)</f>
        <v>0</v>
      </c>
      <c r="V417">
        <f>IF(orders[[#This Row],[Status]]="Delayed",1,0)</f>
        <v>0</v>
      </c>
      <c r="W417">
        <f>IF(orders[[#This Row],[Status]]="Cancelled",1,0)</f>
        <v>0</v>
      </c>
    </row>
    <row r="418" spans="1:23" x14ac:dyDescent="0.35">
      <c r="A418" t="s">
        <v>726</v>
      </c>
      <c r="B418" s="1">
        <v>45760</v>
      </c>
      <c r="C418" t="s">
        <v>727</v>
      </c>
      <c r="D418" t="s">
        <v>149</v>
      </c>
      <c r="E418" t="s">
        <v>46</v>
      </c>
      <c r="F418" t="s">
        <v>39</v>
      </c>
      <c r="G418" t="s">
        <v>40</v>
      </c>
      <c r="H418" s="7">
        <v>5</v>
      </c>
      <c r="I418" s="4">
        <v>12833.95</v>
      </c>
      <c r="J418" s="23">
        <v>0.1</v>
      </c>
      <c r="K418" s="4">
        <v>11550.56</v>
      </c>
      <c r="L418" s="4">
        <v>9102.9</v>
      </c>
      <c r="M418" s="4">
        <v>2447.66</v>
      </c>
      <c r="N418" t="s">
        <v>98</v>
      </c>
      <c r="O418" s="7">
        <v>18</v>
      </c>
      <c r="P418" s="2">
        <v>45760.75</v>
      </c>
      <c r="Q418" t="s">
        <v>26</v>
      </c>
      <c r="R418">
        <v>4</v>
      </c>
      <c r="S418" t="s">
        <v>27</v>
      </c>
      <c r="T418">
        <f>IF(orders[[#This Row],[Status]]="Completed",1,0)</f>
        <v>0</v>
      </c>
      <c r="U418">
        <f>IF(orders[[#This Row],[Status]]="Pending",1,0)</f>
        <v>1</v>
      </c>
      <c r="V418">
        <f>IF(orders[[#This Row],[Status]]="Delayed",1,0)</f>
        <v>0</v>
      </c>
      <c r="W418">
        <f>IF(orders[[#This Row],[Status]]="Cancelled",1,0)</f>
        <v>0</v>
      </c>
    </row>
    <row r="419" spans="1:23" x14ac:dyDescent="0.35">
      <c r="A419" t="s">
        <v>728</v>
      </c>
      <c r="B419" s="1">
        <v>45853</v>
      </c>
      <c r="C419" t="s">
        <v>154</v>
      </c>
      <c r="D419" t="s">
        <v>45</v>
      </c>
      <c r="E419" t="s">
        <v>31</v>
      </c>
      <c r="F419" t="s">
        <v>32</v>
      </c>
      <c r="G419" t="s">
        <v>79</v>
      </c>
      <c r="H419" s="7">
        <v>3</v>
      </c>
      <c r="I419" s="4">
        <v>12464.61</v>
      </c>
      <c r="J419" s="23">
        <v>0.1</v>
      </c>
      <c r="K419" s="4">
        <v>11218.15</v>
      </c>
      <c r="L419" s="4">
        <v>6191.93</v>
      </c>
      <c r="M419" s="4">
        <v>5026.22</v>
      </c>
      <c r="N419" t="s">
        <v>25</v>
      </c>
      <c r="O419" s="7">
        <v>32</v>
      </c>
      <c r="P419" s="2">
        <v>45854.333333333336</v>
      </c>
      <c r="Q419" t="s">
        <v>60</v>
      </c>
      <c r="R419">
        <v>7</v>
      </c>
      <c r="S419" t="s">
        <v>42</v>
      </c>
      <c r="T419">
        <f>IF(orders[[#This Row],[Status]]="Completed",1,0)</f>
        <v>1</v>
      </c>
      <c r="U419">
        <f>IF(orders[[#This Row],[Status]]="Pending",1,0)</f>
        <v>0</v>
      </c>
      <c r="V419">
        <f>IF(orders[[#This Row],[Status]]="Delayed",1,0)</f>
        <v>0</v>
      </c>
      <c r="W419">
        <f>IF(orders[[#This Row],[Status]]="Cancelled",1,0)</f>
        <v>0</v>
      </c>
    </row>
    <row r="420" spans="1:23" x14ac:dyDescent="0.35">
      <c r="A420" t="s">
        <v>729</v>
      </c>
      <c r="B420" s="1">
        <v>45919</v>
      </c>
      <c r="C420" t="s">
        <v>467</v>
      </c>
      <c r="D420" t="s">
        <v>63</v>
      </c>
      <c r="E420" t="s">
        <v>59</v>
      </c>
      <c r="F420" t="s">
        <v>32</v>
      </c>
      <c r="G420" t="s">
        <v>79</v>
      </c>
      <c r="H420" s="7">
        <v>5</v>
      </c>
      <c r="I420" s="4">
        <v>41366.25</v>
      </c>
      <c r="J420" s="23">
        <v>0.15</v>
      </c>
      <c r="K420" s="4">
        <v>35161.31</v>
      </c>
      <c r="L420" s="4">
        <v>26212.95</v>
      </c>
      <c r="M420" s="4">
        <v>8948.36</v>
      </c>
      <c r="N420" t="s">
        <v>25</v>
      </c>
      <c r="O420" s="7">
        <v>48</v>
      </c>
      <c r="P420" s="2">
        <v>45921</v>
      </c>
      <c r="Q420" t="s">
        <v>41</v>
      </c>
      <c r="R420">
        <v>9</v>
      </c>
      <c r="S420" t="s">
        <v>42</v>
      </c>
      <c r="T420">
        <f>IF(orders[[#This Row],[Status]]="Completed",1,0)</f>
        <v>1</v>
      </c>
      <c r="U420">
        <f>IF(orders[[#This Row],[Status]]="Pending",1,0)</f>
        <v>0</v>
      </c>
      <c r="V420">
        <f>IF(orders[[#This Row],[Status]]="Delayed",1,0)</f>
        <v>0</v>
      </c>
      <c r="W420">
        <f>IF(orders[[#This Row],[Status]]="Cancelled",1,0)</f>
        <v>0</v>
      </c>
    </row>
    <row r="421" spans="1:23" x14ac:dyDescent="0.35">
      <c r="A421" t="s">
        <v>730</v>
      </c>
      <c r="B421" s="1">
        <v>46022</v>
      </c>
      <c r="C421" t="s">
        <v>575</v>
      </c>
      <c r="D421" t="s">
        <v>58</v>
      </c>
      <c r="E421" t="s">
        <v>113</v>
      </c>
      <c r="F421" t="s">
        <v>32</v>
      </c>
      <c r="G421" t="s">
        <v>89</v>
      </c>
      <c r="H421" s="7">
        <v>6</v>
      </c>
      <c r="I421" s="4">
        <v>1143.9000000000001</v>
      </c>
      <c r="J421" s="23">
        <v>0</v>
      </c>
      <c r="K421" s="4">
        <v>1143.9000000000001</v>
      </c>
      <c r="L421" s="4">
        <v>949.03</v>
      </c>
      <c r="M421" s="4">
        <v>194.87</v>
      </c>
      <c r="N421" t="s">
        <v>25</v>
      </c>
      <c r="O421" s="7">
        <v>7</v>
      </c>
      <c r="P421" s="2">
        <v>46022.291666666664</v>
      </c>
      <c r="Q421" t="s">
        <v>34</v>
      </c>
      <c r="R421">
        <v>12</v>
      </c>
      <c r="S421" t="s">
        <v>35</v>
      </c>
      <c r="T421">
        <f>IF(orders[[#This Row],[Status]]="Completed",1,0)</f>
        <v>1</v>
      </c>
      <c r="U421">
        <f>IF(orders[[#This Row],[Status]]="Pending",1,0)</f>
        <v>0</v>
      </c>
      <c r="V421">
        <f>IF(orders[[#This Row],[Status]]="Delayed",1,0)</f>
        <v>0</v>
      </c>
      <c r="W421">
        <f>IF(orders[[#This Row],[Status]]="Cancelled",1,0)</f>
        <v>0</v>
      </c>
    </row>
    <row r="422" spans="1:23" x14ac:dyDescent="0.35">
      <c r="A422" t="s">
        <v>731</v>
      </c>
      <c r="B422" s="1">
        <v>46007</v>
      </c>
      <c r="C422" t="s">
        <v>732</v>
      </c>
      <c r="D422" t="s">
        <v>58</v>
      </c>
      <c r="E422" t="s">
        <v>31</v>
      </c>
      <c r="F422" t="s">
        <v>39</v>
      </c>
      <c r="G422" t="s">
        <v>93</v>
      </c>
      <c r="H422" s="7">
        <v>1</v>
      </c>
      <c r="I422" s="4">
        <v>3595.86</v>
      </c>
      <c r="J422" s="23">
        <v>0.2</v>
      </c>
      <c r="K422" s="4">
        <v>2876.69</v>
      </c>
      <c r="L422" s="4">
        <v>1920.99</v>
      </c>
      <c r="M422" s="4">
        <v>955.7</v>
      </c>
      <c r="N422" t="s">
        <v>25</v>
      </c>
      <c r="O422" s="7">
        <v>39</v>
      </c>
      <c r="P422" s="2">
        <v>46008.625</v>
      </c>
      <c r="Q422" t="s">
        <v>34</v>
      </c>
      <c r="R422">
        <v>12</v>
      </c>
      <c r="S422" t="s">
        <v>35</v>
      </c>
      <c r="T422">
        <f>IF(orders[[#This Row],[Status]]="Completed",1,0)</f>
        <v>1</v>
      </c>
      <c r="U422">
        <f>IF(orders[[#This Row],[Status]]="Pending",1,0)</f>
        <v>0</v>
      </c>
      <c r="V422">
        <f>IF(orders[[#This Row],[Status]]="Delayed",1,0)</f>
        <v>0</v>
      </c>
      <c r="W422">
        <f>IF(orders[[#This Row],[Status]]="Cancelled",1,0)</f>
        <v>0</v>
      </c>
    </row>
    <row r="423" spans="1:23" x14ac:dyDescent="0.35">
      <c r="A423" t="s">
        <v>733</v>
      </c>
      <c r="B423" s="1">
        <v>45704</v>
      </c>
      <c r="C423" t="s">
        <v>734</v>
      </c>
      <c r="D423" t="s">
        <v>58</v>
      </c>
      <c r="E423" t="s">
        <v>22</v>
      </c>
      <c r="F423" t="s">
        <v>39</v>
      </c>
      <c r="G423" t="s">
        <v>188</v>
      </c>
      <c r="H423" s="7">
        <v>5</v>
      </c>
      <c r="I423" s="4">
        <v>4944.1000000000004</v>
      </c>
      <c r="J423" s="23">
        <v>0.15</v>
      </c>
      <c r="K423" s="4">
        <v>4202.49</v>
      </c>
      <c r="L423" s="4">
        <v>2461.5500000000002</v>
      </c>
      <c r="M423" s="4">
        <v>1740.94</v>
      </c>
      <c r="N423" t="s">
        <v>25</v>
      </c>
      <c r="O423" s="7">
        <v>26</v>
      </c>
      <c r="P423" s="2">
        <v>45705.083333333336</v>
      </c>
      <c r="Q423" t="s">
        <v>139</v>
      </c>
      <c r="R423">
        <v>2</v>
      </c>
      <c r="S423" t="s">
        <v>55</v>
      </c>
      <c r="T423">
        <f>IF(orders[[#This Row],[Status]]="Completed",1,0)</f>
        <v>1</v>
      </c>
      <c r="U423">
        <f>IF(orders[[#This Row],[Status]]="Pending",1,0)</f>
        <v>0</v>
      </c>
      <c r="V423">
        <f>IF(orders[[#This Row],[Status]]="Delayed",1,0)</f>
        <v>0</v>
      </c>
      <c r="W423">
        <f>IF(orders[[#This Row],[Status]]="Cancelled",1,0)</f>
        <v>0</v>
      </c>
    </row>
    <row r="424" spans="1:23" x14ac:dyDescent="0.35">
      <c r="A424" t="s">
        <v>735</v>
      </c>
      <c r="B424" s="1">
        <v>46012</v>
      </c>
      <c r="C424" t="s">
        <v>736</v>
      </c>
      <c r="D424" t="s">
        <v>51</v>
      </c>
      <c r="E424" t="s">
        <v>113</v>
      </c>
      <c r="F424" t="s">
        <v>39</v>
      </c>
      <c r="G424" t="s">
        <v>40</v>
      </c>
      <c r="H424" s="7">
        <v>6</v>
      </c>
      <c r="I424" s="4">
        <v>26408.82</v>
      </c>
      <c r="J424" s="23">
        <v>0.05</v>
      </c>
      <c r="K424" s="4">
        <v>25088.38</v>
      </c>
      <c r="L424" s="4">
        <v>17283.12</v>
      </c>
      <c r="M424" s="4">
        <v>7805.26</v>
      </c>
      <c r="N424" t="s">
        <v>25</v>
      </c>
      <c r="O424" s="7">
        <v>18</v>
      </c>
      <c r="P424" s="2">
        <v>46012.75</v>
      </c>
      <c r="Q424" t="s">
        <v>34</v>
      </c>
      <c r="R424">
        <v>12</v>
      </c>
      <c r="S424" t="s">
        <v>35</v>
      </c>
      <c r="T424">
        <f>IF(orders[[#This Row],[Status]]="Completed",1,0)</f>
        <v>1</v>
      </c>
      <c r="U424">
        <f>IF(orders[[#This Row],[Status]]="Pending",1,0)</f>
        <v>0</v>
      </c>
      <c r="V424">
        <f>IF(orders[[#This Row],[Status]]="Delayed",1,0)</f>
        <v>0</v>
      </c>
      <c r="W424">
        <f>IF(orders[[#This Row],[Status]]="Cancelled",1,0)</f>
        <v>0</v>
      </c>
    </row>
    <row r="425" spans="1:23" x14ac:dyDescent="0.35">
      <c r="A425" t="s">
        <v>737</v>
      </c>
      <c r="B425" s="1">
        <v>45968</v>
      </c>
      <c r="C425" t="s">
        <v>88</v>
      </c>
      <c r="D425" t="s">
        <v>51</v>
      </c>
      <c r="E425" t="s">
        <v>46</v>
      </c>
      <c r="F425" t="s">
        <v>72</v>
      </c>
      <c r="G425" t="s">
        <v>73</v>
      </c>
      <c r="H425" s="7">
        <v>1</v>
      </c>
      <c r="I425" s="4">
        <v>355.99</v>
      </c>
      <c r="J425" s="23">
        <v>0</v>
      </c>
      <c r="K425" s="4">
        <v>355.99</v>
      </c>
      <c r="L425" s="4">
        <v>281.20999999999998</v>
      </c>
      <c r="M425" s="4">
        <v>74.78</v>
      </c>
      <c r="N425" t="s">
        <v>85</v>
      </c>
      <c r="O425" s="7">
        <v>58</v>
      </c>
      <c r="P425" s="2">
        <v>45970.416666666664</v>
      </c>
      <c r="Q425" t="s">
        <v>86</v>
      </c>
      <c r="R425">
        <v>11</v>
      </c>
      <c r="S425" t="s">
        <v>35</v>
      </c>
      <c r="T425">
        <f>IF(orders[[#This Row],[Status]]="Completed",1,0)</f>
        <v>0</v>
      </c>
      <c r="U425">
        <f>IF(orders[[#This Row],[Status]]="Pending",1,0)</f>
        <v>0</v>
      </c>
      <c r="V425">
        <f>IF(orders[[#This Row],[Status]]="Delayed",1,0)</f>
        <v>1</v>
      </c>
      <c r="W425">
        <f>IF(orders[[#This Row],[Status]]="Cancelled",1,0)</f>
        <v>0</v>
      </c>
    </row>
    <row r="426" spans="1:23" x14ac:dyDescent="0.35">
      <c r="A426" t="s">
        <v>738</v>
      </c>
      <c r="B426" s="1">
        <v>45965</v>
      </c>
      <c r="C426" t="s">
        <v>288</v>
      </c>
      <c r="D426" t="s">
        <v>68</v>
      </c>
      <c r="E426" t="s">
        <v>46</v>
      </c>
      <c r="F426" t="s">
        <v>39</v>
      </c>
      <c r="G426" t="s">
        <v>114</v>
      </c>
      <c r="H426" s="7">
        <v>1</v>
      </c>
      <c r="I426" s="4">
        <v>3547.6</v>
      </c>
      <c r="J426" s="23">
        <v>0.05</v>
      </c>
      <c r="K426" s="4">
        <v>3370.22</v>
      </c>
      <c r="L426" s="4">
        <v>1972.96</v>
      </c>
      <c r="M426" s="4">
        <v>1397.26</v>
      </c>
      <c r="N426" t="s">
        <v>48</v>
      </c>
      <c r="O426" s="7">
        <v>9</v>
      </c>
      <c r="P426" s="2">
        <v>45965.375</v>
      </c>
      <c r="Q426" t="s">
        <v>86</v>
      </c>
      <c r="R426">
        <v>11</v>
      </c>
      <c r="S426" t="s">
        <v>35</v>
      </c>
      <c r="T426">
        <f>IF(orders[[#This Row],[Status]]="Completed",1,0)</f>
        <v>0</v>
      </c>
      <c r="U426">
        <f>IF(orders[[#This Row],[Status]]="Pending",1,0)</f>
        <v>0</v>
      </c>
      <c r="V426">
        <f>IF(orders[[#This Row],[Status]]="Delayed",1,0)</f>
        <v>0</v>
      </c>
      <c r="W426">
        <f>IF(orders[[#This Row],[Status]]="Cancelled",1,0)</f>
        <v>1</v>
      </c>
    </row>
    <row r="427" spans="1:23" x14ac:dyDescent="0.35">
      <c r="A427" t="s">
        <v>739</v>
      </c>
      <c r="B427" s="1">
        <v>45801</v>
      </c>
      <c r="C427" t="s">
        <v>163</v>
      </c>
      <c r="D427" t="s">
        <v>68</v>
      </c>
      <c r="E427" t="s">
        <v>92</v>
      </c>
      <c r="F427" t="s">
        <v>72</v>
      </c>
      <c r="G427" t="s">
        <v>129</v>
      </c>
      <c r="H427" s="7">
        <v>5</v>
      </c>
      <c r="I427" s="4">
        <v>9964.2000000000007</v>
      </c>
      <c r="J427" s="23">
        <v>0.15</v>
      </c>
      <c r="K427" s="4">
        <v>8469.57</v>
      </c>
      <c r="L427" s="4">
        <v>5234.16</v>
      </c>
      <c r="M427" s="4">
        <v>3235.41</v>
      </c>
      <c r="N427" t="s">
        <v>48</v>
      </c>
      <c r="O427" s="7">
        <v>9</v>
      </c>
      <c r="P427" s="2">
        <v>45801.375</v>
      </c>
      <c r="Q427" t="s">
        <v>74</v>
      </c>
      <c r="R427">
        <v>5</v>
      </c>
      <c r="S427" t="s">
        <v>27</v>
      </c>
      <c r="T427">
        <f>IF(orders[[#This Row],[Status]]="Completed",1,0)</f>
        <v>0</v>
      </c>
      <c r="U427">
        <f>IF(orders[[#This Row],[Status]]="Pending",1,0)</f>
        <v>0</v>
      </c>
      <c r="V427">
        <f>IF(orders[[#This Row],[Status]]="Delayed",1,0)</f>
        <v>0</v>
      </c>
      <c r="W427">
        <f>IF(orders[[#This Row],[Status]]="Cancelled",1,0)</f>
        <v>1</v>
      </c>
    </row>
    <row r="428" spans="1:23" x14ac:dyDescent="0.35">
      <c r="A428" t="s">
        <v>740</v>
      </c>
      <c r="B428" s="1">
        <v>45926</v>
      </c>
      <c r="C428" t="s">
        <v>351</v>
      </c>
      <c r="D428" t="s">
        <v>149</v>
      </c>
      <c r="E428" t="s">
        <v>59</v>
      </c>
      <c r="F428" t="s">
        <v>32</v>
      </c>
      <c r="G428" t="s">
        <v>64</v>
      </c>
      <c r="H428" s="7">
        <v>1</v>
      </c>
      <c r="I428" s="4">
        <v>4603.12</v>
      </c>
      <c r="J428" s="23">
        <v>0.15</v>
      </c>
      <c r="K428" s="4">
        <v>3912.65</v>
      </c>
      <c r="L428" s="4">
        <v>2342.4699999999998</v>
      </c>
      <c r="M428" s="4">
        <v>1570.18</v>
      </c>
      <c r="N428" t="s">
        <v>48</v>
      </c>
      <c r="O428" s="7">
        <v>17</v>
      </c>
      <c r="P428" s="2">
        <v>45926.708333333336</v>
      </c>
      <c r="Q428" t="s">
        <v>41</v>
      </c>
      <c r="R428">
        <v>9</v>
      </c>
      <c r="S428" t="s">
        <v>42</v>
      </c>
      <c r="T428">
        <f>IF(orders[[#This Row],[Status]]="Completed",1,0)</f>
        <v>0</v>
      </c>
      <c r="U428">
        <f>IF(orders[[#This Row],[Status]]="Pending",1,0)</f>
        <v>0</v>
      </c>
      <c r="V428">
        <f>IF(orders[[#This Row],[Status]]="Delayed",1,0)</f>
        <v>0</v>
      </c>
      <c r="W428">
        <f>IF(orders[[#This Row],[Status]]="Cancelled",1,0)</f>
        <v>1</v>
      </c>
    </row>
    <row r="429" spans="1:23" x14ac:dyDescent="0.35">
      <c r="A429" t="s">
        <v>741</v>
      </c>
      <c r="B429" s="1">
        <v>45781</v>
      </c>
      <c r="C429" t="s">
        <v>742</v>
      </c>
      <c r="D429" t="s">
        <v>45</v>
      </c>
      <c r="E429" t="s">
        <v>113</v>
      </c>
      <c r="F429" t="s">
        <v>32</v>
      </c>
      <c r="G429" t="s">
        <v>64</v>
      </c>
      <c r="H429" s="7">
        <v>2</v>
      </c>
      <c r="I429" s="4">
        <v>16933.099999999999</v>
      </c>
      <c r="J429" s="23">
        <v>0.1</v>
      </c>
      <c r="K429" s="4">
        <v>15239.79</v>
      </c>
      <c r="L429" s="4">
        <v>12389.84</v>
      </c>
      <c r="M429" s="4">
        <v>2849.95</v>
      </c>
      <c r="N429" t="s">
        <v>25</v>
      </c>
      <c r="O429" s="7">
        <v>43</v>
      </c>
      <c r="P429" s="2">
        <v>45782.791666666664</v>
      </c>
      <c r="Q429" t="s">
        <v>74</v>
      </c>
      <c r="R429">
        <v>5</v>
      </c>
      <c r="S429" t="s">
        <v>27</v>
      </c>
      <c r="T429">
        <f>IF(orders[[#This Row],[Status]]="Completed",1,0)</f>
        <v>1</v>
      </c>
      <c r="U429">
        <f>IF(orders[[#This Row],[Status]]="Pending",1,0)</f>
        <v>0</v>
      </c>
      <c r="V429">
        <f>IF(orders[[#This Row],[Status]]="Delayed",1,0)</f>
        <v>0</v>
      </c>
      <c r="W429">
        <f>IF(orders[[#This Row],[Status]]="Cancelled",1,0)</f>
        <v>0</v>
      </c>
    </row>
    <row r="430" spans="1:23" x14ac:dyDescent="0.35">
      <c r="A430" t="s">
        <v>743</v>
      </c>
      <c r="B430" s="1">
        <v>45763</v>
      </c>
      <c r="C430" t="s">
        <v>724</v>
      </c>
      <c r="D430" t="s">
        <v>21</v>
      </c>
      <c r="E430" t="s">
        <v>46</v>
      </c>
      <c r="F430" t="s">
        <v>32</v>
      </c>
      <c r="G430" t="s">
        <v>64</v>
      </c>
      <c r="H430" s="7">
        <v>1</v>
      </c>
      <c r="I430" s="4">
        <v>6834.48</v>
      </c>
      <c r="J430" s="23">
        <v>0.2</v>
      </c>
      <c r="K430" s="4">
        <v>5467.58</v>
      </c>
      <c r="L430" s="4">
        <v>3120.65</v>
      </c>
      <c r="M430" s="4">
        <v>2346.9299999999998</v>
      </c>
      <c r="N430" t="s">
        <v>85</v>
      </c>
      <c r="O430" s="7">
        <v>78</v>
      </c>
      <c r="P430" s="2">
        <v>45766.25</v>
      </c>
      <c r="Q430" t="s">
        <v>26</v>
      </c>
      <c r="R430">
        <v>4</v>
      </c>
      <c r="S430" t="s">
        <v>27</v>
      </c>
      <c r="T430">
        <f>IF(orders[[#This Row],[Status]]="Completed",1,0)</f>
        <v>0</v>
      </c>
      <c r="U430">
        <f>IF(orders[[#This Row],[Status]]="Pending",1,0)</f>
        <v>0</v>
      </c>
      <c r="V430">
        <f>IF(orders[[#This Row],[Status]]="Delayed",1,0)</f>
        <v>1</v>
      </c>
      <c r="W430">
        <f>IF(orders[[#This Row],[Status]]="Cancelled",1,0)</f>
        <v>0</v>
      </c>
    </row>
    <row r="431" spans="1:23" x14ac:dyDescent="0.35">
      <c r="A431" t="s">
        <v>744</v>
      </c>
      <c r="B431" s="1">
        <v>45815</v>
      </c>
      <c r="C431" t="s">
        <v>745</v>
      </c>
      <c r="D431" t="s">
        <v>21</v>
      </c>
      <c r="E431" t="s">
        <v>46</v>
      </c>
      <c r="F431" t="s">
        <v>83</v>
      </c>
      <c r="G431" t="s">
        <v>84</v>
      </c>
      <c r="H431" s="7">
        <v>4</v>
      </c>
      <c r="I431" s="4">
        <v>28844.44</v>
      </c>
      <c r="J431" s="23">
        <v>0</v>
      </c>
      <c r="K431" s="4">
        <v>28844.44</v>
      </c>
      <c r="L431" s="4">
        <v>22399.83</v>
      </c>
      <c r="M431" s="4">
        <v>6444.61</v>
      </c>
      <c r="N431" t="s">
        <v>25</v>
      </c>
      <c r="O431" s="7">
        <v>25</v>
      </c>
      <c r="P431" s="2">
        <v>45816.041666666664</v>
      </c>
      <c r="Q431" t="s">
        <v>99</v>
      </c>
      <c r="R431">
        <v>6</v>
      </c>
      <c r="S431" t="s">
        <v>27</v>
      </c>
      <c r="T431">
        <f>IF(orders[[#This Row],[Status]]="Completed",1,0)</f>
        <v>1</v>
      </c>
      <c r="U431">
        <f>IF(orders[[#This Row],[Status]]="Pending",1,0)</f>
        <v>0</v>
      </c>
      <c r="V431">
        <f>IF(orders[[#This Row],[Status]]="Delayed",1,0)</f>
        <v>0</v>
      </c>
      <c r="W431">
        <f>IF(orders[[#This Row],[Status]]="Cancelled",1,0)</f>
        <v>0</v>
      </c>
    </row>
    <row r="432" spans="1:23" x14ac:dyDescent="0.35">
      <c r="A432" t="s">
        <v>746</v>
      </c>
      <c r="B432" s="1">
        <v>45804</v>
      </c>
      <c r="C432" t="s">
        <v>493</v>
      </c>
      <c r="D432" t="s">
        <v>63</v>
      </c>
      <c r="E432" t="s">
        <v>113</v>
      </c>
      <c r="F432" t="s">
        <v>83</v>
      </c>
      <c r="G432" t="s">
        <v>182</v>
      </c>
      <c r="H432" s="7">
        <v>6</v>
      </c>
      <c r="I432" s="4">
        <v>32726.76</v>
      </c>
      <c r="J432" s="23">
        <v>0</v>
      </c>
      <c r="K432" s="4">
        <v>32726.76</v>
      </c>
      <c r="L432" s="4">
        <v>21957.39</v>
      </c>
      <c r="M432" s="4">
        <v>10769.37</v>
      </c>
      <c r="N432" t="s">
        <v>25</v>
      </c>
      <c r="O432" s="7">
        <v>17</v>
      </c>
      <c r="P432" s="2">
        <v>45804.708333333336</v>
      </c>
      <c r="Q432" t="s">
        <v>74</v>
      </c>
      <c r="R432">
        <v>5</v>
      </c>
      <c r="S432" t="s">
        <v>27</v>
      </c>
      <c r="T432">
        <f>IF(orders[[#This Row],[Status]]="Completed",1,0)</f>
        <v>1</v>
      </c>
      <c r="U432">
        <f>IF(orders[[#This Row],[Status]]="Pending",1,0)</f>
        <v>0</v>
      </c>
      <c r="V432">
        <f>IF(orders[[#This Row],[Status]]="Delayed",1,0)</f>
        <v>0</v>
      </c>
      <c r="W432">
        <f>IF(orders[[#This Row],[Status]]="Cancelled",1,0)</f>
        <v>0</v>
      </c>
    </row>
    <row r="433" spans="1:23" x14ac:dyDescent="0.35">
      <c r="A433" t="s">
        <v>747</v>
      </c>
      <c r="B433" s="1">
        <v>45802</v>
      </c>
      <c r="C433" t="s">
        <v>392</v>
      </c>
      <c r="D433" t="s">
        <v>58</v>
      </c>
      <c r="E433" t="s">
        <v>31</v>
      </c>
      <c r="F433" t="s">
        <v>23</v>
      </c>
      <c r="G433" t="s">
        <v>69</v>
      </c>
      <c r="H433" s="7">
        <v>1</v>
      </c>
      <c r="I433" s="4">
        <v>497.02</v>
      </c>
      <c r="J433" s="23">
        <v>0.2</v>
      </c>
      <c r="K433" s="4">
        <v>397.62</v>
      </c>
      <c r="L433" s="4">
        <v>317.86</v>
      </c>
      <c r="M433" s="4">
        <v>79.760000000000005</v>
      </c>
      <c r="N433" t="s">
        <v>25</v>
      </c>
      <c r="O433" s="7">
        <v>20</v>
      </c>
      <c r="P433" s="2">
        <v>45802.833333333336</v>
      </c>
      <c r="Q433" t="s">
        <v>74</v>
      </c>
      <c r="R433">
        <v>5</v>
      </c>
      <c r="S433" t="s">
        <v>27</v>
      </c>
      <c r="T433">
        <f>IF(orders[[#This Row],[Status]]="Completed",1,0)</f>
        <v>1</v>
      </c>
      <c r="U433">
        <f>IF(orders[[#This Row],[Status]]="Pending",1,0)</f>
        <v>0</v>
      </c>
      <c r="V433">
        <f>IF(orders[[#This Row],[Status]]="Delayed",1,0)</f>
        <v>0</v>
      </c>
      <c r="W433">
        <f>IF(orders[[#This Row],[Status]]="Cancelled",1,0)</f>
        <v>0</v>
      </c>
    </row>
    <row r="434" spans="1:23" x14ac:dyDescent="0.35">
      <c r="A434" t="s">
        <v>748</v>
      </c>
      <c r="B434" s="1">
        <v>45777</v>
      </c>
      <c r="C434" t="s">
        <v>207</v>
      </c>
      <c r="D434" t="s">
        <v>45</v>
      </c>
      <c r="E434" t="s">
        <v>78</v>
      </c>
      <c r="F434" t="s">
        <v>23</v>
      </c>
      <c r="G434" t="s">
        <v>69</v>
      </c>
      <c r="H434" s="7">
        <v>4</v>
      </c>
      <c r="I434" s="4">
        <v>7507.04</v>
      </c>
      <c r="J434" s="23">
        <v>0.15</v>
      </c>
      <c r="K434" s="4">
        <v>6380.98</v>
      </c>
      <c r="L434" s="4">
        <v>5540.26</v>
      </c>
      <c r="M434" s="4">
        <v>840.72</v>
      </c>
      <c r="N434" t="s">
        <v>98</v>
      </c>
      <c r="O434" s="7">
        <v>3</v>
      </c>
      <c r="P434" s="2">
        <v>45777.125</v>
      </c>
      <c r="Q434" t="s">
        <v>26</v>
      </c>
      <c r="R434">
        <v>4</v>
      </c>
      <c r="S434" t="s">
        <v>27</v>
      </c>
      <c r="T434">
        <f>IF(orders[[#This Row],[Status]]="Completed",1,0)</f>
        <v>0</v>
      </c>
      <c r="U434">
        <f>IF(orders[[#This Row],[Status]]="Pending",1,0)</f>
        <v>1</v>
      </c>
      <c r="V434">
        <f>IF(orders[[#This Row],[Status]]="Delayed",1,0)</f>
        <v>0</v>
      </c>
      <c r="W434">
        <f>IF(orders[[#This Row],[Status]]="Cancelled",1,0)</f>
        <v>0</v>
      </c>
    </row>
    <row r="435" spans="1:23" x14ac:dyDescent="0.35">
      <c r="A435" t="s">
        <v>749</v>
      </c>
      <c r="B435" s="1">
        <v>45976</v>
      </c>
      <c r="C435" t="s">
        <v>722</v>
      </c>
      <c r="D435" t="s">
        <v>77</v>
      </c>
      <c r="E435" t="s">
        <v>22</v>
      </c>
      <c r="F435" t="s">
        <v>23</v>
      </c>
      <c r="G435" t="s">
        <v>24</v>
      </c>
      <c r="H435" s="7">
        <v>1</v>
      </c>
      <c r="I435" s="4">
        <v>7874.29</v>
      </c>
      <c r="J435" s="23">
        <v>0.1</v>
      </c>
      <c r="K435" s="4">
        <v>7086.86</v>
      </c>
      <c r="L435" s="4">
        <v>4165.66</v>
      </c>
      <c r="M435" s="4">
        <v>2921.2</v>
      </c>
      <c r="N435" t="s">
        <v>85</v>
      </c>
      <c r="O435" s="7">
        <v>66</v>
      </c>
      <c r="P435" s="2">
        <v>45978.75</v>
      </c>
      <c r="Q435" t="s">
        <v>86</v>
      </c>
      <c r="R435">
        <v>11</v>
      </c>
      <c r="S435" t="s">
        <v>35</v>
      </c>
      <c r="T435">
        <f>IF(orders[[#This Row],[Status]]="Completed",1,0)</f>
        <v>0</v>
      </c>
      <c r="U435">
        <f>IF(orders[[#This Row],[Status]]="Pending",1,0)</f>
        <v>0</v>
      </c>
      <c r="V435">
        <f>IF(orders[[#This Row],[Status]]="Delayed",1,0)</f>
        <v>1</v>
      </c>
      <c r="W435">
        <f>IF(orders[[#This Row],[Status]]="Cancelled",1,0)</f>
        <v>0</v>
      </c>
    </row>
    <row r="436" spans="1:23" x14ac:dyDescent="0.35">
      <c r="A436" t="s">
        <v>750</v>
      </c>
      <c r="B436" s="1">
        <v>45932</v>
      </c>
      <c r="C436" t="s">
        <v>751</v>
      </c>
      <c r="D436" t="s">
        <v>51</v>
      </c>
      <c r="E436" t="s">
        <v>31</v>
      </c>
      <c r="F436" t="s">
        <v>83</v>
      </c>
      <c r="G436" t="s">
        <v>84</v>
      </c>
      <c r="H436" s="7">
        <v>1</v>
      </c>
      <c r="I436" s="4">
        <v>3207.04</v>
      </c>
      <c r="J436" s="23">
        <v>0.15</v>
      </c>
      <c r="K436" s="4">
        <v>2725.98</v>
      </c>
      <c r="L436" s="4">
        <v>1782.1</v>
      </c>
      <c r="M436" s="4">
        <v>943.88</v>
      </c>
      <c r="N436" t="s">
        <v>25</v>
      </c>
      <c r="O436" s="7">
        <v>18</v>
      </c>
      <c r="P436" s="2">
        <v>45932.75</v>
      </c>
      <c r="Q436" t="s">
        <v>116</v>
      </c>
      <c r="R436">
        <v>10</v>
      </c>
      <c r="S436" t="s">
        <v>35</v>
      </c>
      <c r="T436">
        <f>IF(orders[[#This Row],[Status]]="Completed",1,0)</f>
        <v>1</v>
      </c>
      <c r="U436">
        <f>IF(orders[[#This Row],[Status]]="Pending",1,0)</f>
        <v>0</v>
      </c>
      <c r="V436">
        <f>IF(orders[[#This Row],[Status]]="Delayed",1,0)</f>
        <v>0</v>
      </c>
      <c r="W436">
        <f>IF(orders[[#This Row],[Status]]="Cancelled",1,0)</f>
        <v>0</v>
      </c>
    </row>
    <row r="437" spans="1:23" x14ac:dyDescent="0.35">
      <c r="A437" t="s">
        <v>752</v>
      </c>
      <c r="B437" s="1">
        <v>45749</v>
      </c>
      <c r="C437" t="s">
        <v>163</v>
      </c>
      <c r="D437" t="s">
        <v>38</v>
      </c>
      <c r="E437" t="s">
        <v>22</v>
      </c>
      <c r="F437" t="s">
        <v>83</v>
      </c>
      <c r="G437" t="s">
        <v>107</v>
      </c>
      <c r="H437" s="7">
        <v>5</v>
      </c>
      <c r="I437" s="4">
        <v>5076.8500000000004</v>
      </c>
      <c r="J437" s="23">
        <v>0.25</v>
      </c>
      <c r="K437" s="4">
        <v>3807.64</v>
      </c>
      <c r="L437" s="4">
        <v>3112.14</v>
      </c>
      <c r="M437" s="4">
        <v>695.5</v>
      </c>
      <c r="N437" t="s">
        <v>98</v>
      </c>
      <c r="O437" s="7">
        <v>9</v>
      </c>
      <c r="P437" s="2">
        <v>45749.375</v>
      </c>
      <c r="Q437" t="s">
        <v>26</v>
      </c>
      <c r="R437">
        <v>4</v>
      </c>
      <c r="S437" t="s">
        <v>27</v>
      </c>
      <c r="T437">
        <f>IF(orders[[#This Row],[Status]]="Completed",1,0)</f>
        <v>0</v>
      </c>
      <c r="U437">
        <f>IF(orders[[#This Row],[Status]]="Pending",1,0)</f>
        <v>1</v>
      </c>
      <c r="V437">
        <f>IF(orders[[#This Row],[Status]]="Delayed",1,0)</f>
        <v>0</v>
      </c>
      <c r="W437">
        <f>IF(orders[[#This Row],[Status]]="Cancelled",1,0)</f>
        <v>0</v>
      </c>
    </row>
    <row r="438" spans="1:23" x14ac:dyDescent="0.35">
      <c r="A438" t="s">
        <v>753</v>
      </c>
      <c r="B438" s="1">
        <v>45715</v>
      </c>
      <c r="C438" t="s">
        <v>203</v>
      </c>
      <c r="D438" t="s">
        <v>30</v>
      </c>
      <c r="E438" t="s">
        <v>46</v>
      </c>
      <c r="F438" t="s">
        <v>23</v>
      </c>
      <c r="G438" t="s">
        <v>24</v>
      </c>
      <c r="H438" s="7">
        <v>2</v>
      </c>
      <c r="I438" s="4">
        <v>12030.16</v>
      </c>
      <c r="J438" s="23">
        <v>0.15</v>
      </c>
      <c r="K438" s="4">
        <v>10225.64</v>
      </c>
      <c r="L438" s="4">
        <v>6522.24</v>
      </c>
      <c r="M438" s="4">
        <v>3703.4</v>
      </c>
      <c r="N438" t="s">
        <v>25</v>
      </c>
      <c r="O438" s="7">
        <v>27</v>
      </c>
      <c r="P438" s="2">
        <v>45716.125</v>
      </c>
      <c r="Q438" t="s">
        <v>139</v>
      </c>
      <c r="R438">
        <v>2</v>
      </c>
      <c r="S438" t="s">
        <v>55</v>
      </c>
      <c r="T438">
        <f>IF(orders[[#This Row],[Status]]="Completed",1,0)</f>
        <v>1</v>
      </c>
      <c r="U438">
        <f>IF(orders[[#This Row],[Status]]="Pending",1,0)</f>
        <v>0</v>
      </c>
      <c r="V438">
        <f>IF(orders[[#This Row],[Status]]="Delayed",1,0)</f>
        <v>0</v>
      </c>
      <c r="W438">
        <f>IF(orders[[#This Row],[Status]]="Cancelled",1,0)</f>
        <v>0</v>
      </c>
    </row>
    <row r="439" spans="1:23" x14ac:dyDescent="0.35">
      <c r="A439" t="s">
        <v>754</v>
      </c>
      <c r="B439" s="1">
        <v>46003</v>
      </c>
      <c r="C439" t="s">
        <v>418</v>
      </c>
      <c r="D439" t="s">
        <v>149</v>
      </c>
      <c r="E439" t="s">
        <v>46</v>
      </c>
      <c r="F439" t="s">
        <v>23</v>
      </c>
      <c r="G439" t="s">
        <v>122</v>
      </c>
      <c r="H439" s="7">
        <v>6</v>
      </c>
      <c r="I439" s="4">
        <v>15902.82</v>
      </c>
      <c r="J439" s="23">
        <v>0.15</v>
      </c>
      <c r="K439" s="4">
        <v>13517.4</v>
      </c>
      <c r="L439" s="4">
        <v>8394.17</v>
      </c>
      <c r="M439" s="4">
        <v>5123.2299999999996</v>
      </c>
      <c r="N439" t="s">
        <v>25</v>
      </c>
      <c r="O439" s="7">
        <v>15</v>
      </c>
      <c r="P439" s="2">
        <v>46003.625</v>
      </c>
      <c r="Q439" t="s">
        <v>34</v>
      </c>
      <c r="R439">
        <v>12</v>
      </c>
      <c r="S439" t="s">
        <v>35</v>
      </c>
      <c r="T439">
        <f>IF(orders[[#This Row],[Status]]="Completed",1,0)</f>
        <v>1</v>
      </c>
      <c r="U439">
        <f>IF(orders[[#This Row],[Status]]="Pending",1,0)</f>
        <v>0</v>
      </c>
      <c r="V439">
        <f>IF(orders[[#This Row],[Status]]="Delayed",1,0)</f>
        <v>0</v>
      </c>
      <c r="W439">
        <f>IF(orders[[#This Row],[Status]]="Cancelled",1,0)</f>
        <v>0</v>
      </c>
    </row>
    <row r="440" spans="1:23" x14ac:dyDescent="0.35">
      <c r="A440" t="s">
        <v>755</v>
      </c>
      <c r="B440" s="1">
        <v>45886</v>
      </c>
      <c r="C440" t="s">
        <v>422</v>
      </c>
      <c r="D440" t="s">
        <v>58</v>
      </c>
      <c r="E440" t="s">
        <v>59</v>
      </c>
      <c r="F440" t="s">
        <v>39</v>
      </c>
      <c r="G440" t="s">
        <v>40</v>
      </c>
      <c r="H440" s="7">
        <v>2</v>
      </c>
      <c r="I440" s="4">
        <v>4789.92</v>
      </c>
      <c r="J440" s="23">
        <v>0.15</v>
      </c>
      <c r="K440" s="4">
        <v>4071.43</v>
      </c>
      <c r="L440" s="4">
        <v>3348.24</v>
      </c>
      <c r="M440" s="4">
        <v>723.19</v>
      </c>
      <c r="N440" t="s">
        <v>48</v>
      </c>
      <c r="O440" s="7">
        <v>22</v>
      </c>
      <c r="P440" s="2">
        <v>45886.916666666664</v>
      </c>
      <c r="Q440" t="s">
        <v>80</v>
      </c>
      <c r="R440">
        <v>8</v>
      </c>
      <c r="S440" t="s">
        <v>42</v>
      </c>
      <c r="T440">
        <f>IF(orders[[#This Row],[Status]]="Completed",1,0)</f>
        <v>0</v>
      </c>
      <c r="U440">
        <f>IF(orders[[#This Row],[Status]]="Pending",1,0)</f>
        <v>0</v>
      </c>
      <c r="V440">
        <f>IF(orders[[#This Row],[Status]]="Delayed",1,0)</f>
        <v>0</v>
      </c>
      <c r="W440">
        <f>IF(orders[[#This Row],[Status]]="Cancelled",1,0)</f>
        <v>1</v>
      </c>
    </row>
    <row r="441" spans="1:23" x14ac:dyDescent="0.35">
      <c r="A441" t="s">
        <v>756</v>
      </c>
      <c r="B441" s="1">
        <v>45774</v>
      </c>
      <c r="C441" t="s">
        <v>530</v>
      </c>
      <c r="D441" t="s">
        <v>58</v>
      </c>
      <c r="E441" t="s">
        <v>113</v>
      </c>
      <c r="F441" t="s">
        <v>23</v>
      </c>
      <c r="G441" t="s">
        <v>136</v>
      </c>
      <c r="H441" s="7">
        <v>3</v>
      </c>
      <c r="I441" s="4">
        <v>25449.33</v>
      </c>
      <c r="J441" s="23">
        <v>0</v>
      </c>
      <c r="K441" s="4">
        <v>25449.33</v>
      </c>
      <c r="L441" s="4">
        <v>22286.92</v>
      </c>
      <c r="M441" s="4">
        <v>3162.41</v>
      </c>
      <c r="N441" t="s">
        <v>25</v>
      </c>
      <c r="O441" s="7">
        <v>45</v>
      </c>
      <c r="P441" s="2">
        <v>45775.875</v>
      </c>
      <c r="Q441" t="s">
        <v>26</v>
      </c>
      <c r="R441">
        <v>4</v>
      </c>
      <c r="S441" t="s">
        <v>27</v>
      </c>
      <c r="T441">
        <f>IF(orders[[#This Row],[Status]]="Completed",1,0)</f>
        <v>1</v>
      </c>
      <c r="U441">
        <f>IF(orders[[#This Row],[Status]]="Pending",1,0)</f>
        <v>0</v>
      </c>
      <c r="V441">
        <f>IF(orders[[#This Row],[Status]]="Delayed",1,0)</f>
        <v>0</v>
      </c>
      <c r="W441">
        <f>IF(orders[[#This Row],[Status]]="Cancelled",1,0)</f>
        <v>0</v>
      </c>
    </row>
    <row r="442" spans="1:23" x14ac:dyDescent="0.35">
      <c r="A442" t="s">
        <v>757</v>
      </c>
      <c r="B442" s="1">
        <v>45975</v>
      </c>
      <c r="C442" t="s">
        <v>422</v>
      </c>
      <c r="D442" t="s">
        <v>58</v>
      </c>
      <c r="E442" t="s">
        <v>52</v>
      </c>
      <c r="F442" t="s">
        <v>39</v>
      </c>
      <c r="G442" t="s">
        <v>93</v>
      </c>
      <c r="H442" s="7">
        <v>5</v>
      </c>
      <c r="I442" s="4">
        <v>36577.300000000003</v>
      </c>
      <c r="J442" s="23">
        <v>0.15</v>
      </c>
      <c r="K442" s="4">
        <v>31090.7</v>
      </c>
      <c r="L442" s="4">
        <v>22813.439999999999</v>
      </c>
      <c r="M442" s="4">
        <v>8277.26</v>
      </c>
      <c r="N442" t="s">
        <v>25</v>
      </c>
      <c r="O442" s="7">
        <v>45</v>
      </c>
      <c r="P442" s="2">
        <v>45976.875</v>
      </c>
      <c r="Q442" t="s">
        <v>86</v>
      </c>
      <c r="R442">
        <v>11</v>
      </c>
      <c r="S442" t="s">
        <v>35</v>
      </c>
      <c r="T442">
        <f>IF(orders[[#This Row],[Status]]="Completed",1,0)</f>
        <v>1</v>
      </c>
      <c r="U442">
        <f>IF(orders[[#This Row],[Status]]="Pending",1,0)</f>
        <v>0</v>
      </c>
      <c r="V442">
        <f>IF(orders[[#This Row],[Status]]="Delayed",1,0)</f>
        <v>0</v>
      </c>
      <c r="W442">
        <f>IF(orders[[#This Row],[Status]]="Cancelled",1,0)</f>
        <v>0</v>
      </c>
    </row>
    <row r="443" spans="1:23" x14ac:dyDescent="0.35">
      <c r="A443" t="s">
        <v>758</v>
      </c>
      <c r="B443" s="1">
        <v>45936</v>
      </c>
      <c r="C443" t="s">
        <v>724</v>
      </c>
      <c r="D443" t="s">
        <v>51</v>
      </c>
      <c r="E443" t="s">
        <v>46</v>
      </c>
      <c r="F443" t="s">
        <v>72</v>
      </c>
      <c r="G443" t="s">
        <v>146</v>
      </c>
      <c r="H443" s="7">
        <v>5</v>
      </c>
      <c r="I443" s="4">
        <v>17781.400000000001</v>
      </c>
      <c r="J443" s="23">
        <v>0</v>
      </c>
      <c r="K443" s="4">
        <v>17781.400000000001</v>
      </c>
      <c r="L443" s="4">
        <v>11411.32</v>
      </c>
      <c r="M443" s="4">
        <v>6370.08</v>
      </c>
      <c r="N443" t="s">
        <v>25</v>
      </c>
      <c r="O443" s="7">
        <v>34</v>
      </c>
      <c r="P443" s="2">
        <v>45937.416666666664</v>
      </c>
      <c r="Q443" t="s">
        <v>116</v>
      </c>
      <c r="R443">
        <v>10</v>
      </c>
      <c r="S443" t="s">
        <v>35</v>
      </c>
      <c r="T443">
        <f>IF(orders[[#This Row],[Status]]="Completed",1,0)</f>
        <v>1</v>
      </c>
      <c r="U443">
        <f>IF(orders[[#This Row],[Status]]="Pending",1,0)</f>
        <v>0</v>
      </c>
      <c r="V443">
        <f>IF(orders[[#This Row],[Status]]="Delayed",1,0)</f>
        <v>0</v>
      </c>
      <c r="W443">
        <f>IF(orders[[#This Row],[Status]]="Cancelled",1,0)</f>
        <v>0</v>
      </c>
    </row>
    <row r="444" spans="1:23" x14ac:dyDescent="0.35">
      <c r="A444" t="s">
        <v>759</v>
      </c>
      <c r="B444" s="1">
        <v>45784</v>
      </c>
      <c r="C444" t="s">
        <v>175</v>
      </c>
      <c r="D444" t="s">
        <v>51</v>
      </c>
      <c r="E444" t="s">
        <v>22</v>
      </c>
      <c r="F444" t="s">
        <v>83</v>
      </c>
      <c r="G444" t="s">
        <v>152</v>
      </c>
      <c r="H444" s="7">
        <v>2</v>
      </c>
      <c r="I444" s="4">
        <v>16670.36</v>
      </c>
      <c r="J444" s="23">
        <v>0.2</v>
      </c>
      <c r="K444" s="4">
        <v>13336.29</v>
      </c>
      <c r="L444" s="4">
        <v>9089.0400000000009</v>
      </c>
      <c r="M444" s="4">
        <v>4247.25</v>
      </c>
      <c r="N444" t="s">
        <v>85</v>
      </c>
      <c r="O444" s="7">
        <v>89</v>
      </c>
      <c r="P444" s="2">
        <v>45787.708333333336</v>
      </c>
      <c r="Q444" t="s">
        <v>74</v>
      </c>
      <c r="R444">
        <v>5</v>
      </c>
      <c r="S444" t="s">
        <v>27</v>
      </c>
      <c r="T444">
        <f>IF(orders[[#This Row],[Status]]="Completed",1,0)</f>
        <v>0</v>
      </c>
      <c r="U444">
        <f>IF(orders[[#This Row],[Status]]="Pending",1,0)</f>
        <v>0</v>
      </c>
      <c r="V444">
        <f>IF(orders[[#This Row],[Status]]="Delayed",1,0)</f>
        <v>1</v>
      </c>
      <c r="W444">
        <f>IF(orders[[#This Row],[Status]]="Cancelled",1,0)</f>
        <v>0</v>
      </c>
    </row>
    <row r="445" spans="1:23" x14ac:dyDescent="0.35">
      <c r="A445" t="s">
        <v>760</v>
      </c>
      <c r="B445" s="1">
        <v>45786</v>
      </c>
      <c r="C445" t="s">
        <v>179</v>
      </c>
      <c r="D445" t="s">
        <v>30</v>
      </c>
      <c r="E445" t="s">
        <v>22</v>
      </c>
      <c r="F445" t="s">
        <v>23</v>
      </c>
      <c r="G445" t="s">
        <v>110</v>
      </c>
      <c r="H445" s="7">
        <v>7</v>
      </c>
      <c r="I445" s="4">
        <v>39049.15</v>
      </c>
      <c r="J445" s="23">
        <v>0.1</v>
      </c>
      <c r="K445" s="4">
        <v>35144.239999999998</v>
      </c>
      <c r="L445" s="4">
        <v>21302.44</v>
      </c>
      <c r="M445" s="4">
        <v>13841.8</v>
      </c>
      <c r="N445" t="s">
        <v>98</v>
      </c>
      <c r="O445" s="7">
        <v>9</v>
      </c>
      <c r="P445" s="2">
        <v>45786.375</v>
      </c>
      <c r="Q445" t="s">
        <v>74</v>
      </c>
      <c r="R445">
        <v>5</v>
      </c>
      <c r="S445" t="s">
        <v>27</v>
      </c>
      <c r="T445">
        <f>IF(orders[[#This Row],[Status]]="Completed",1,0)</f>
        <v>0</v>
      </c>
      <c r="U445">
        <f>IF(orders[[#This Row],[Status]]="Pending",1,0)</f>
        <v>1</v>
      </c>
      <c r="V445">
        <f>IF(orders[[#This Row],[Status]]="Delayed",1,0)</f>
        <v>0</v>
      </c>
      <c r="W445">
        <f>IF(orders[[#This Row],[Status]]="Cancelled",1,0)</f>
        <v>0</v>
      </c>
    </row>
    <row r="446" spans="1:23" x14ac:dyDescent="0.35">
      <c r="A446" t="s">
        <v>761</v>
      </c>
      <c r="B446" s="1">
        <v>45715</v>
      </c>
      <c r="C446" t="s">
        <v>321</v>
      </c>
      <c r="D446" t="s">
        <v>77</v>
      </c>
      <c r="E446" t="s">
        <v>78</v>
      </c>
      <c r="F446" t="s">
        <v>83</v>
      </c>
      <c r="G446" t="s">
        <v>182</v>
      </c>
      <c r="H446" s="7">
        <v>5</v>
      </c>
      <c r="I446" s="4">
        <v>31729.45</v>
      </c>
      <c r="J446" s="23">
        <v>0.1</v>
      </c>
      <c r="K446" s="4">
        <v>28556.5</v>
      </c>
      <c r="L446" s="4">
        <v>22885.83</v>
      </c>
      <c r="M446" s="4">
        <v>5670.67</v>
      </c>
      <c r="N446" t="s">
        <v>25</v>
      </c>
      <c r="O446" s="7">
        <v>12</v>
      </c>
      <c r="P446" s="2">
        <v>45715.5</v>
      </c>
      <c r="Q446" t="s">
        <v>139</v>
      </c>
      <c r="R446">
        <v>2</v>
      </c>
      <c r="S446" t="s">
        <v>55</v>
      </c>
      <c r="T446">
        <f>IF(orders[[#This Row],[Status]]="Completed",1,0)</f>
        <v>1</v>
      </c>
      <c r="U446">
        <f>IF(orders[[#This Row],[Status]]="Pending",1,0)</f>
        <v>0</v>
      </c>
      <c r="V446">
        <f>IF(orders[[#This Row],[Status]]="Delayed",1,0)</f>
        <v>0</v>
      </c>
      <c r="W446">
        <f>IF(orders[[#This Row],[Status]]="Cancelled",1,0)</f>
        <v>0</v>
      </c>
    </row>
    <row r="447" spans="1:23" x14ac:dyDescent="0.35">
      <c r="A447" t="s">
        <v>762</v>
      </c>
      <c r="B447" s="1">
        <v>45779</v>
      </c>
      <c r="C447" t="s">
        <v>763</v>
      </c>
      <c r="D447" t="s">
        <v>45</v>
      </c>
      <c r="E447" t="s">
        <v>78</v>
      </c>
      <c r="F447" t="s">
        <v>83</v>
      </c>
      <c r="G447" t="s">
        <v>84</v>
      </c>
      <c r="H447" s="7">
        <v>2</v>
      </c>
      <c r="I447" s="4">
        <v>826.26</v>
      </c>
      <c r="J447" s="23">
        <v>0.1</v>
      </c>
      <c r="K447" s="4">
        <v>743.63</v>
      </c>
      <c r="L447" s="4">
        <v>598.80999999999995</v>
      </c>
      <c r="M447" s="4">
        <v>144.82</v>
      </c>
      <c r="N447" t="s">
        <v>25</v>
      </c>
      <c r="O447" s="7">
        <v>17</v>
      </c>
      <c r="P447" s="2">
        <v>45779.708333333336</v>
      </c>
      <c r="Q447" t="s">
        <v>74</v>
      </c>
      <c r="R447">
        <v>5</v>
      </c>
      <c r="S447" t="s">
        <v>27</v>
      </c>
      <c r="T447">
        <f>IF(orders[[#This Row],[Status]]="Completed",1,0)</f>
        <v>1</v>
      </c>
      <c r="U447">
        <f>IF(orders[[#This Row],[Status]]="Pending",1,0)</f>
        <v>0</v>
      </c>
      <c r="V447">
        <f>IF(orders[[#This Row],[Status]]="Delayed",1,0)</f>
        <v>0</v>
      </c>
      <c r="W447">
        <f>IF(orders[[#This Row],[Status]]="Cancelled",1,0)</f>
        <v>0</v>
      </c>
    </row>
    <row r="448" spans="1:23" x14ac:dyDescent="0.35">
      <c r="A448" t="s">
        <v>764</v>
      </c>
      <c r="B448" s="1">
        <v>45658</v>
      </c>
      <c r="C448" t="s">
        <v>644</v>
      </c>
      <c r="D448" t="s">
        <v>58</v>
      </c>
      <c r="E448" t="s">
        <v>31</v>
      </c>
      <c r="F448" t="s">
        <v>83</v>
      </c>
      <c r="G448" t="s">
        <v>182</v>
      </c>
      <c r="H448" s="7">
        <v>5</v>
      </c>
      <c r="I448" s="4">
        <v>5827</v>
      </c>
      <c r="J448" s="23">
        <v>0</v>
      </c>
      <c r="K448" s="4">
        <v>5827</v>
      </c>
      <c r="L448" s="4">
        <v>4887.63</v>
      </c>
      <c r="M448" s="4">
        <v>939.37</v>
      </c>
      <c r="N448" t="s">
        <v>25</v>
      </c>
      <c r="O448" s="7">
        <v>22</v>
      </c>
      <c r="P448" s="2">
        <v>45658.916666666664</v>
      </c>
      <c r="Q448" t="s">
        <v>65</v>
      </c>
      <c r="R448">
        <v>1</v>
      </c>
      <c r="S448" t="s">
        <v>55</v>
      </c>
      <c r="T448">
        <f>IF(orders[[#This Row],[Status]]="Completed",1,0)</f>
        <v>1</v>
      </c>
      <c r="U448">
        <f>IF(orders[[#This Row],[Status]]="Pending",1,0)</f>
        <v>0</v>
      </c>
      <c r="V448">
        <f>IF(orders[[#This Row],[Status]]="Delayed",1,0)</f>
        <v>0</v>
      </c>
      <c r="W448">
        <f>IF(orders[[#This Row],[Status]]="Cancelled",1,0)</f>
        <v>0</v>
      </c>
    </row>
    <row r="449" spans="1:23" x14ac:dyDescent="0.35">
      <c r="A449" t="s">
        <v>765</v>
      </c>
      <c r="B449" s="1">
        <v>45896</v>
      </c>
      <c r="C449" t="s">
        <v>766</v>
      </c>
      <c r="D449" t="s">
        <v>21</v>
      </c>
      <c r="E449" t="s">
        <v>31</v>
      </c>
      <c r="F449" t="s">
        <v>72</v>
      </c>
      <c r="G449" t="s">
        <v>73</v>
      </c>
      <c r="H449" s="7">
        <v>1</v>
      </c>
      <c r="I449" s="4">
        <v>5436.26</v>
      </c>
      <c r="J449" s="23">
        <v>0.05</v>
      </c>
      <c r="K449" s="4">
        <v>5164.45</v>
      </c>
      <c r="L449" s="4">
        <v>2885.79</v>
      </c>
      <c r="M449" s="4">
        <v>2278.66</v>
      </c>
      <c r="N449" t="s">
        <v>25</v>
      </c>
      <c r="O449" s="7">
        <v>34</v>
      </c>
      <c r="P449" s="2">
        <v>45897.416666666664</v>
      </c>
      <c r="Q449" t="s">
        <v>80</v>
      </c>
      <c r="R449">
        <v>8</v>
      </c>
      <c r="S449" t="s">
        <v>42</v>
      </c>
      <c r="T449">
        <f>IF(orders[[#This Row],[Status]]="Completed",1,0)</f>
        <v>1</v>
      </c>
      <c r="U449">
        <f>IF(orders[[#This Row],[Status]]="Pending",1,0)</f>
        <v>0</v>
      </c>
      <c r="V449">
        <f>IF(orders[[#This Row],[Status]]="Delayed",1,0)</f>
        <v>0</v>
      </c>
      <c r="W449">
        <f>IF(orders[[#This Row],[Status]]="Cancelled",1,0)</f>
        <v>0</v>
      </c>
    </row>
    <row r="450" spans="1:23" x14ac:dyDescent="0.35">
      <c r="A450" t="s">
        <v>767</v>
      </c>
      <c r="B450" s="1">
        <v>45947</v>
      </c>
      <c r="C450" t="s">
        <v>690</v>
      </c>
      <c r="D450" t="s">
        <v>68</v>
      </c>
      <c r="E450" t="s">
        <v>46</v>
      </c>
      <c r="F450" t="s">
        <v>32</v>
      </c>
      <c r="G450" t="s">
        <v>33</v>
      </c>
      <c r="H450" s="7">
        <v>2</v>
      </c>
      <c r="I450" s="4">
        <v>15313.7</v>
      </c>
      <c r="J450" s="23">
        <v>0.25</v>
      </c>
      <c r="K450" s="4">
        <v>11485.28</v>
      </c>
      <c r="L450" s="4">
        <v>8446.89</v>
      </c>
      <c r="M450" s="4">
        <v>3038.39</v>
      </c>
      <c r="N450" t="s">
        <v>48</v>
      </c>
      <c r="O450" s="7">
        <v>7</v>
      </c>
      <c r="P450" s="2">
        <v>45947.291666666664</v>
      </c>
      <c r="Q450" t="s">
        <v>116</v>
      </c>
      <c r="R450">
        <v>10</v>
      </c>
      <c r="S450" t="s">
        <v>35</v>
      </c>
      <c r="T450">
        <f>IF(orders[[#This Row],[Status]]="Completed",1,0)</f>
        <v>0</v>
      </c>
      <c r="U450">
        <f>IF(orders[[#This Row],[Status]]="Pending",1,0)</f>
        <v>0</v>
      </c>
      <c r="V450">
        <f>IF(orders[[#This Row],[Status]]="Delayed",1,0)</f>
        <v>0</v>
      </c>
      <c r="W450">
        <f>IF(orders[[#This Row],[Status]]="Cancelled",1,0)</f>
        <v>1</v>
      </c>
    </row>
    <row r="451" spans="1:23" x14ac:dyDescent="0.35">
      <c r="A451" t="s">
        <v>768</v>
      </c>
      <c r="B451" s="1">
        <v>45753</v>
      </c>
      <c r="C451" t="s">
        <v>361</v>
      </c>
      <c r="D451" t="s">
        <v>21</v>
      </c>
      <c r="E451" t="s">
        <v>46</v>
      </c>
      <c r="F451" t="s">
        <v>23</v>
      </c>
      <c r="G451" t="s">
        <v>110</v>
      </c>
      <c r="H451" s="7">
        <v>2</v>
      </c>
      <c r="I451" s="4">
        <v>10716.52</v>
      </c>
      <c r="J451" s="23">
        <v>0.25</v>
      </c>
      <c r="K451" s="4">
        <v>8037.39</v>
      </c>
      <c r="L451" s="4">
        <v>4988.84</v>
      </c>
      <c r="M451" s="4">
        <v>3048.55</v>
      </c>
      <c r="N451" t="s">
        <v>48</v>
      </c>
      <c r="O451" s="7">
        <v>23</v>
      </c>
      <c r="P451" s="2">
        <v>45753.958333333336</v>
      </c>
      <c r="Q451" t="s">
        <v>26</v>
      </c>
      <c r="R451">
        <v>4</v>
      </c>
      <c r="S451" t="s">
        <v>27</v>
      </c>
      <c r="T451">
        <f>IF(orders[[#This Row],[Status]]="Completed",1,0)</f>
        <v>0</v>
      </c>
      <c r="U451">
        <f>IF(orders[[#This Row],[Status]]="Pending",1,0)</f>
        <v>0</v>
      </c>
      <c r="V451">
        <f>IF(orders[[#This Row],[Status]]="Delayed",1,0)</f>
        <v>0</v>
      </c>
      <c r="W451">
        <f>IF(orders[[#This Row],[Status]]="Cancelled",1,0)</f>
        <v>1</v>
      </c>
    </row>
    <row r="452" spans="1:23" x14ac:dyDescent="0.35">
      <c r="A452" t="s">
        <v>769</v>
      </c>
      <c r="B452" s="1">
        <v>45783</v>
      </c>
      <c r="C452" t="s">
        <v>770</v>
      </c>
      <c r="D452" t="s">
        <v>63</v>
      </c>
      <c r="E452" t="s">
        <v>92</v>
      </c>
      <c r="F452" t="s">
        <v>32</v>
      </c>
      <c r="G452" t="s">
        <v>89</v>
      </c>
      <c r="H452" s="7">
        <v>4</v>
      </c>
      <c r="I452" s="4">
        <v>5076.4399999999996</v>
      </c>
      <c r="J452" s="23">
        <v>0.05</v>
      </c>
      <c r="K452" s="4">
        <v>4822.62</v>
      </c>
      <c r="L452" s="4">
        <v>3194.94</v>
      </c>
      <c r="M452" s="4">
        <v>1627.68</v>
      </c>
      <c r="N452" t="s">
        <v>25</v>
      </c>
      <c r="O452" s="7">
        <v>42</v>
      </c>
      <c r="P452" s="2">
        <v>45784.75</v>
      </c>
      <c r="Q452" t="s">
        <v>74</v>
      </c>
      <c r="R452">
        <v>5</v>
      </c>
      <c r="S452" t="s">
        <v>27</v>
      </c>
      <c r="T452">
        <f>IF(orders[[#This Row],[Status]]="Completed",1,0)</f>
        <v>1</v>
      </c>
      <c r="U452">
        <f>IF(orders[[#This Row],[Status]]="Pending",1,0)</f>
        <v>0</v>
      </c>
      <c r="V452">
        <f>IF(orders[[#This Row],[Status]]="Delayed",1,0)</f>
        <v>0</v>
      </c>
      <c r="W452">
        <f>IF(orders[[#This Row],[Status]]="Cancelled",1,0)</f>
        <v>0</v>
      </c>
    </row>
    <row r="453" spans="1:23" x14ac:dyDescent="0.35">
      <c r="A453" t="s">
        <v>771</v>
      </c>
      <c r="B453" s="1">
        <v>45775</v>
      </c>
      <c r="C453" t="s">
        <v>446</v>
      </c>
      <c r="D453" t="s">
        <v>21</v>
      </c>
      <c r="E453" t="s">
        <v>22</v>
      </c>
      <c r="F453" t="s">
        <v>32</v>
      </c>
      <c r="G453" t="s">
        <v>79</v>
      </c>
      <c r="H453" s="7">
        <v>5</v>
      </c>
      <c r="I453" s="4">
        <v>5583</v>
      </c>
      <c r="J453" s="23">
        <v>0.25</v>
      </c>
      <c r="K453" s="4">
        <v>4187.25</v>
      </c>
      <c r="L453" s="4">
        <v>3387.63</v>
      </c>
      <c r="M453" s="4">
        <v>799.62</v>
      </c>
      <c r="N453" t="s">
        <v>25</v>
      </c>
      <c r="O453" s="7">
        <v>29</v>
      </c>
      <c r="P453" s="2">
        <v>45776.208333333336</v>
      </c>
      <c r="Q453" t="s">
        <v>26</v>
      </c>
      <c r="R453">
        <v>4</v>
      </c>
      <c r="S453" t="s">
        <v>27</v>
      </c>
      <c r="T453">
        <f>IF(orders[[#This Row],[Status]]="Completed",1,0)</f>
        <v>1</v>
      </c>
      <c r="U453">
        <f>IF(orders[[#This Row],[Status]]="Pending",1,0)</f>
        <v>0</v>
      </c>
      <c r="V453">
        <f>IF(orders[[#This Row],[Status]]="Delayed",1,0)</f>
        <v>0</v>
      </c>
      <c r="W453">
        <f>IF(orders[[#This Row],[Status]]="Cancelled",1,0)</f>
        <v>0</v>
      </c>
    </row>
    <row r="454" spans="1:23" x14ac:dyDescent="0.35">
      <c r="A454" t="s">
        <v>772</v>
      </c>
      <c r="B454" s="1">
        <v>45705</v>
      </c>
      <c r="C454" t="s">
        <v>50</v>
      </c>
      <c r="D454" t="s">
        <v>63</v>
      </c>
      <c r="E454" t="s">
        <v>59</v>
      </c>
      <c r="F454" t="s">
        <v>32</v>
      </c>
      <c r="G454" t="s">
        <v>64</v>
      </c>
      <c r="H454" s="7">
        <v>5</v>
      </c>
      <c r="I454" s="4">
        <v>35994.75</v>
      </c>
      <c r="J454" s="23">
        <v>0.15</v>
      </c>
      <c r="K454" s="4">
        <v>30595.54</v>
      </c>
      <c r="L454" s="4">
        <v>18766.419999999998</v>
      </c>
      <c r="M454" s="4">
        <v>11829.12</v>
      </c>
      <c r="N454" t="s">
        <v>25</v>
      </c>
      <c r="O454" s="7">
        <v>11</v>
      </c>
      <c r="P454" s="2">
        <v>45705.458333333336</v>
      </c>
      <c r="Q454" t="s">
        <v>139</v>
      </c>
      <c r="R454">
        <v>2</v>
      </c>
      <c r="S454" t="s">
        <v>55</v>
      </c>
      <c r="T454">
        <f>IF(orders[[#This Row],[Status]]="Completed",1,0)</f>
        <v>1</v>
      </c>
      <c r="U454">
        <f>IF(orders[[#This Row],[Status]]="Pending",1,0)</f>
        <v>0</v>
      </c>
      <c r="V454">
        <f>IF(orders[[#This Row],[Status]]="Delayed",1,0)</f>
        <v>0</v>
      </c>
      <c r="W454">
        <f>IF(orders[[#This Row],[Status]]="Cancelled",1,0)</f>
        <v>0</v>
      </c>
    </row>
    <row r="455" spans="1:23" x14ac:dyDescent="0.35">
      <c r="A455" t="s">
        <v>773</v>
      </c>
      <c r="B455" s="1">
        <v>45746</v>
      </c>
      <c r="C455" t="s">
        <v>774</v>
      </c>
      <c r="D455" t="s">
        <v>38</v>
      </c>
      <c r="E455" t="s">
        <v>113</v>
      </c>
      <c r="F455" t="s">
        <v>83</v>
      </c>
      <c r="G455" t="s">
        <v>107</v>
      </c>
      <c r="H455" s="7">
        <v>2</v>
      </c>
      <c r="I455" s="4">
        <v>2626.34</v>
      </c>
      <c r="J455" s="23">
        <v>0.1</v>
      </c>
      <c r="K455" s="4">
        <v>2363.71</v>
      </c>
      <c r="L455" s="4">
        <v>1797.96</v>
      </c>
      <c r="M455" s="4">
        <v>565.75</v>
      </c>
      <c r="N455" t="s">
        <v>25</v>
      </c>
      <c r="O455" s="7">
        <v>27</v>
      </c>
      <c r="P455" s="2">
        <v>45747.125</v>
      </c>
      <c r="Q455" t="s">
        <v>54</v>
      </c>
      <c r="R455">
        <v>3</v>
      </c>
      <c r="S455" t="s">
        <v>55</v>
      </c>
      <c r="T455">
        <f>IF(orders[[#This Row],[Status]]="Completed",1,0)</f>
        <v>1</v>
      </c>
      <c r="U455">
        <f>IF(orders[[#This Row],[Status]]="Pending",1,0)</f>
        <v>0</v>
      </c>
      <c r="V455">
        <f>IF(orders[[#This Row],[Status]]="Delayed",1,0)</f>
        <v>0</v>
      </c>
      <c r="W455">
        <f>IF(orders[[#This Row],[Status]]="Cancelled",1,0)</f>
        <v>0</v>
      </c>
    </row>
    <row r="456" spans="1:23" x14ac:dyDescent="0.35">
      <c r="A456" t="s">
        <v>775</v>
      </c>
      <c r="B456" s="1">
        <v>45894</v>
      </c>
      <c r="C456" t="s">
        <v>181</v>
      </c>
      <c r="D456" t="s">
        <v>68</v>
      </c>
      <c r="E456" t="s">
        <v>113</v>
      </c>
      <c r="F456" t="s">
        <v>39</v>
      </c>
      <c r="G456" t="s">
        <v>93</v>
      </c>
      <c r="H456" s="7">
        <v>1</v>
      </c>
      <c r="I456" s="4">
        <v>4493.9399999999996</v>
      </c>
      <c r="J456" s="23">
        <v>0</v>
      </c>
      <c r="K456" s="4">
        <v>4493.9399999999996</v>
      </c>
      <c r="L456" s="4">
        <v>3442.39</v>
      </c>
      <c r="M456" s="4">
        <v>1051.55</v>
      </c>
      <c r="N456" t="s">
        <v>98</v>
      </c>
      <c r="O456" s="7">
        <v>11</v>
      </c>
      <c r="P456" s="2">
        <v>45894.458333333336</v>
      </c>
      <c r="Q456" t="s">
        <v>80</v>
      </c>
      <c r="R456">
        <v>8</v>
      </c>
      <c r="S456" t="s">
        <v>42</v>
      </c>
      <c r="T456">
        <f>IF(orders[[#This Row],[Status]]="Completed",1,0)</f>
        <v>0</v>
      </c>
      <c r="U456">
        <f>IF(orders[[#This Row],[Status]]="Pending",1,0)</f>
        <v>1</v>
      </c>
      <c r="V456">
        <f>IF(orders[[#This Row],[Status]]="Delayed",1,0)</f>
        <v>0</v>
      </c>
      <c r="W456">
        <f>IF(orders[[#This Row],[Status]]="Cancelled",1,0)</f>
        <v>0</v>
      </c>
    </row>
    <row r="457" spans="1:23" x14ac:dyDescent="0.35">
      <c r="A457" t="s">
        <v>776</v>
      </c>
      <c r="B457" s="1">
        <v>45929</v>
      </c>
      <c r="C457" t="s">
        <v>161</v>
      </c>
      <c r="D457" t="s">
        <v>21</v>
      </c>
      <c r="E457" t="s">
        <v>78</v>
      </c>
      <c r="F457" t="s">
        <v>83</v>
      </c>
      <c r="G457" t="s">
        <v>155</v>
      </c>
      <c r="H457" s="7">
        <v>1</v>
      </c>
      <c r="I457" s="4">
        <v>459.9</v>
      </c>
      <c r="J457" s="23">
        <v>0.2</v>
      </c>
      <c r="K457" s="4">
        <v>367.92</v>
      </c>
      <c r="L457" s="4">
        <v>318.2</v>
      </c>
      <c r="M457" s="4">
        <v>49.72</v>
      </c>
      <c r="N457" t="s">
        <v>25</v>
      </c>
      <c r="O457" s="7">
        <v>22</v>
      </c>
      <c r="P457" s="2">
        <v>45929.916666666664</v>
      </c>
      <c r="Q457" t="s">
        <v>41</v>
      </c>
      <c r="R457">
        <v>9</v>
      </c>
      <c r="S457" t="s">
        <v>42</v>
      </c>
      <c r="T457">
        <f>IF(orders[[#This Row],[Status]]="Completed",1,0)</f>
        <v>1</v>
      </c>
      <c r="U457">
        <f>IF(orders[[#This Row],[Status]]="Pending",1,0)</f>
        <v>0</v>
      </c>
      <c r="V457">
        <f>IF(orders[[#This Row],[Status]]="Delayed",1,0)</f>
        <v>0</v>
      </c>
      <c r="W457">
        <f>IF(orders[[#This Row],[Status]]="Cancelled",1,0)</f>
        <v>0</v>
      </c>
    </row>
    <row r="458" spans="1:23" x14ac:dyDescent="0.35">
      <c r="A458" t="s">
        <v>777</v>
      </c>
      <c r="B458" s="1">
        <v>45846</v>
      </c>
      <c r="C458" t="s">
        <v>722</v>
      </c>
      <c r="D458" t="s">
        <v>38</v>
      </c>
      <c r="E458" t="s">
        <v>113</v>
      </c>
      <c r="F458" t="s">
        <v>83</v>
      </c>
      <c r="G458" t="s">
        <v>152</v>
      </c>
      <c r="H458" s="7">
        <v>6</v>
      </c>
      <c r="I458" s="4">
        <v>4941.54</v>
      </c>
      <c r="J458" s="23">
        <v>0.1</v>
      </c>
      <c r="K458" s="4">
        <v>4447.3900000000003</v>
      </c>
      <c r="L458" s="4">
        <v>3583.72</v>
      </c>
      <c r="M458" s="4">
        <v>863.67</v>
      </c>
      <c r="N458" t="s">
        <v>98</v>
      </c>
      <c r="O458" s="7">
        <v>8</v>
      </c>
      <c r="P458" s="2">
        <v>45846.333333333336</v>
      </c>
      <c r="Q458" t="s">
        <v>60</v>
      </c>
      <c r="R458">
        <v>7</v>
      </c>
      <c r="S458" t="s">
        <v>42</v>
      </c>
      <c r="T458">
        <f>IF(orders[[#This Row],[Status]]="Completed",1,0)</f>
        <v>0</v>
      </c>
      <c r="U458">
        <f>IF(orders[[#This Row],[Status]]="Pending",1,0)</f>
        <v>1</v>
      </c>
      <c r="V458">
        <f>IF(orders[[#This Row],[Status]]="Delayed",1,0)</f>
        <v>0</v>
      </c>
      <c r="W458">
        <f>IF(orders[[#This Row],[Status]]="Cancelled",1,0)</f>
        <v>0</v>
      </c>
    </row>
    <row r="459" spans="1:23" x14ac:dyDescent="0.35">
      <c r="A459" t="s">
        <v>778</v>
      </c>
      <c r="B459" s="1">
        <v>45849</v>
      </c>
      <c r="C459" t="s">
        <v>358</v>
      </c>
      <c r="D459" t="s">
        <v>149</v>
      </c>
      <c r="E459" t="s">
        <v>22</v>
      </c>
      <c r="F459" t="s">
        <v>32</v>
      </c>
      <c r="G459" t="s">
        <v>89</v>
      </c>
      <c r="H459" s="7">
        <v>1</v>
      </c>
      <c r="I459" s="4">
        <v>5764.11</v>
      </c>
      <c r="J459" s="23">
        <v>0.2</v>
      </c>
      <c r="K459" s="4">
        <v>4611.29</v>
      </c>
      <c r="L459" s="4">
        <v>3759.12</v>
      </c>
      <c r="M459" s="4">
        <v>852.17</v>
      </c>
      <c r="N459" t="s">
        <v>25</v>
      </c>
      <c r="O459" s="7">
        <v>25</v>
      </c>
      <c r="P459" s="2">
        <v>45850.041666666664</v>
      </c>
      <c r="Q459" t="s">
        <v>60</v>
      </c>
      <c r="R459">
        <v>7</v>
      </c>
      <c r="S459" t="s">
        <v>42</v>
      </c>
      <c r="T459">
        <f>IF(orders[[#This Row],[Status]]="Completed",1,0)</f>
        <v>1</v>
      </c>
      <c r="U459">
        <f>IF(orders[[#This Row],[Status]]="Pending",1,0)</f>
        <v>0</v>
      </c>
      <c r="V459">
        <f>IF(orders[[#This Row],[Status]]="Delayed",1,0)</f>
        <v>0</v>
      </c>
      <c r="W459">
        <f>IF(orders[[#This Row],[Status]]="Cancelled",1,0)</f>
        <v>0</v>
      </c>
    </row>
    <row r="460" spans="1:23" x14ac:dyDescent="0.35">
      <c r="A460" t="s">
        <v>779</v>
      </c>
      <c r="B460" s="1">
        <v>45726</v>
      </c>
      <c r="C460" t="s">
        <v>780</v>
      </c>
      <c r="D460" t="s">
        <v>45</v>
      </c>
      <c r="E460" t="s">
        <v>31</v>
      </c>
      <c r="F460" t="s">
        <v>83</v>
      </c>
      <c r="G460" t="s">
        <v>182</v>
      </c>
      <c r="H460" s="7">
        <v>5</v>
      </c>
      <c r="I460" s="4">
        <v>29523.3</v>
      </c>
      <c r="J460" s="23">
        <v>0.15</v>
      </c>
      <c r="K460" s="4">
        <v>25094.799999999999</v>
      </c>
      <c r="L460" s="4">
        <v>18204.48</v>
      </c>
      <c r="M460" s="4">
        <v>6890.32</v>
      </c>
      <c r="N460" t="s">
        <v>25</v>
      </c>
      <c r="O460" s="7">
        <v>12</v>
      </c>
      <c r="P460" s="2">
        <v>45726.5</v>
      </c>
      <c r="Q460" t="s">
        <v>54</v>
      </c>
      <c r="R460">
        <v>3</v>
      </c>
      <c r="S460" t="s">
        <v>55</v>
      </c>
      <c r="T460">
        <f>IF(orders[[#This Row],[Status]]="Completed",1,0)</f>
        <v>1</v>
      </c>
      <c r="U460">
        <f>IF(orders[[#This Row],[Status]]="Pending",1,0)</f>
        <v>0</v>
      </c>
      <c r="V460">
        <f>IF(orders[[#This Row],[Status]]="Delayed",1,0)</f>
        <v>0</v>
      </c>
      <c r="W460">
        <f>IF(orders[[#This Row],[Status]]="Cancelled",1,0)</f>
        <v>0</v>
      </c>
    </row>
    <row r="461" spans="1:23" x14ac:dyDescent="0.35">
      <c r="A461" t="s">
        <v>781</v>
      </c>
      <c r="B461" s="1">
        <v>45935</v>
      </c>
      <c r="C461" t="s">
        <v>126</v>
      </c>
      <c r="D461" t="s">
        <v>38</v>
      </c>
      <c r="E461" t="s">
        <v>59</v>
      </c>
      <c r="F461" t="s">
        <v>32</v>
      </c>
      <c r="G461" t="s">
        <v>89</v>
      </c>
      <c r="H461" s="7">
        <v>7</v>
      </c>
      <c r="I461" s="4">
        <v>21008.89</v>
      </c>
      <c r="J461" s="23">
        <v>0.15</v>
      </c>
      <c r="K461" s="4">
        <v>17857.560000000001</v>
      </c>
      <c r="L461" s="4">
        <v>10922.36</v>
      </c>
      <c r="M461" s="4">
        <v>6935.2</v>
      </c>
      <c r="N461" t="s">
        <v>25</v>
      </c>
      <c r="O461" s="7">
        <v>47</v>
      </c>
      <c r="P461" s="2">
        <v>45936.958333333336</v>
      </c>
      <c r="Q461" t="s">
        <v>116</v>
      </c>
      <c r="R461">
        <v>10</v>
      </c>
      <c r="S461" t="s">
        <v>35</v>
      </c>
      <c r="T461">
        <f>IF(orders[[#This Row],[Status]]="Completed",1,0)</f>
        <v>1</v>
      </c>
      <c r="U461">
        <f>IF(orders[[#This Row],[Status]]="Pending",1,0)</f>
        <v>0</v>
      </c>
      <c r="V461">
        <f>IF(orders[[#This Row],[Status]]="Delayed",1,0)</f>
        <v>0</v>
      </c>
      <c r="W461">
        <f>IF(orders[[#This Row],[Status]]="Cancelled",1,0)</f>
        <v>0</v>
      </c>
    </row>
    <row r="462" spans="1:23" x14ac:dyDescent="0.35">
      <c r="A462" t="s">
        <v>782</v>
      </c>
      <c r="B462" s="1">
        <v>46006</v>
      </c>
      <c r="C462" t="s">
        <v>434</v>
      </c>
      <c r="D462" t="s">
        <v>45</v>
      </c>
      <c r="E462" t="s">
        <v>113</v>
      </c>
      <c r="F462" t="s">
        <v>39</v>
      </c>
      <c r="G462" t="s">
        <v>188</v>
      </c>
      <c r="H462" s="7">
        <v>4</v>
      </c>
      <c r="I462" s="4">
        <v>7801.36</v>
      </c>
      <c r="J462" s="23">
        <v>0.1</v>
      </c>
      <c r="K462" s="4">
        <v>7021.22</v>
      </c>
      <c r="L462" s="4">
        <v>4847.7</v>
      </c>
      <c r="M462" s="4">
        <v>2173.52</v>
      </c>
      <c r="N462" t="s">
        <v>25</v>
      </c>
      <c r="O462" s="7">
        <v>7</v>
      </c>
      <c r="P462" s="2">
        <v>46006.291666666664</v>
      </c>
      <c r="Q462" t="s">
        <v>34</v>
      </c>
      <c r="R462">
        <v>12</v>
      </c>
      <c r="S462" t="s">
        <v>35</v>
      </c>
      <c r="T462">
        <f>IF(orders[[#This Row],[Status]]="Completed",1,0)</f>
        <v>1</v>
      </c>
      <c r="U462">
        <f>IF(orders[[#This Row],[Status]]="Pending",1,0)</f>
        <v>0</v>
      </c>
      <c r="V462">
        <f>IF(orders[[#This Row],[Status]]="Delayed",1,0)</f>
        <v>0</v>
      </c>
      <c r="W462">
        <f>IF(orders[[#This Row],[Status]]="Cancelled",1,0)</f>
        <v>0</v>
      </c>
    </row>
    <row r="463" spans="1:23" x14ac:dyDescent="0.35">
      <c r="A463" t="s">
        <v>783</v>
      </c>
      <c r="B463" s="1">
        <v>45904</v>
      </c>
      <c r="C463" t="s">
        <v>165</v>
      </c>
      <c r="D463" t="s">
        <v>21</v>
      </c>
      <c r="E463" t="s">
        <v>22</v>
      </c>
      <c r="F463" t="s">
        <v>23</v>
      </c>
      <c r="G463" t="s">
        <v>24</v>
      </c>
      <c r="H463" s="7">
        <v>2</v>
      </c>
      <c r="I463" s="4">
        <v>13888.96</v>
      </c>
      <c r="J463" s="23">
        <v>0.05</v>
      </c>
      <c r="K463" s="4">
        <v>13194.51</v>
      </c>
      <c r="L463" s="4">
        <v>9649.56</v>
      </c>
      <c r="M463" s="4">
        <v>3544.95</v>
      </c>
      <c r="N463" t="s">
        <v>25</v>
      </c>
      <c r="O463" s="7">
        <v>40</v>
      </c>
      <c r="P463" s="2">
        <v>45905.666666666664</v>
      </c>
      <c r="Q463" t="s">
        <v>41</v>
      </c>
      <c r="R463">
        <v>9</v>
      </c>
      <c r="S463" t="s">
        <v>42</v>
      </c>
      <c r="T463">
        <f>IF(orders[[#This Row],[Status]]="Completed",1,0)</f>
        <v>1</v>
      </c>
      <c r="U463">
        <f>IF(orders[[#This Row],[Status]]="Pending",1,0)</f>
        <v>0</v>
      </c>
      <c r="V463">
        <f>IF(orders[[#This Row],[Status]]="Delayed",1,0)</f>
        <v>0</v>
      </c>
      <c r="W463">
        <f>IF(orders[[#This Row],[Status]]="Cancelled",1,0)</f>
        <v>0</v>
      </c>
    </row>
    <row r="464" spans="1:23" x14ac:dyDescent="0.35">
      <c r="A464" t="s">
        <v>784</v>
      </c>
      <c r="B464" s="1">
        <v>45733</v>
      </c>
      <c r="C464" t="s">
        <v>184</v>
      </c>
      <c r="D464" t="s">
        <v>77</v>
      </c>
      <c r="E464" t="s">
        <v>52</v>
      </c>
      <c r="F464" t="s">
        <v>32</v>
      </c>
      <c r="G464" t="s">
        <v>79</v>
      </c>
      <c r="H464" s="7">
        <v>3</v>
      </c>
      <c r="I464" s="4">
        <v>5888.43</v>
      </c>
      <c r="J464" s="23">
        <v>0.05</v>
      </c>
      <c r="K464" s="4">
        <v>5594.01</v>
      </c>
      <c r="L464" s="4">
        <v>4329.08</v>
      </c>
      <c r="M464" s="4">
        <v>1264.93</v>
      </c>
      <c r="N464" t="s">
        <v>25</v>
      </c>
      <c r="O464" s="7">
        <v>11</v>
      </c>
      <c r="P464" s="2">
        <v>45733.458333333336</v>
      </c>
      <c r="Q464" t="s">
        <v>54</v>
      </c>
      <c r="R464">
        <v>3</v>
      </c>
      <c r="S464" t="s">
        <v>55</v>
      </c>
      <c r="T464">
        <f>IF(orders[[#This Row],[Status]]="Completed",1,0)</f>
        <v>1</v>
      </c>
      <c r="U464">
        <f>IF(orders[[#This Row],[Status]]="Pending",1,0)</f>
        <v>0</v>
      </c>
      <c r="V464">
        <f>IF(orders[[#This Row],[Status]]="Delayed",1,0)</f>
        <v>0</v>
      </c>
      <c r="W464">
        <f>IF(orders[[#This Row],[Status]]="Cancelled",1,0)</f>
        <v>0</v>
      </c>
    </row>
    <row r="465" spans="1:23" x14ac:dyDescent="0.35">
      <c r="A465" t="s">
        <v>785</v>
      </c>
      <c r="B465" s="1">
        <v>45811</v>
      </c>
      <c r="C465" t="s">
        <v>493</v>
      </c>
      <c r="D465" t="s">
        <v>38</v>
      </c>
      <c r="E465" t="s">
        <v>46</v>
      </c>
      <c r="F465" t="s">
        <v>39</v>
      </c>
      <c r="G465" t="s">
        <v>47</v>
      </c>
      <c r="H465" s="7">
        <v>4</v>
      </c>
      <c r="I465" s="4">
        <v>18703.72</v>
      </c>
      <c r="J465" s="23">
        <v>0.05</v>
      </c>
      <c r="K465" s="4">
        <v>17768.53</v>
      </c>
      <c r="L465" s="4">
        <v>13336.06</v>
      </c>
      <c r="M465" s="4">
        <v>4432.47</v>
      </c>
      <c r="N465" t="s">
        <v>25</v>
      </c>
      <c r="O465" s="7">
        <v>4</v>
      </c>
      <c r="P465" s="2">
        <v>45811.166666666664</v>
      </c>
      <c r="Q465" t="s">
        <v>99</v>
      </c>
      <c r="R465">
        <v>6</v>
      </c>
      <c r="S465" t="s">
        <v>27</v>
      </c>
      <c r="T465">
        <f>IF(orders[[#This Row],[Status]]="Completed",1,0)</f>
        <v>1</v>
      </c>
      <c r="U465">
        <f>IF(orders[[#This Row],[Status]]="Pending",1,0)</f>
        <v>0</v>
      </c>
      <c r="V465">
        <f>IF(orders[[#This Row],[Status]]="Delayed",1,0)</f>
        <v>0</v>
      </c>
      <c r="W465">
        <f>IF(orders[[#This Row],[Status]]="Cancelled",1,0)</f>
        <v>0</v>
      </c>
    </row>
    <row r="466" spans="1:23" x14ac:dyDescent="0.35">
      <c r="A466" t="s">
        <v>786</v>
      </c>
      <c r="B466" s="1">
        <v>45801</v>
      </c>
      <c r="C466" t="s">
        <v>787</v>
      </c>
      <c r="D466" t="s">
        <v>68</v>
      </c>
      <c r="E466" t="s">
        <v>92</v>
      </c>
      <c r="F466" t="s">
        <v>23</v>
      </c>
      <c r="G466" t="s">
        <v>69</v>
      </c>
      <c r="H466" s="7">
        <v>7</v>
      </c>
      <c r="I466" s="4">
        <v>57641.78</v>
      </c>
      <c r="J466" s="23">
        <v>0</v>
      </c>
      <c r="K466" s="4">
        <v>57641.78</v>
      </c>
      <c r="L466" s="4">
        <v>39197.14</v>
      </c>
      <c r="M466" s="4">
        <v>18444.64</v>
      </c>
      <c r="N466" t="s">
        <v>25</v>
      </c>
      <c r="O466" s="7">
        <v>31</v>
      </c>
      <c r="P466" s="2">
        <v>45802.291666666664</v>
      </c>
      <c r="Q466" t="s">
        <v>74</v>
      </c>
      <c r="R466">
        <v>5</v>
      </c>
      <c r="S466" t="s">
        <v>27</v>
      </c>
      <c r="T466">
        <f>IF(orders[[#This Row],[Status]]="Completed",1,0)</f>
        <v>1</v>
      </c>
      <c r="U466">
        <f>IF(orders[[#This Row],[Status]]="Pending",1,0)</f>
        <v>0</v>
      </c>
      <c r="V466">
        <f>IF(orders[[#This Row],[Status]]="Delayed",1,0)</f>
        <v>0</v>
      </c>
      <c r="W466">
        <f>IF(orders[[#This Row],[Status]]="Cancelled",1,0)</f>
        <v>0</v>
      </c>
    </row>
    <row r="467" spans="1:23" x14ac:dyDescent="0.35">
      <c r="A467" t="s">
        <v>788</v>
      </c>
      <c r="B467" s="1">
        <v>45743</v>
      </c>
      <c r="C467" t="s">
        <v>789</v>
      </c>
      <c r="D467" t="s">
        <v>21</v>
      </c>
      <c r="E467" t="s">
        <v>92</v>
      </c>
      <c r="F467" t="s">
        <v>72</v>
      </c>
      <c r="G467" t="s">
        <v>119</v>
      </c>
      <c r="H467" s="7">
        <v>3</v>
      </c>
      <c r="I467" s="4">
        <v>4153.71</v>
      </c>
      <c r="J467" s="23">
        <v>0.1</v>
      </c>
      <c r="K467" s="4">
        <v>3738.34</v>
      </c>
      <c r="L467" s="4">
        <v>2383.39</v>
      </c>
      <c r="M467" s="4">
        <v>1354.95</v>
      </c>
      <c r="N467" t="s">
        <v>98</v>
      </c>
      <c r="O467" s="7">
        <v>21</v>
      </c>
      <c r="P467" s="2">
        <v>45743.875</v>
      </c>
      <c r="Q467" t="s">
        <v>54</v>
      </c>
      <c r="R467">
        <v>3</v>
      </c>
      <c r="S467" t="s">
        <v>55</v>
      </c>
      <c r="T467">
        <f>IF(orders[[#This Row],[Status]]="Completed",1,0)</f>
        <v>0</v>
      </c>
      <c r="U467">
        <f>IF(orders[[#This Row],[Status]]="Pending",1,0)</f>
        <v>1</v>
      </c>
      <c r="V467">
        <f>IF(orders[[#This Row],[Status]]="Delayed",1,0)</f>
        <v>0</v>
      </c>
      <c r="W467">
        <f>IF(orders[[#This Row],[Status]]="Cancelled",1,0)</f>
        <v>0</v>
      </c>
    </row>
    <row r="468" spans="1:23" x14ac:dyDescent="0.35">
      <c r="A468" t="s">
        <v>790</v>
      </c>
      <c r="B468" s="1">
        <v>45842</v>
      </c>
      <c r="C468" t="s">
        <v>76</v>
      </c>
      <c r="D468" t="s">
        <v>58</v>
      </c>
      <c r="E468" t="s">
        <v>113</v>
      </c>
      <c r="F468" t="s">
        <v>32</v>
      </c>
      <c r="G468" t="s">
        <v>53</v>
      </c>
      <c r="H468" s="7">
        <v>4</v>
      </c>
      <c r="I468" s="4">
        <v>32025.279999999999</v>
      </c>
      <c r="J468" s="23">
        <v>0.1</v>
      </c>
      <c r="K468" s="4">
        <v>28822.75</v>
      </c>
      <c r="L468" s="4">
        <v>17452.64</v>
      </c>
      <c r="M468" s="4">
        <v>11370.11</v>
      </c>
      <c r="N468" t="s">
        <v>25</v>
      </c>
      <c r="O468" s="7">
        <v>39</v>
      </c>
      <c r="P468" s="2">
        <v>45843.625</v>
      </c>
      <c r="Q468" t="s">
        <v>60</v>
      </c>
      <c r="R468">
        <v>7</v>
      </c>
      <c r="S468" t="s">
        <v>42</v>
      </c>
      <c r="T468">
        <f>IF(orders[[#This Row],[Status]]="Completed",1,0)</f>
        <v>1</v>
      </c>
      <c r="U468">
        <f>IF(orders[[#This Row],[Status]]="Pending",1,0)</f>
        <v>0</v>
      </c>
      <c r="V468">
        <f>IF(orders[[#This Row],[Status]]="Delayed",1,0)</f>
        <v>0</v>
      </c>
      <c r="W468">
        <f>IF(orders[[#This Row],[Status]]="Cancelled",1,0)</f>
        <v>0</v>
      </c>
    </row>
    <row r="469" spans="1:23" x14ac:dyDescent="0.35">
      <c r="A469" t="s">
        <v>791</v>
      </c>
      <c r="B469" s="1">
        <v>45942</v>
      </c>
      <c r="C469" t="s">
        <v>307</v>
      </c>
      <c r="D469" t="s">
        <v>51</v>
      </c>
      <c r="E469" t="s">
        <v>31</v>
      </c>
      <c r="F469" t="s">
        <v>32</v>
      </c>
      <c r="G469" t="s">
        <v>64</v>
      </c>
      <c r="H469" s="7">
        <v>1</v>
      </c>
      <c r="I469" s="4">
        <v>1677.16</v>
      </c>
      <c r="J469" s="23">
        <v>0.2</v>
      </c>
      <c r="K469" s="4">
        <v>1341.73</v>
      </c>
      <c r="L469" s="4">
        <v>1045.17</v>
      </c>
      <c r="M469" s="4">
        <v>296.56</v>
      </c>
      <c r="N469" t="s">
        <v>48</v>
      </c>
      <c r="O469" s="7">
        <v>15</v>
      </c>
      <c r="P469" s="2">
        <v>45942.625</v>
      </c>
      <c r="Q469" t="s">
        <v>116</v>
      </c>
      <c r="R469">
        <v>10</v>
      </c>
      <c r="S469" t="s">
        <v>35</v>
      </c>
      <c r="T469">
        <f>IF(orders[[#This Row],[Status]]="Completed",1,0)</f>
        <v>0</v>
      </c>
      <c r="U469">
        <f>IF(orders[[#This Row],[Status]]="Pending",1,0)</f>
        <v>0</v>
      </c>
      <c r="V469">
        <f>IF(orders[[#This Row],[Status]]="Delayed",1,0)</f>
        <v>0</v>
      </c>
      <c r="W469">
        <f>IF(orders[[#This Row],[Status]]="Cancelled",1,0)</f>
        <v>1</v>
      </c>
    </row>
    <row r="470" spans="1:23" x14ac:dyDescent="0.35">
      <c r="A470" t="s">
        <v>792</v>
      </c>
      <c r="B470" s="1">
        <v>45877</v>
      </c>
      <c r="C470" t="s">
        <v>321</v>
      </c>
      <c r="D470" t="s">
        <v>38</v>
      </c>
      <c r="E470" t="s">
        <v>92</v>
      </c>
      <c r="F470" t="s">
        <v>72</v>
      </c>
      <c r="G470" t="s">
        <v>119</v>
      </c>
      <c r="H470" s="7">
        <v>5</v>
      </c>
      <c r="I470" s="4">
        <v>24440.75</v>
      </c>
      <c r="J470" s="23">
        <v>0</v>
      </c>
      <c r="K470" s="4">
        <v>24440.75</v>
      </c>
      <c r="L470" s="4">
        <v>18647.84</v>
      </c>
      <c r="M470" s="4">
        <v>5792.91</v>
      </c>
      <c r="N470" t="s">
        <v>25</v>
      </c>
      <c r="O470" s="7">
        <v>8</v>
      </c>
      <c r="P470" s="2">
        <v>45877.333333333336</v>
      </c>
      <c r="Q470" t="s">
        <v>80</v>
      </c>
      <c r="R470">
        <v>8</v>
      </c>
      <c r="S470" t="s">
        <v>42</v>
      </c>
      <c r="T470">
        <f>IF(orders[[#This Row],[Status]]="Completed",1,0)</f>
        <v>1</v>
      </c>
      <c r="U470">
        <f>IF(orders[[#This Row],[Status]]="Pending",1,0)</f>
        <v>0</v>
      </c>
      <c r="V470">
        <f>IF(orders[[#This Row],[Status]]="Delayed",1,0)</f>
        <v>0</v>
      </c>
      <c r="W470">
        <f>IF(orders[[#This Row],[Status]]="Cancelled",1,0)</f>
        <v>0</v>
      </c>
    </row>
    <row r="471" spans="1:23" x14ac:dyDescent="0.35">
      <c r="A471" t="s">
        <v>793</v>
      </c>
      <c r="B471" s="1">
        <v>45726</v>
      </c>
      <c r="C471" t="s">
        <v>375</v>
      </c>
      <c r="D471" t="s">
        <v>68</v>
      </c>
      <c r="E471" t="s">
        <v>92</v>
      </c>
      <c r="F471" t="s">
        <v>72</v>
      </c>
      <c r="G471" t="s">
        <v>119</v>
      </c>
      <c r="H471" s="7">
        <v>7</v>
      </c>
      <c r="I471" s="4">
        <v>23086.07</v>
      </c>
      <c r="J471" s="23">
        <v>0.1</v>
      </c>
      <c r="K471" s="4">
        <v>20777.46</v>
      </c>
      <c r="L471" s="4">
        <v>16140.61</v>
      </c>
      <c r="M471" s="4">
        <v>4636.8500000000004</v>
      </c>
      <c r="N471" t="s">
        <v>25</v>
      </c>
      <c r="O471" s="7">
        <v>27</v>
      </c>
      <c r="P471" s="2">
        <v>45727.125</v>
      </c>
      <c r="Q471" t="s">
        <v>54</v>
      </c>
      <c r="R471">
        <v>3</v>
      </c>
      <c r="S471" t="s">
        <v>55</v>
      </c>
      <c r="T471">
        <f>IF(orders[[#This Row],[Status]]="Completed",1,0)</f>
        <v>1</v>
      </c>
      <c r="U471">
        <f>IF(orders[[#This Row],[Status]]="Pending",1,0)</f>
        <v>0</v>
      </c>
      <c r="V471">
        <f>IF(orders[[#This Row],[Status]]="Delayed",1,0)</f>
        <v>0</v>
      </c>
      <c r="W471">
        <f>IF(orders[[#This Row],[Status]]="Cancelled",1,0)</f>
        <v>0</v>
      </c>
    </row>
    <row r="472" spans="1:23" x14ac:dyDescent="0.35">
      <c r="A472" t="s">
        <v>794</v>
      </c>
      <c r="B472" s="1">
        <v>45704</v>
      </c>
      <c r="C472" t="s">
        <v>795</v>
      </c>
      <c r="D472" t="s">
        <v>149</v>
      </c>
      <c r="E472" t="s">
        <v>78</v>
      </c>
      <c r="F472" t="s">
        <v>32</v>
      </c>
      <c r="G472" t="s">
        <v>79</v>
      </c>
      <c r="H472" s="7">
        <v>3</v>
      </c>
      <c r="I472" s="4">
        <v>24621.45</v>
      </c>
      <c r="J472" s="23">
        <v>0</v>
      </c>
      <c r="K472" s="4">
        <v>24621.45</v>
      </c>
      <c r="L472" s="4">
        <v>16568.61</v>
      </c>
      <c r="M472" s="4">
        <v>8052.84</v>
      </c>
      <c r="N472" t="s">
        <v>25</v>
      </c>
      <c r="O472" s="7">
        <v>21</v>
      </c>
      <c r="P472" s="2">
        <v>45704.875</v>
      </c>
      <c r="Q472" t="s">
        <v>139</v>
      </c>
      <c r="R472">
        <v>2</v>
      </c>
      <c r="S472" t="s">
        <v>55</v>
      </c>
      <c r="T472">
        <f>IF(orders[[#This Row],[Status]]="Completed",1,0)</f>
        <v>1</v>
      </c>
      <c r="U472">
        <f>IF(orders[[#This Row],[Status]]="Pending",1,0)</f>
        <v>0</v>
      </c>
      <c r="V472">
        <f>IF(orders[[#This Row],[Status]]="Delayed",1,0)</f>
        <v>0</v>
      </c>
      <c r="W472">
        <f>IF(orders[[#This Row],[Status]]="Cancelled",1,0)</f>
        <v>0</v>
      </c>
    </row>
    <row r="473" spans="1:23" x14ac:dyDescent="0.35">
      <c r="A473" t="s">
        <v>796</v>
      </c>
      <c r="B473" s="1">
        <v>45751</v>
      </c>
      <c r="C473" t="s">
        <v>780</v>
      </c>
      <c r="D473" t="s">
        <v>58</v>
      </c>
      <c r="E473" t="s">
        <v>92</v>
      </c>
      <c r="F473" t="s">
        <v>72</v>
      </c>
      <c r="G473" t="s">
        <v>73</v>
      </c>
      <c r="H473" s="7">
        <v>7</v>
      </c>
      <c r="I473" s="4">
        <v>17038.560000000001</v>
      </c>
      <c r="J473" s="23">
        <v>0</v>
      </c>
      <c r="K473" s="4">
        <v>17038.560000000001</v>
      </c>
      <c r="L473" s="4">
        <v>10846.65</v>
      </c>
      <c r="M473" s="4">
        <v>6191.91</v>
      </c>
      <c r="N473" t="s">
        <v>85</v>
      </c>
      <c r="O473" s="7">
        <v>49</v>
      </c>
      <c r="P473" s="2">
        <v>45753.041666666664</v>
      </c>
      <c r="Q473" t="s">
        <v>26</v>
      </c>
      <c r="R473">
        <v>4</v>
      </c>
      <c r="S473" t="s">
        <v>27</v>
      </c>
      <c r="T473">
        <f>IF(orders[[#This Row],[Status]]="Completed",1,0)</f>
        <v>0</v>
      </c>
      <c r="U473">
        <f>IF(orders[[#This Row],[Status]]="Pending",1,0)</f>
        <v>0</v>
      </c>
      <c r="V473">
        <f>IF(orders[[#This Row],[Status]]="Delayed",1,0)</f>
        <v>1</v>
      </c>
      <c r="W473">
        <f>IF(orders[[#This Row],[Status]]="Cancelled",1,0)</f>
        <v>0</v>
      </c>
    </row>
    <row r="474" spans="1:23" x14ac:dyDescent="0.35">
      <c r="A474" t="s">
        <v>797</v>
      </c>
      <c r="B474" s="1">
        <v>45895</v>
      </c>
      <c r="C474" t="s">
        <v>469</v>
      </c>
      <c r="D474" t="s">
        <v>149</v>
      </c>
      <c r="E474" t="s">
        <v>92</v>
      </c>
      <c r="F474" t="s">
        <v>83</v>
      </c>
      <c r="G474" t="s">
        <v>155</v>
      </c>
      <c r="H474" s="7">
        <v>4</v>
      </c>
      <c r="I474" s="4">
        <v>13948.56</v>
      </c>
      <c r="J474" s="23">
        <v>0</v>
      </c>
      <c r="K474" s="4">
        <v>13948.56</v>
      </c>
      <c r="L474" s="4">
        <v>11168.72</v>
      </c>
      <c r="M474" s="4">
        <v>2779.84</v>
      </c>
      <c r="N474" t="s">
        <v>85</v>
      </c>
      <c r="O474" s="7">
        <v>88</v>
      </c>
      <c r="P474" s="2">
        <v>45898.666666666664</v>
      </c>
      <c r="Q474" t="s">
        <v>80</v>
      </c>
      <c r="R474">
        <v>8</v>
      </c>
      <c r="S474" t="s">
        <v>42</v>
      </c>
      <c r="T474">
        <f>IF(orders[[#This Row],[Status]]="Completed",1,0)</f>
        <v>0</v>
      </c>
      <c r="U474">
        <f>IF(orders[[#This Row],[Status]]="Pending",1,0)</f>
        <v>0</v>
      </c>
      <c r="V474">
        <f>IF(orders[[#This Row],[Status]]="Delayed",1,0)</f>
        <v>1</v>
      </c>
      <c r="W474">
        <f>IF(orders[[#This Row],[Status]]="Cancelled",1,0)</f>
        <v>0</v>
      </c>
    </row>
    <row r="475" spans="1:23" x14ac:dyDescent="0.35">
      <c r="A475" t="s">
        <v>798</v>
      </c>
      <c r="B475" s="1">
        <v>45861</v>
      </c>
      <c r="C475" t="s">
        <v>565</v>
      </c>
      <c r="D475" t="s">
        <v>21</v>
      </c>
      <c r="E475" t="s">
        <v>113</v>
      </c>
      <c r="F475" t="s">
        <v>23</v>
      </c>
      <c r="G475" t="s">
        <v>24</v>
      </c>
      <c r="H475" s="7">
        <v>5</v>
      </c>
      <c r="I475" s="4">
        <v>41784.400000000001</v>
      </c>
      <c r="J475" s="23">
        <v>0.15</v>
      </c>
      <c r="K475" s="4">
        <v>35516.74</v>
      </c>
      <c r="L475" s="4">
        <v>28601.759999999998</v>
      </c>
      <c r="M475" s="4">
        <v>6914.98</v>
      </c>
      <c r="N475" t="s">
        <v>25</v>
      </c>
      <c r="O475" s="7">
        <v>16</v>
      </c>
      <c r="P475" s="2">
        <v>45861.666666666664</v>
      </c>
      <c r="Q475" t="s">
        <v>60</v>
      </c>
      <c r="R475">
        <v>7</v>
      </c>
      <c r="S475" t="s">
        <v>42</v>
      </c>
      <c r="T475">
        <f>IF(orders[[#This Row],[Status]]="Completed",1,0)</f>
        <v>1</v>
      </c>
      <c r="U475">
        <f>IF(orders[[#This Row],[Status]]="Pending",1,0)</f>
        <v>0</v>
      </c>
      <c r="V475">
        <f>IF(orders[[#This Row],[Status]]="Delayed",1,0)</f>
        <v>0</v>
      </c>
      <c r="W475">
        <f>IF(orders[[#This Row],[Status]]="Cancelled",1,0)</f>
        <v>0</v>
      </c>
    </row>
    <row r="476" spans="1:23" x14ac:dyDescent="0.35">
      <c r="A476" t="s">
        <v>799</v>
      </c>
      <c r="B476" s="1">
        <v>45875</v>
      </c>
      <c r="C476" t="s">
        <v>145</v>
      </c>
      <c r="D476" t="s">
        <v>51</v>
      </c>
      <c r="E476" t="s">
        <v>78</v>
      </c>
      <c r="F476" t="s">
        <v>23</v>
      </c>
      <c r="G476" t="s">
        <v>69</v>
      </c>
      <c r="H476" s="7">
        <v>7</v>
      </c>
      <c r="I476" s="4">
        <v>32406.71</v>
      </c>
      <c r="J476" s="23">
        <v>0</v>
      </c>
      <c r="K476" s="4">
        <v>32406.71</v>
      </c>
      <c r="L476" s="4">
        <v>22696.15</v>
      </c>
      <c r="M476" s="4">
        <v>9710.56</v>
      </c>
      <c r="N476" t="s">
        <v>25</v>
      </c>
      <c r="O476" s="7">
        <v>8</v>
      </c>
      <c r="P476" s="2">
        <v>45875.333333333336</v>
      </c>
      <c r="Q476" t="s">
        <v>80</v>
      </c>
      <c r="R476">
        <v>8</v>
      </c>
      <c r="S476" t="s">
        <v>42</v>
      </c>
      <c r="T476">
        <f>IF(orders[[#This Row],[Status]]="Completed",1,0)</f>
        <v>1</v>
      </c>
      <c r="U476">
        <f>IF(orders[[#This Row],[Status]]="Pending",1,0)</f>
        <v>0</v>
      </c>
      <c r="V476">
        <f>IF(orders[[#This Row],[Status]]="Delayed",1,0)</f>
        <v>0</v>
      </c>
      <c r="W476">
        <f>IF(orders[[#This Row],[Status]]="Cancelled",1,0)</f>
        <v>0</v>
      </c>
    </row>
    <row r="477" spans="1:23" x14ac:dyDescent="0.35">
      <c r="A477" t="s">
        <v>800</v>
      </c>
      <c r="B477" s="1">
        <v>45998</v>
      </c>
      <c r="C477" t="s">
        <v>29</v>
      </c>
      <c r="D477" t="s">
        <v>38</v>
      </c>
      <c r="E477" t="s">
        <v>22</v>
      </c>
      <c r="F477" t="s">
        <v>23</v>
      </c>
      <c r="G477" t="s">
        <v>136</v>
      </c>
      <c r="H477" s="7">
        <v>3</v>
      </c>
      <c r="I477" s="4">
        <v>13040.88</v>
      </c>
      <c r="J477" s="23">
        <v>0.15</v>
      </c>
      <c r="K477" s="4">
        <v>11084.75</v>
      </c>
      <c r="L477" s="4">
        <v>8334.94</v>
      </c>
      <c r="M477" s="4">
        <v>2749.81</v>
      </c>
      <c r="N477" t="s">
        <v>25</v>
      </c>
      <c r="O477" s="7">
        <v>33</v>
      </c>
      <c r="P477" s="2">
        <v>45999.375</v>
      </c>
      <c r="Q477" t="s">
        <v>34</v>
      </c>
      <c r="R477">
        <v>12</v>
      </c>
      <c r="S477" t="s">
        <v>35</v>
      </c>
      <c r="T477">
        <f>IF(orders[[#This Row],[Status]]="Completed",1,0)</f>
        <v>1</v>
      </c>
      <c r="U477">
        <f>IF(orders[[#This Row],[Status]]="Pending",1,0)</f>
        <v>0</v>
      </c>
      <c r="V477">
        <f>IF(orders[[#This Row],[Status]]="Delayed",1,0)</f>
        <v>0</v>
      </c>
      <c r="W477">
        <f>IF(orders[[#This Row],[Status]]="Cancelled",1,0)</f>
        <v>0</v>
      </c>
    </row>
    <row r="478" spans="1:23" x14ac:dyDescent="0.35">
      <c r="A478" t="s">
        <v>801</v>
      </c>
      <c r="B478" s="1">
        <v>45696</v>
      </c>
      <c r="C478" t="s">
        <v>802</v>
      </c>
      <c r="D478" t="s">
        <v>38</v>
      </c>
      <c r="E478" t="s">
        <v>59</v>
      </c>
      <c r="F478" t="s">
        <v>83</v>
      </c>
      <c r="G478" t="s">
        <v>182</v>
      </c>
      <c r="H478" s="7">
        <v>2</v>
      </c>
      <c r="I478" s="4">
        <v>4604.8999999999996</v>
      </c>
      <c r="J478" s="23">
        <v>0.05</v>
      </c>
      <c r="K478" s="4">
        <v>4374.66</v>
      </c>
      <c r="L478" s="4">
        <v>2945.29</v>
      </c>
      <c r="M478" s="4">
        <v>1429.37</v>
      </c>
      <c r="N478" t="s">
        <v>25</v>
      </c>
      <c r="O478" s="7">
        <v>4</v>
      </c>
      <c r="P478" s="2">
        <v>45696.166666666664</v>
      </c>
      <c r="Q478" t="s">
        <v>139</v>
      </c>
      <c r="R478">
        <v>2</v>
      </c>
      <c r="S478" t="s">
        <v>55</v>
      </c>
      <c r="T478">
        <f>IF(orders[[#This Row],[Status]]="Completed",1,0)</f>
        <v>1</v>
      </c>
      <c r="U478">
        <f>IF(orders[[#This Row],[Status]]="Pending",1,0)</f>
        <v>0</v>
      </c>
      <c r="V478">
        <f>IF(orders[[#This Row],[Status]]="Delayed",1,0)</f>
        <v>0</v>
      </c>
      <c r="W478">
        <f>IF(orders[[#This Row],[Status]]="Cancelled",1,0)</f>
        <v>0</v>
      </c>
    </row>
    <row r="479" spans="1:23" x14ac:dyDescent="0.35">
      <c r="A479" t="s">
        <v>803</v>
      </c>
      <c r="B479" s="1">
        <v>45757</v>
      </c>
      <c r="C479" t="s">
        <v>498</v>
      </c>
      <c r="D479" t="s">
        <v>77</v>
      </c>
      <c r="E479" t="s">
        <v>59</v>
      </c>
      <c r="F479" t="s">
        <v>72</v>
      </c>
      <c r="G479" t="s">
        <v>73</v>
      </c>
      <c r="H479" s="7">
        <v>4</v>
      </c>
      <c r="I479" s="4">
        <v>24025.56</v>
      </c>
      <c r="J479" s="23">
        <v>0.2</v>
      </c>
      <c r="K479" s="4">
        <v>19220.45</v>
      </c>
      <c r="L479" s="4">
        <v>15023.52</v>
      </c>
      <c r="M479" s="4">
        <v>4196.93</v>
      </c>
      <c r="N479" t="s">
        <v>98</v>
      </c>
      <c r="O479" s="7">
        <v>17</v>
      </c>
      <c r="P479" s="2">
        <v>45757.708333333336</v>
      </c>
      <c r="Q479" t="s">
        <v>26</v>
      </c>
      <c r="R479">
        <v>4</v>
      </c>
      <c r="S479" t="s">
        <v>27</v>
      </c>
      <c r="T479">
        <f>IF(orders[[#This Row],[Status]]="Completed",1,0)</f>
        <v>0</v>
      </c>
      <c r="U479">
        <f>IF(orders[[#This Row],[Status]]="Pending",1,0)</f>
        <v>1</v>
      </c>
      <c r="V479">
        <f>IF(orders[[#This Row],[Status]]="Delayed",1,0)</f>
        <v>0</v>
      </c>
      <c r="W479">
        <f>IF(orders[[#This Row],[Status]]="Cancelled",1,0)</f>
        <v>0</v>
      </c>
    </row>
    <row r="480" spans="1:23" x14ac:dyDescent="0.35">
      <c r="A480" t="s">
        <v>804</v>
      </c>
      <c r="B480" s="1">
        <v>45946</v>
      </c>
      <c r="C480" t="s">
        <v>165</v>
      </c>
      <c r="D480" t="s">
        <v>77</v>
      </c>
      <c r="E480" t="s">
        <v>31</v>
      </c>
      <c r="F480" t="s">
        <v>39</v>
      </c>
      <c r="G480" t="s">
        <v>40</v>
      </c>
      <c r="H480" s="7">
        <v>2</v>
      </c>
      <c r="I480" s="4">
        <v>540.02</v>
      </c>
      <c r="J480" s="23">
        <v>0.15</v>
      </c>
      <c r="K480" s="4">
        <v>459.02</v>
      </c>
      <c r="L480" s="4">
        <v>379.05</v>
      </c>
      <c r="M480" s="4">
        <v>79.97</v>
      </c>
      <c r="N480" t="s">
        <v>25</v>
      </c>
      <c r="O480" s="7">
        <v>21</v>
      </c>
      <c r="P480" s="2">
        <v>45946.875</v>
      </c>
      <c r="Q480" t="s">
        <v>116</v>
      </c>
      <c r="R480">
        <v>10</v>
      </c>
      <c r="S480" t="s">
        <v>35</v>
      </c>
      <c r="T480">
        <f>IF(orders[[#This Row],[Status]]="Completed",1,0)</f>
        <v>1</v>
      </c>
      <c r="U480">
        <f>IF(orders[[#This Row],[Status]]="Pending",1,0)</f>
        <v>0</v>
      </c>
      <c r="V480">
        <f>IF(orders[[#This Row],[Status]]="Delayed",1,0)</f>
        <v>0</v>
      </c>
      <c r="W480">
        <f>IF(orders[[#This Row],[Status]]="Cancelled",1,0)</f>
        <v>0</v>
      </c>
    </row>
    <row r="481" spans="1:23" x14ac:dyDescent="0.35">
      <c r="A481" t="s">
        <v>805</v>
      </c>
      <c r="B481" s="1">
        <v>45911</v>
      </c>
      <c r="C481" t="s">
        <v>415</v>
      </c>
      <c r="D481" t="s">
        <v>21</v>
      </c>
      <c r="E481" t="s">
        <v>22</v>
      </c>
      <c r="F481" t="s">
        <v>72</v>
      </c>
      <c r="G481" t="s">
        <v>73</v>
      </c>
      <c r="H481" s="7">
        <v>1</v>
      </c>
      <c r="I481" s="4">
        <v>563.42999999999995</v>
      </c>
      <c r="J481" s="23">
        <v>0.25</v>
      </c>
      <c r="K481" s="4">
        <v>422.57</v>
      </c>
      <c r="L481" s="4">
        <v>328.39</v>
      </c>
      <c r="M481" s="4">
        <v>94.18</v>
      </c>
      <c r="N481" t="s">
        <v>25</v>
      </c>
      <c r="O481" s="7">
        <v>8</v>
      </c>
      <c r="P481" s="2">
        <v>45911.333333333336</v>
      </c>
      <c r="Q481" t="s">
        <v>41</v>
      </c>
      <c r="R481">
        <v>9</v>
      </c>
      <c r="S481" t="s">
        <v>42</v>
      </c>
      <c r="T481">
        <f>IF(orders[[#This Row],[Status]]="Completed",1,0)</f>
        <v>1</v>
      </c>
      <c r="U481">
        <f>IF(orders[[#This Row],[Status]]="Pending",1,0)</f>
        <v>0</v>
      </c>
      <c r="V481">
        <f>IF(orders[[#This Row],[Status]]="Delayed",1,0)</f>
        <v>0</v>
      </c>
      <c r="W481">
        <f>IF(orders[[#This Row],[Status]]="Cancelled",1,0)</f>
        <v>0</v>
      </c>
    </row>
    <row r="482" spans="1:23" x14ac:dyDescent="0.35">
      <c r="A482" t="s">
        <v>806</v>
      </c>
      <c r="B482" s="1">
        <v>45879</v>
      </c>
      <c r="C482" t="s">
        <v>29</v>
      </c>
      <c r="D482" t="s">
        <v>21</v>
      </c>
      <c r="E482" t="s">
        <v>46</v>
      </c>
      <c r="F482" t="s">
        <v>32</v>
      </c>
      <c r="G482" t="s">
        <v>89</v>
      </c>
      <c r="H482" s="7">
        <v>2</v>
      </c>
      <c r="I482" s="4">
        <v>10309.280000000001</v>
      </c>
      <c r="J482" s="23">
        <v>0.2</v>
      </c>
      <c r="K482" s="4">
        <v>8247.42</v>
      </c>
      <c r="L482" s="4">
        <v>5931.15</v>
      </c>
      <c r="M482" s="4">
        <v>2316.27</v>
      </c>
      <c r="N482" t="s">
        <v>98</v>
      </c>
      <c r="O482" s="7">
        <v>11</v>
      </c>
      <c r="P482" s="2">
        <v>45879.458333333336</v>
      </c>
      <c r="Q482" t="s">
        <v>80</v>
      </c>
      <c r="R482">
        <v>8</v>
      </c>
      <c r="S482" t="s">
        <v>42</v>
      </c>
      <c r="T482">
        <f>IF(orders[[#This Row],[Status]]="Completed",1,0)</f>
        <v>0</v>
      </c>
      <c r="U482">
        <f>IF(orders[[#This Row],[Status]]="Pending",1,0)</f>
        <v>1</v>
      </c>
      <c r="V482">
        <f>IF(orders[[#This Row],[Status]]="Delayed",1,0)</f>
        <v>0</v>
      </c>
      <c r="W482">
        <f>IF(orders[[#This Row],[Status]]="Cancelled",1,0)</f>
        <v>0</v>
      </c>
    </row>
    <row r="483" spans="1:23" x14ac:dyDescent="0.35">
      <c r="A483" t="s">
        <v>807</v>
      </c>
      <c r="B483" s="1">
        <v>46014</v>
      </c>
      <c r="C483" t="s">
        <v>808</v>
      </c>
      <c r="D483" t="s">
        <v>51</v>
      </c>
      <c r="E483" t="s">
        <v>52</v>
      </c>
      <c r="F483" t="s">
        <v>23</v>
      </c>
      <c r="G483" t="s">
        <v>69</v>
      </c>
      <c r="H483" s="7">
        <v>2</v>
      </c>
      <c r="I483" s="4">
        <v>6005.96</v>
      </c>
      <c r="J483" s="23">
        <v>0.2</v>
      </c>
      <c r="K483" s="4">
        <v>4804.7700000000004</v>
      </c>
      <c r="L483" s="4">
        <v>3369.86</v>
      </c>
      <c r="M483" s="4">
        <v>1434.91</v>
      </c>
      <c r="N483" t="s">
        <v>48</v>
      </c>
      <c r="O483" s="7">
        <v>14</v>
      </c>
      <c r="P483" s="2">
        <v>46014.583333333336</v>
      </c>
      <c r="Q483" t="s">
        <v>34</v>
      </c>
      <c r="R483">
        <v>12</v>
      </c>
      <c r="S483" t="s">
        <v>35</v>
      </c>
      <c r="T483">
        <f>IF(orders[[#This Row],[Status]]="Completed",1,0)</f>
        <v>0</v>
      </c>
      <c r="U483">
        <f>IF(orders[[#This Row],[Status]]="Pending",1,0)</f>
        <v>0</v>
      </c>
      <c r="V483">
        <f>IF(orders[[#This Row],[Status]]="Delayed",1,0)</f>
        <v>0</v>
      </c>
      <c r="W483">
        <f>IF(orders[[#This Row],[Status]]="Cancelled",1,0)</f>
        <v>1</v>
      </c>
    </row>
    <row r="484" spans="1:23" x14ac:dyDescent="0.35">
      <c r="A484" t="s">
        <v>809</v>
      </c>
      <c r="B484" s="1">
        <v>45680</v>
      </c>
      <c r="C484" t="s">
        <v>430</v>
      </c>
      <c r="D484" t="s">
        <v>77</v>
      </c>
      <c r="E484" t="s">
        <v>59</v>
      </c>
      <c r="F484" t="s">
        <v>72</v>
      </c>
      <c r="G484" t="s">
        <v>104</v>
      </c>
      <c r="H484" s="7">
        <v>6</v>
      </c>
      <c r="I484" s="4">
        <v>48661.14</v>
      </c>
      <c r="J484" s="23">
        <v>0.2</v>
      </c>
      <c r="K484" s="4">
        <v>38928.910000000003</v>
      </c>
      <c r="L484" s="4">
        <v>29662.49</v>
      </c>
      <c r="M484" s="4">
        <v>9266.42</v>
      </c>
      <c r="N484" t="s">
        <v>85</v>
      </c>
      <c r="O484" s="7">
        <v>96</v>
      </c>
      <c r="P484" s="2">
        <v>45684</v>
      </c>
      <c r="Q484" t="s">
        <v>65</v>
      </c>
      <c r="R484">
        <v>1</v>
      </c>
      <c r="S484" t="s">
        <v>55</v>
      </c>
      <c r="T484">
        <f>IF(orders[[#This Row],[Status]]="Completed",1,0)</f>
        <v>0</v>
      </c>
      <c r="U484">
        <f>IF(orders[[#This Row],[Status]]="Pending",1,0)</f>
        <v>0</v>
      </c>
      <c r="V484">
        <f>IF(orders[[#This Row],[Status]]="Delayed",1,0)</f>
        <v>1</v>
      </c>
      <c r="W484">
        <f>IF(orders[[#This Row],[Status]]="Cancelled",1,0)</f>
        <v>0</v>
      </c>
    </row>
    <row r="485" spans="1:23" x14ac:dyDescent="0.35">
      <c r="A485" t="s">
        <v>810</v>
      </c>
      <c r="B485" s="1">
        <v>45907</v>
      </c>
      <c r="C485" t="s">
        <v>811</v>
      </c>
      <c r="D485" t="s">
        <v>68</v>
      </c>
      <c r="E485" t="s">
        <v>52</v>
      </c>
      <c r="F485" t="s">
        <v>39</v>
      </c>
      <c r="G485" t="s">
        <v>93</v>
      </c>
      <c r="H485" s="7">
        <v>4</v>
      </c>
      <c r="I485" s="4">
        <v>30766.560000000001</v>
      </c>
      <c r="J485" s="23">
        <v>0.1</v>
      </c>
      <c r="K485" s="4">
        <v>27689.9</v>
      </c>
      <c r="L485" s="4">
        <v>21441.33</v>
      </c>
      <c r="M485" s="4">
        <v>6248.57</v>
      </c>
      <c r="N485" t="s">
        <v>25</v>
      </c>
      <c r="O485" s="7">
        <v>28</v>
      </c>
      <c r="P485" s="2">
        <v>45908.166666666664</v>
      </c>
      <c r="Q485" t="s">
        <v>41</v>
      </c>
      <c r="R485">
        <v>9</v>
      </c>
      <c r="S485" t="s">
        <v>42</v>
      </c>
      <c r="T485">
        <f>IF(orders[[#This Row],[Status]]="Completed",1,0)</f>
        <v>1</v>
      </c>
      <c r="U485">
        <f>IF(orders[[#This Row],[Status]]="Pending",1,0)</f>
        <v>0</v>
      </c>
      <c r="V485">
        <f>IF(orders[[#This Row],[Status]]="Delayed",1,0)</f>
        <v>0</v>
      </c>
      <c r="W485">
        <f>IF(orders[[#This Row],[Status]]="Cancelled",1,0)</f>
        <v>0</v>
      </c>
    </row>
    <row r="486" spans="1:23" x14ac:dyDescent="0.35">
      <c r="A486" t="s">
        <v>812</v>
      </c>
      <c r="B486" s="1">
        <v>45667</v>
      </c>
      <c r="C486" t="s">
        <v>813</v>
      </c>
      <c r="D486" t="s">
        <v>68</v>
      </c>
      <c r="E486" t="s">
        <v>59</v>
      </c>
      <c r="F486" t="s">
        <v>32</v>
      </c>
      <c r="G486" t="s">
        <v>64</v>
      </c>
      <c r="H486" s="7">
        <v>1</v>
      </c>
      <c r="I486" s="4">
        <v>6109.45</v>
      </c>
      <c r="J486" s="23">
        <v>0</v>
      </c>
      <c r="K486" s="4">
        <v>6109.45</v>
      </c>
      <c r="L486" s="4">
        <v>4486.66</v>
      </c>
      <c r="M486" s="4">
        <v>1622.79</v>
      </c>
      <c r="N486" t="s">
        <v>48</v>
      </c>
      <c r="O486" s="7">
        <v>17</v>
      </c>
      <c r="P486" s="2">
        <v>45667.708333333336</v>
      </c>
      <c r="Q486" t="s">
        <v>65</v>
      </c>
      <c r="R486">
        <v>1</v>
      </c>
      <c r="S486" t="s">
        <v>55</v>
      </c>
      <c r="T486">
        <f>IF(orders[[#This Row],[Status]]="Completed",1,0)</f>
        <v>0</v>
      </c>
      <c r="U486">
        <f>IF(orders[[#This Row],[Status]]="Pending",1,0)</f>
        <v>0</v>
      </c>
      <c r="V486">
        <f>IF(orders[[#This Row],[Status]]="Delayed",1,0)</f>
        <v>0</v>
      </c>
      <c r="W486">
        <f>IF(orders[[#This Row],[Status]]="Cancelled",1,0)</f>
        <v>1</v>
      </c>
    </row>
    <row r="487" spans="1:23" x14ac:dyDescent="0.35">
      <c r="A487" t="s">
        <v>814</v>
      </c>
      <c r="B487" s="1">
        <v>45903</v>
      </c>
      <c r="C487" t="s">
        <v>614</v>
      </c>
      <c r="D487" t="s">
        <v>51</v>
      </c>
      <c r="E487" t="s">
        <v>78</v>
      </c>
      <c r="F487" t="s">
        <v>83</v>
      </c>
      <c r="G487" t="s">
        <v>107</v>
      </c>
      <c r="H487" s="7">
        <v>2</v>
      </c>
      <c r="I487" s="4">
        <v>13963.04</v>
      </c>
      <c r="J487" s="23">
        <v>0.05</v>
      </c>
      <c r="K487" s="4">
        <v>13264.89</v>
      </c>
      <c r="L487" s="4">
        <v>10031.32</v>
      </c>
      <c r="M487" s="4">
        <v>3233.57</v>
      </c>
      <c r="N487" t="s">
        <v>48</v>
      </c>
      <c r="O487" s="7">
        <v>23</v>
      </c>
      <c r="P487" s="2">
        <v>45903.958333333336</v>
      </c>
      <c r="Q487" t="s">
        <v>41</v>
      </c>
      <c r="R487">
        <v>9</v>
      </c>
      <c r="S487" t="s">
        <v>42</v>
      </c>
      <c r="T487">
        <f>IF(orders[[#This Row],[Status]]="Completed",1,0)</f>
        <v>0</v>
      </c>
      <c r="U487">
        <f>IF(orders[[#This Row],[Status]]="Pending",1,0)</f>
        <v>0</v>
      </c>
      <c r="V487">
        <f>IF(orders[[#This Row],[Status]]="Delayed",1,0)</f>
        <v>0</v>
      </c>
      <c r="W487">
        <f>IF(orders[[#This Row],[Status]]="Cancelled",1,0)</f>
        <v>1</v>
      </c>
    </row>
    <row r="488" spans="1:23" x14ac:dyDescent="0.35">
      <c r="A488" t="s">
        <v>815</v>
      </c>
      <c r="B488" s="1">
        <v>45982</v>
      </c>
      <c r="C488" t="s">
        <v>179</v>
      </c>
      <c r="D488" t="s">
        <v>68</v>
      </c>
      <c r="E488" t="s">
        <v>59</v>
      </c>
      <c r="F488" t="s">
        <v>83</v>
      </c>
      <c r="G488" t="s">
        <v>155</v>
      </c>
      <c r="H488" s="7">
        <v>5</v>
      </c>
      <c r="I488" s="4">
        <v>28611.1</v>
      </c>
      <c r="J488" s="23">
        <v>0.05</v>
      </c>
      <c r="K488" s="4">
        <v>27180.54</v>
      </c>
      <c r="L488" s="4">
        <v>15815.66</v>
      </c>
      <c r="M488" s="4">
        <v>11364.88</v>
      </c>
      <c r="N488" t="s">
        <v>48</v>
      </c>
      <c r="O488" s="7">
        <v>19</v>
      </c>
      <c r="P488" s="2">
        <v>45982.791666666664</v>
      </c>
      <c r="Q488" t="s">
        <v>86</v>
      </c>
      <c r="R488">
        <v>11</v>
      </c>
      <c r="S488" t="s">
        <v>35</v>
      </c>
      <c r="T488">
        <f>IF(orders[[#This Row],[Status]]="Completed",1,0)</f>
        <v>0</v>
      </c>
      <c r="U488">
        <f>IF(orders[[#This Row],[Status]]="Pending",1,0)</f>
        <v>0</v>
      </c>
      <c r="V488">
        <f>IF(orders[[#This Row],[Status]]="Delayed",1,0)</f>
        <v>0</v>
      </c>
      <c r="W488">
        <f>IF(orders[[#This Row],[Status]]="Cancelled",1,0)</f>
        <v>1</v>
      </c>
    </row>
    <row r="489" spans="1:23" x14ac:dyDescent="0.35">
      <c r="A489" t="s">
        <v>816</v>
      </c>
      <c r="B489" s="1">
        <v>45757</v>
      </c>
      <c r="C489" t="s">
        <v>451</v>
      </c>
      <c r="D489" t="s">
        <v>63</v>
      </c>
      <c r="E489" t="s">
        <v>78</v>
      </c>
      <c r="F489" t="s">
        <v>39</v>
      </c>
      <c r="G489" t="s">
        <v>188</v>
      </c>
      <c r="H489" s="7">
        <v>3</v>
      </c>
      <c r="I489" s="4">
        <v>3595.83</v>
      </c>
      <c r="J489" s="23">
        <v>0.1</v>
      </c>
      <c r="K489" s="4">
        <v>3236.25</v>
      </c>
      <c r="L489" s="4">
        <v>2796.39</v>
      </c>
      <c r="M489" s="4">
        <v>439.86</v>
      </c>
      <c r="N489" t="s">
        <v>85</v>
      </c>
      <c r="O489" s="7">
        <v>71</v>
      </c>
      <c r="P489" s="2">
        <v>45759.958333333336</v>
      </c>
      <c r="Q489" t="s">
        <v>26</v>
      </c>
      <c r="R489">
        <v>4</v>
      </c>
      <c r="S489" t="s">
        <v>27</v>
      </c>
      <c r="T489">
        <f>IF(orders[[#This Row],[Status]]="Completed",1,0)</f>
        <v>0</v>
      </c>
      <c r="U489">
        <f>IF(orders[[#This Row],[Status]]="Pending",1,0)</f>
        <v>0</v>
      </c>
      <c r="V489">
        <f>IF(orders[[#This Row],[Status]]="Delayed",1,0)</f>
        <v>1</v>
      </c>
      <c r="W489">
        <f>IF(orders[[#This Row],[Status]]="Cancelled",1,0)</f>
        <v>0</v>
      </c>
    </row>
    <row r="490" spans="1:23" x14ac:dyDescent="0.35">
      <c r="A490" t="s">
        <v>817</v>
      </c>
      <c r="B490" s="1">
        <v>45947</v>
      </c>
      <c r="C490" t="s">
        <v>57</v>
      </c>
      <c r="D490" t="s">
        <v>45</v>
      </c>
      <c r="E490" t="s">
        <v>78</v>
      </c>
      <c r="F490" t="s">
        <v>32</v>
      </c>
      <c r="G490" t="s">
        <v>79</v>
      </c>
      <c r="H490" s="7">
        <v>2</v>
      </c>
      <c r="I490" s="4">
        <v>13084.58</v>
      </c>
      <c r="J490" s="23">
        <v>0.1</v>
      </c>
      <c r="K490" s="4">
        <v>11776.12</v>
      </c>
      <c r="L490" s="4">
        <v>9549.9</v>
      </c>
      <c r="M490" s="4">
        <v>2226.2199999999998</v>
      </c>
      <c r="N490" t="s">
        <v>25</v>
      </c>
      <c r="O490" s="7">
        <v>23</v>
      </c>
      <c r="P490" s="2">
        <v>45947.958333333336</v>
      </c>
      <c r="Q490" t="s">
        <v>116</v>
      </c>
      <c r="R490">
        <v>10</v>
      </c>
      <c r="S490" t="s">
        <v>35</v>
      </c>
      <c r="T490">
        <f>IF(orders[[#This Row],[Status]]="Completed",1,0)</f>
        <v>1</v>
      </c>
      <c r="U490">
        <f>IF(orders[[#This Row],[Status]]="Pending",1,0)</f>
        <v>0</v>
      </c>
      <c r="V490">
        <f>IF(orders[[#This Row],[Status]]="Delayed",1,0)</f>
        <v>0</v>
      </c>
      <c r="W490">
        <f>IF(orders[[#This Row],[Status]]="Cancelled",1,0)</f>
        <v>0</v>
      </c>
    </row>
    <row r="491" spans="1:23" x14ac:dyDescent="0.35">
      <c r="A491" t="s">
        <v>818</v>
      </c>
      <c r="B491" s="1">
        <v>45837</v>
      </c>
      <c r="C491" t="s">
        <v>575</v>
      </c>
      <c r="D491" t="s">
        <v>51</v>
      </c>
      <c r="E491" t="s">
        <v>31</v>
      </c>
      <c r="F491" t="s">
        <v>23</v>
      </c>
      <c r="G491" t="s">
        <v>110</v>
      </c>
      <c r="H491" s="7">
        <v>1</v>
      </c>
      <c r="I491" s="4">
        <v>1905.1</v>
      </c>
      <c r="J491" s="23">
        <v>0.2</v>
      </c>
      <c r="K491" s="4">
        <v>1524.08</v>
      </c>
      <c r="L491" s="4">
        <v>1026.31</v>
      </c>
      <c r="M491" s="4">
        <v>497.77</v>
      </c>
      <c r="N491" t="s">
        <v>85</v>
      </c>
      <c r="O491" s="7">
        <v>73</v>
      </c>
      <c r="P491" s="2">
        <v>45840.041666666664</v>
      </c>
      <c r="Q491" t="s">
        <v>99</v>
      </c>
      <c r="R491">
        <v>6</v>
      </c>
      <c r="S491" t="s">
        <v>27</v>
      </c>
      <c r="T491">
        <f>IF(orders[[#This Row],[Status]]="Completed",1,0)</f>
        <v>0</v>
      </c>
      <c r="U491">
        <f>IF(orders[[#This Row],[Status]]="Pending",1,0)</f>
        <v>0</v>
      </c>
      <c r="V491">
        <f>IF(orders[[#This Row],[Status]]="Delayed",1,0)</f>
        <v>1</v>
      </c>
      <c r="W491">
        <f>IF(orders[[#This Row],[Status]]="Cancelled",1,0)</f>
        <v>0</v>
      </c>
    </row>
    <row r="492" spans="1:23" x14ac:dyDescent="0.35">
      <c r="A492" t="s">
        <v>819</v>
      </c>
      <c r="B492" s="1">
        <v>45880</v>
      </c>
      <c r="C492" t="s">
        <v>583</v>
      </c>
      <c r="D492" t="s">
        <v>51</v>
      </c>
      <c r="E492" t="s">
        <v>92</v>
      </c>
      <c r="F492" t="s">
        <v>72</v>
      </c>
      <c r="G492" t="s">
        <v>73</v>
      </c>
      <c r="H492" s="7">
        <v>2</v>
      </c>
      <c r="I492" s="4">
        <v>5701.5</v>
      </c>
      <c r="J492" s="23">
        <v>0.25</v>
      </c>
      <c r="K492" s="4">
        <v>4276.12</v>
      </c>
      <c r="L492" s="4">
        <v>3146.06</v>
      </c>
      <c r="M492" s="4">
        <v>1130.06</v>
      </c>
      <c r="N492" t="s">
        <v>48</v>
      </c>
      <c r="O492" s="7">
        <v>18</v>
      </c>
      <c r="P492" s="2">
        <v>45880.75</v>
      </c>
      <c r="Q492" t="s">
        <v>80</v>
      </c>
      <c r="R492">
        <v>8</v>
      </c>
      <c r="S492" t="s">
        <v>42</v>
      </c>
      <c r="T492">
        <f>IF(orders[[#This Row],[Status]]="Completed",1,0)</f>
        <v>0</v>
      </c>
      <c r="U492">
        <f>IF(orders[[#This Row],[Status]]="Pending",1,0)</f>
        <v>0</v>
      </c>
      <c r="V492">
        <f>IF(orders[[#This Row],[Status]]="Delayed",1,0)</f>
        <v>0</v>
      </c>
      <c r="W492">
        <f>IF(orders[[#This Row],[Status]]="Cancelled",1,0)</f>
        <v>1</v>
      </c>
    </row>
    <row r="493" spans="1:23" x14ac:dyDescent="0.35">
      <c r="A493" t="s">
        <v>820</v>
      </c>
      <c r="B493" s="1">
        <v>45907</v>
      </c>
      <c r="C493" t="s">
        <v>821</v>
      </c>
      <c r="D493" t="s">
        <v>30</v>
      </c>
      <c r="E493" t="s">
        <v>31</v>
      </c>
      <c r="F493" t="s">
        <v>32</v>
      </c>
      <c r="G493" t="s">
        <v>79</v>
      </c>
      <c r="H493" s="7">
        <v>3</v>
      </c>
      <c r="I493" s="4">
        <v>20971.83</v>
      </c>
      <c r="J493" s="23">
        <v>0.05</v>
      </c>
      <c r="K493" s="4">
        <v>19923.240000000002</v>
      </c>
      <c r="L493" s="4">
        <v>11268.93</v>
      </c>
      <c r="M493" s="4">
        <v>8654.31</v>
      </c>
      <c r="N493" t="s">
        <v>25</v>
      </c>
      <c r="O493" s="7">
        <v>26</v>
      </c>
      <c r="P493" s="2">
        <v>45908.083333333336</v>
      </c>
      <c r="Q493" t="s">
        <v>41</v>
      </c>
      <c r="R493">
        <v>9</v>
      </c>
      <c r="S493" t="s">
        <v>42</v>
      </c>
      <c r="T493">
        <f>IF(orders[[#This Row],[Status]]="Completed",1,0)</f>
        <v>1</v>
      </c>
      <c r="U493">
        <f>IF(orders[[#This Row],[Status]]="Pending",1,0)</f>
        <v>0</v>
      </c>
      <c r="V493">
        <f>IF(orders[[#This Row],[Status]]="Delayed",1,0)</f>
        <v>0</v>
      </c>
      <c r="W493">
        <f>IF(orders[[#This Row],[Status]]="Cancelled",1,0)</f>
        <v>0</v>
      </c>
    </row>
    <row r="494" spans="1:23" x14ac:dyDescent="0.35">
      <c r="A494" t="s">
        <v>822</v>
      </c>
      <c r="B494" s="1">
        <v>45804</v>
      </c>
      <c r="C494" t="s">
        <v>426</v>
      </c>
      <c r="D494" t="s">
        <v>58</v>
      </c>
      <c r="E494" t="s">
        <v>78</v>
      </c>
      <c r="F494" t="s">
        <v>83</v>
      </c>
      <c r="G494" t="s">
        <v>152</v>
      </c>
      <c r="H494" s="7">
        <v>1</v>
      </c>
      <c r="I494" s="4">
        <v>4629.99</v>
      </c>
      <c r="J494" s="23">
        <v>0.1</v>
      </c>
      <c r="K494" s="4">
        <v>4166.99</v>
      </c>
      <c r="L494" s="4">
        <v>2348.54</v>
      </c>
      <c r="M494" s="4">
        <v>1818.45</v>
      </c>
      <c r="N494" t="s">
        <v>98</v>
      </c>
      <c r="O494" s="7">
        <v>7</v>
      </c>
      <c r="P494" s="2">
        <v>45804.291666666664</v>
      </c>
      <c r="Q494" t="s">
        <v>74</v>
      </c>
      <c r="R494">
        <v>5</v>
      </c>
      <c r="S494" t="s">
        <v>27</v>
      </c>
      <c r="T494">
        <f>IF(orders[[#This Row],[Status]]="Completed",1,0)</f>
        <v>0</v>
      </c>
      <c r="U494">
        <f>IF(orders[[#This Row],[Status]]="Pending",1,0)</f>
        <v>1</v>
      </c>
      <c r="V494">
        <f>IF(orders[[#This Row],[Status]]="Delayed",1,0)</f>
        <v>0</v>
      </c>
      <c r="W494">
        <f>IF(orders[[#This Row],[Status]]="Cancelled",1,0)</f>
        <v>0</v>
      </c>
    </row>
    <row r="495" spans="1:23" x14ac:dyDescent="0.35">
      <c r="A495" t="s">
        <v>823</v>
      </c>
      <c r="B495" s="1">
        <v>45753</v>
      </c>
      <c r="C495" t="s">
        <v>209</v>
      </c>
      <c r="D495" t="s">
        <v>58</v>
      </c>
      <c r="E495" t="s">
        <v>78</v>
      </c>
      <c r="F495" t="s">
        <v>39</v>
      </c>
      <c r="G495" t="s">
        <v>40</v>
      </c>
      <c r="H495" s="7">
        <v>4</v>
      </c>
      <c r="I495" s="4">
        <v>29322</v>
      </c>
      <c r="J495" s="23">
        <v>0.25</v>
      </c>
      <c r="K495" s="4">
        <v>21991.5</v>
      </c>
      <c r="L495" s="4">
        <v>13915.42</v>
      </c>
      <c r="M495" s="4">
        <v>8076.08</v>
      </c>
      <c r="N495" t="s">
        <v>85</v>
      </c>
      <c r="O495" s="7">
        <v>58</v>
      </c>
      <c r="P495" s="2">
        <v>45755.416666666664</v>
      </c>
      <c r="Q495" t="s">
        <v>26</v>
      </c>
      <c r="R495">
        <v>4</v>
      </c>
      <c r="S495" t="s">
        <v>27</v>
      </c>
      <c r="T495">
        <f>IF(orders[[#This Row],[Status]]="Completed",1,0)</f>
        <v>0</v>
      </c>
      <c r="U495">
        <f>IF(orders[[#This Row],[Status]]="Pending",1,0)</f>
        <v>0</v>
      </c>
      <c r="V495">
        <f>IF(orders[[#This Row],[Status]]="Delayed",1,0)</f>
        <v>1</v>
      </c>
      <c r="W495">
        <f>IF(orders[[#This Row],[Status]]="Cancelled",1,0)</f>
        <v>0</v>
      </c>
    </row>
    <row r="496" spans="1:23" x14ac:dyDescent="0.35">
      <c r="A496" t="s">
        <v>824</v>
      </c>
      <c r="B496" s="1">
        <v>45914</v>
      </c>
      <c r="C496" t="s">
        <v>734</v>
      </c>
      <c r="D496" t="s">
        <v>63</v>
      </c>
      <c r="E496" t="s">
        <v>59</v>
      </c>
      <c r="F496" t="s">
        <v>39</v>
      </c>
      <c r="G496" t="s">
        <v>47</v>
      </c>
      <c r="H496" s="7">
        <v>1</v>
      </c>
      <c r="I496" s="4">
        <v>1928.84</v>
      </c>
      <c r="J496" s="23">
        <v>0.05</v>
      </c>
      <c r="K496" s="4">
        <v>1832.4</v>
      </c>
      <c r="L496" s="4">
        <v>1424.88</v>
      </c>
      <c r="M496" s="4">
        <v>407.52</v>
      </c>
      <c r="N496" t="s">
        <v>25</v>
      </c>
      <c r="O496" s="7">
        <v>20</v>
      </c>
      <c r="P496" s="2">
        <v>45914.833333333336</v>
      </c>
      <c r="Q496" t="s">
        <v>41</v>
      </c>
      <c r="R496">
        <v>9</v>
      </c>
      <c r="S496" t="s">
        <v>42</v>
      </c>
      <c r="T496">
        <f>IF(orders[[#This Row],[Status]]="Completed",1,0)</f>
        <v>1</v>
      </c>
      <c r="U496">
        <f>IF(orders[[#This Row],[Status]]="Pending",1,0)</f>
        <v>0</v>
      </c>
      <c r="V496">
        <f>IF(orders[[#This Row],[Status]]="Delayed",1,0)</f>
        <v>0</v>
      </c>
      <c r="W496">
        <f>IF(orders[[#This Row],[Status]]="Cancelled",1,0)</f>
        <v>0</v>
      </c>
    </row>
    <row r="497" spans="1:23" x14ac:dyDescent="0.35">
      <c r="A497" t="s">
        <v>825</v>
      </c>
      <c r="B497" s="1">
        <v>45982</v>
      </c>
      <c r="C497" t="s">
        <v>314</v>
      </c>
      <c r="D497" t="s">
        <v>77</v>
      </c>
      <c r="E497" t="s">
        <v>22</v>
      </c>
      <c r="F497" t="s">
        <v>72</v>
      </c>
      <c r="G497" t="s">
        <v>129</v>
      </c>
      <c r="H497" s="7">
        <v>4</v>
      </c>
      <c r="I497" s="4">
        <v>20899.8</v>
      </c>
      <c r="J497" s="23">
        <v>0.15</v>
      </c>
      <c r="K497" s="4">
        <v>17764.830000000002</v>
      </c>
      <c r="L497" s="4">
        <v>14766.28</v>
      </c>
      <c r="M497" s="4">
        <v>2998.55</v>
      </c>
      <c r="N497" t="s">
        <v>48</v>
      </c>
      <c r="O497" s="7">
        <v>3</v>
      </c>
      <c r="P497" s="2">
        <v>45982.125</v>
      </c>
      <c r="Q497" t="s">
        <v>86</v>
      </c>
      <c r="R497">
        <v>11</v>
      </c>
      <c r="S497" t="s">
        <v>35</v>
      </c>
      <c r="T497">
        <f>IF(orders[[#This Row],[Status]]="Completed",1,0)</f>
        <v>0</v>
      </c>
      <c r="U497">
        <f>IF(orders[[#This Row],[Status]]="Pending",1,0)</f>
        <v>0</v>
      </c>
      <c r="V497">
        <f>IF(orders[[#This Row],[Status]]="Delayed",1,0)</f>
        <v>0</v>
      </c>
      <c r="W497">
        <f>IF(orders[[#This Row],[Status]]="Cancelled",1,0)</f>
        <v>1</v>
      </c>
    </row>
    <row r="498" spans="1:23" x14ac:dyDescent="0.35">
      <c r="A498" t="s">
        <v>826</v>
      </c>
      <c r="B498" s="1">
        <v>45661</v>
      </c>
      <c r="C498" t="s">
        <v>827</v>
      </c>
      <c r="D498" t="s">
        <v>21</v>
      </c>
      <c r="E498" t="s">
        <v>92</v>
      </c>
      <c r="F498" t="s">
        <v>39</v>
      </c>
      <c r="G498" t="s">
        <v>93</v>
      </c>
      <c r="H498" s="7">
        <v>1</v>
      </c>
      <c r="I498" s="4">
        <v>849.65</v>
      </c>
      <c r="J498" s="23">
        <v>0.05</v>
      </c>
      <c r="K498" s="4">
        <v>807.17</v>
      </c>
      <c r="L498" s="4">
        <v>592.89</v>
      </c>
      <c r="M498" s="4">
        <v>214.28</v>
      </c>
      <c r="N498" t="s">
        <v>25</v>
      </c>
      <c r="O498" s="7">
        <v>43</v>
      </c>
      <c r="P498" s="2">
        <v>45662.791666666664</v>
      </c>
      <c r="Q498" t="s">
        <v>65</v>
      </c>
      <c r="R498">
        <v>1</v>
      </c>
      <c r="S498" t="s">
        <v>55</v>
      </c>
      <c r="T498">
        <f>IF(orders[[#This Row],[Status]]="Completed",1,0)</f>
        <v>1</v>
      </c>
      <c r="U498">
        <f>IF(orders[[#This Row],[Status]]="Pending",1,0)</f>
        <v>0</v>
      </c>
      <c r="V498">
        <f>IF(orders[[#This Row],[Status]]="Delayed",1,0)</f>
        <v>0</v>
      </c>
      <c r="W498">
        <f>IF(orders[[#This Row],[Status]]="Cancelled",1,0)</f>
        <v>0</v>
      </c>
    </row>
    <row r="499" spans="1:23" x14ac:dyDescent="0.35">
      <c r="A499" t="s">
        <v>828</v>
      </c>
      <c r="B499" s="1">
        <v>45673</v>
      </c>
      <c r="C499" t="s">
        <v>829</v>
      </c>
      <c r="D499" t="s">
        <v>21</v>
      </c>
      <c r="E499" t="s">
        <v>22</v>
      </c>
      <c r="F499" t="s">
        <v>39</v>
      </c>
      <c r="G499" t="s">
        <v>188</v>
      </c>
      <c r="H499" s="7">
        <v>7</v>
      </c>
      <c r="I499" s="4">
        <v>38636.92</v>
      </c>
      <c r="J499" s="23">
        <v>0.1</v>
      </c>
      <c r="K499" s="4">
        <v>34773.230000000003</v>
      </c>
      <c r="L499" s="4">
        <v>25231.59</v>
      </c>
      <c r="M499" s="4">
        <v>9541.64</v>
      </c>
      <c r="N499" t="s">
        <v>98</v>
      </c>
      <c r="O499" s="7">
        <v>2</v>
      </c>
      <c r="P499" s="2">
        <v>45673.083333333336</v>
      </c>
      <c r="Q499" t="s">
        <v>65</v>
      </c>
      <c r="R499">
        <v>1</v>
      </c>
      <c r="S499" t="s">
        <v>55</v>
      </c>
      <c r="T499">
        <f>IF(orders[[#This Row],[Status]]="Completed",1,0)</f>
        <v>0</v>
      </c>
      <c r="U499">
        <f>IF(orders[[#This Row],[Status]]="Pending",1,0)</f>
        <v>1</v>
      </c>
      <c r="V499">
        <f>IF(orders[[#This Row],[Status]]="Delayed",1,0)</f>
        <v>0</v>
      </c>
      <c r="W499">
        <f>IF(orders[[#This Row],[Status]]="Cancelled",1,0)</f>
        <v>0</v>
      </c>
    </row>
    <row r="500" spans="1:23" x14ac:dyDescent="0.35">
      <c r="A500" t="s">
        <v>830</v>
      </c>
      <c r="B500" s="1">
        <v>45937</v>
      </c>
      <c r="C500" t="s">
        <v>383</v>
      </c>
      <c r="D500" t="s">
        <v>149</v>
      </c>
      <c r="E500" t="s">
        <v>22</v>
      </c>
      <c r="F500" t="s">
        <v>32</v>
      </c>
      <c r="G500" t="s">
        <v>89</v>
      </c>
      <c r="H500" s="7">
        <v>3</v>
      </c>
      <c r="I500" s="4">
        <v>19551.48</v>
      </c>
      <c r="J500" s="23">
        <v>0.05</v>
      </c>
      <c r="K500" s="4">
        <v>18573.91</v>
      </c>
      <c r="L500" s="4">
        <v>12681.56</v>
      </c>
      <c r="M500" s="4">
        <v>5892.35</v>
      </c>
      <c r="N500" t="s">
        <v>25</v>
      </c>
      <c r="O500" s="7">
        <v>6</v>
      </c>
      <c r="P500" s="2">
        <v>45937.25</v>
      </c>
      <c r="Q500" t="s">
        <v>116</v>
      </c>
      <c r="R500">
        <v>10</v>
      </c>
      <c r="S500" t="s">
        <v>35</v>
      </c>
      <c r="T500">
        <f>IF(orders[[#This Row],[Status]]="Completed",1,0)</f>
        <v>1</v>
      </c>
      <c r="U500">
        <f>IF(orders[[#This Row],[Status]]="Pending",1,0)</f>
        <v>0</v>
      </c>
      <c r="V500">
        <f>IF(orders[[#This Row],[Status]]="Delayed",1,0)</f>
        <v>0</v>
      </c>
      <c r="W500">
        <f>IF(orders[[#This Row],[Status]]="Cancelled",1,0)</f>
        <v>0</v>
      </c>
    </row>
    <row r="501" spans="1:23" x14ac:dyDescent="0.35">
      <c r="A501" t="s">
        <v>831</v>
      </c>
      <c r="B501" s="1">
        <v>45993</v>
      </c>
      <c r="C501" t="s">
        <v>29</v>
      </c>
      <c r="D501" t="s">
        <v>63</v>
      </c>
      <c r="E501" t="s">
        <v>22</v>
      </c>
      <c r="F501" t="s">
        <v>23</v>
      </c>
      <c r="G501" t="s">
        <v>69</v>
      </c>
      <c r="H501" s="7">
        <v>3</v>
      </c>
      <c r="I501" s="4">
        <v>15102.51</v>
      </c>
      <c r="J501" s="23">
        <v>0.2</v>
      </c>
      <c r="K501" s="4">
        <v>12082.01</v>
      </c>
      <c r="L501" s="4">
        <v>7289.41</v>
      </c>
      <c r="M501" s="4">
        <v>4792.6000000000004</v>
      </c>
      <c r="N501" t="s">
        <v>85</v>
      </c>
      <c r="O501" s="7">
        <v>58</v>
      </c>
      <c r="P501" s="2">
        <v>45995.416666666664</v>
      </c>
      <c r="Q501" t="s">
        <v>34</v>
      </c>
      <c r="R501">
        <v>12</v>
      </c>
      <c r="S501" t="s">
        <v>35</v>
      </c>
      <c r="T501">
        <f>IF(orders[[#This Row],[Status]]="Completed",1,0)</f>
        <v>0</v>
      </c>
      <c r="U501">
        <f>IF(orders[[#This Row],[Status]]="Pending",1,0)</f>
        <v>0</v>
      </c>
      <c r="V501">
        <f>IF(orders[[#This Row],[Status]]="Delayed",1,0)</f>
        <v>1</v>
      </c>
      <c r="W501">
        <f>IF(orders[[#This Row],[Status]]="Cancelled",1,0)</f>
        <v>0</v>
      </c>
    </row>
    <row r="502" spans="1:23" x14ac:dyDescent="0.35">
      <c r="A502" t="s">
        <v>832</v>
      </c>
      <c r="B502" s="1">
        <v>45904</v>
      </c>
      <c r="C502" t="s">
        <v>334</v>
      </c>
      <c r="D502" t="s">
        <v>51</v>
      </c>
      <c r="E502" t="s">
        <v>92</v>
      </c>
      <c r="F502" t="s">
        <v>72</v>
      </c>
      <c r="G502" t="s">
        <v>146</v>
      </c>
      <c r="H502" s="7">
        <v>1</v>
      </c>
      <c r="I502" s="4">
        <v>2373.0300000000002</v>
      </c>
      <c r="J502" s="23">
        <v>0.1</v>
      </c>
      <c r="K502" s="4">
        <v>2135.73</v>
      </c>
      <c r="L502" s="4">
        <v>1258.07</v>
      </c>
      <c r="M502" s="4">
        <v>877.66</v>
      </c>
      <c r="N502" t="s">
        <v>25</v>
      </c>
      <c r="O502" s="7">
        <v>29</v>
      </c>
      <c r="P502" s="2">
        <v>45905.208333333336</v>
      </c>
      <c r="Q502" t="s">
        <v>41</v>
      </c>
      <c r="R502">
        <v>9</v>
      </c>
      <c r="S502" t="s">
        <v>42</v>
      </c>
      <c r="T502">
        <f>IF(orders[[#This Row],[Status]]="Completed",1,0)</f>
        <v>1</v>
      </c>
      <c r="U502">
        <f>IF(orders[[#This Row],[Status]]="Pending",1,0)</f>
        <v>0</v>
      </c>
      <c r="V502">
        <f>IF(orders[[#This Row],[Status]]="Delayed",1,0)</f>
        <v>0</v>
      </c>
      <c r="W502">
        <f>IF(orders[[#This Row],[Status]]="Cancelled",1,0)</f>
        <v>0</v>
      </c>
    </row>
    <row r="503" spans="1:23" x14ac:dyDescent="0.35">
      <c r="A503" t="s">
        <v>833</v>
      </c>
      <c r="B503" s="1">
        <v>45915</v>
      </c>
      <c r="C503" t="s">
        <v>472</v>
      </c>
      <c r="D503" t="s">
        <v>63</v>
      </c>
      <c r="E503" t="s">
        <v>22</v>
      </c>
      <c r="F503" t="s">
        <v>32</v>
      </c>
      <c r="G503" t="s">
        <v>53</v>
      </c>
      <c r="H503" s="7">
        <v>7</v>
      </c>
      <c r="I503" s="4">
        <v>2881.97</v>
      </c>
      <c r="J503" s="23">
        <v>0</v>
      </c>
      <c r="K503" s="4">
        <v>2881.97</v>
      </c>
      <c r="L503" s="4">
        <v>2308.5300000000002</v>
      </c>
      <c r="M503" s="4">
        <v>573.44000000000005</v>
      </c>
      <c r="N503" t="s">
        <v>25</v>
      </c>
      <c r="O503" s="7">
        <v>26</v>
      </c>
      <c r="P503" s="2">
        <v>45916.083333333336</v>
      </c>
      <c r="Q503" t="s">
        <v>41</v>
      </c>
      <c r="R503">
        <v>9</v>
      </c>
      <c r="S503" t="s">
        <v>42</v>
      </c>
      <c r="T503">
        <f>IF(orders[[#This Row],[Status]]="Completed",1,0)</f>
        <v>1</v>
      </c>
      <c r="U503">
        <f>IF(orders[[#This Row],[Status]]="Pending",1,0)</f>
        <v>0</v>
      </c>
      <c r="V503">
        <f>IF(orders[[#This Row],[Status]]="Delayed",1,0)</f>
        <v>0</v>
      </c>
      <c r="W503">
        <f>IF(orders[[#This Row],[Status]]="Cancelled",1,0)</f>
        <v>0</v>
      </c>
    </row>
    <row r="504" spans="1:23" x14ac:dyDescent="0.35">
      <c r="A504" t="s">
        <v>834</v>
      </c>
      <c r="B504" s="1">
        <v>45817</v>
      </c>
      <c r="C504" t="s">
        <v>519</v>
      </c>
      <c r="D504" t="s">
        <v>63</v>
      </c>
      <c r="E504" t="s">
        <v>92</v>
      </c>
      <c r="F504" t="s">
        <v>23</v>
      </c>
      <c r="G504" t="s">
        <v>136</v>
      </c>
      <c r="H504" s="7">
        <v>2</v>
      </c>
      <c r="I504" s="4">
        <v>2294.8000000000002</v>
      </c>
      <c r="J504" s="23">
        <v>0.05</v>
      </c>
      <c r="K504" s="4">
        <v>2180.06</v>
      </c>
      <c r="L504" s="4">
        <v>1866.3</v>
      </c>
      <c r="M504" s="4">
        <v>313.76</v>
      </c>
      <c r="N504" t="s">
        <v>25</v>
      </c>
      <c r="O504" s="7">
        <v>9</v>
      </c>
      <c r="P504" s="2">
        <v>45817.375</v>
      </c>
      <c r="Q504" t="s">
        <v>99</v>
      </c>
      <c r="R504">
        <v>6</v>
      </c>
      <c r="S504" t="s">
        <v>27</v>
      </c>
      <c r="T504">
        <f>IF(orders[[#This Row],[Status]]="Completed",1,0)</f>
        <v>1</v>
      </c>
      <c r="U504">
        <f>IF(orders[[#This Row],[Status]]="Pending",1,0)</f>
        <v>0</v>
      </c>
      <c r="V504">
        <f>IF(orders[[#This Row],[Status]]="Delayed",1,0)</f>
        <v>0</v>
      </c>
      <c r="W504">
        <f>IF(orders[[#This Row],[Status]]="Cancelled",1,0)</f>
        <v>0</v>
      </c>
    </row>
    <row r="505" spans="1:23" x14ac:dyDescent="0.35">
      <c r="A505" t="s">
        <v>835</v>
      </c>
      <c r="B505" s="1">
        <v>45997</v>
      </c>
      <c r="C505" t="s">
        <v>836</v>
      </c>
      <c r="D505" t="s">
        <v>63</v>
      </c>
      <c r="E505" t="s">
        <v>52</v>
      </c>
      <c r="F505" t="s">
        <v>32</v>
      </c>
      <c r="G505" t="s">
        <v>33</v>
      </c>
      <c r="H505" s="7">
        <v>3</v>
      </c>
      <c r="I505" s="4">
        <v>16038.69</v>
      </c>
      <c r="J505" s="23">
        <v>0.1</v>
      </c>
      <c r="K505" s="4">
        <v>14434.82</v>
      </c>
      <c r="L505" s="4">
        <v>10122.18</v>
      </c>
      <c r="M505" s="4">
        <v>4312.6400000000003</v>
      </c>
      <c r="N505" t="s">
        <v>25</v>
      </c>
      <c r="O505" s="7">
        <v>31</v>
      </c>
      <c r="P505" s="2">
        <v>45998.291666666664</v>
      </c>
      <c r="Q505" t="s">
        <v>34</v>
      </c>
      <c r="R505">
        <v>12</v>
      </c>
      <c r="S505" t="s">
        <v>35</v>
      </c>
      <c r="T505">
        <f>IF(orders[[#This Row],[Status]]="Completed",1,0)</f>
        <v>1</v>
      </c>
      <c r="U505">
        <f>IF(orders[[#This Row],[Status]]="Pending",1,0)</f>
        <v>0</v>
      </c>
      <c r="V505">
        <f>IF(orders[[#This Row],[Status]]="Delayed",1,0)</f>
        <v>0</v>
      </c>
      <c r="W505">
        <f>IF(orders[[#This Row],[Status]]="Cancelled",1,0)</f>
        <v>0</v>
      </c>
    </row>
    <row r="506" spans="1:23" x14ac:dyDescent="0.35">
      <c r="A506" t="s">
        <v>837</v>
      </c>
      <c r="B506" s="1">
        <v>45809</v>
      </c>
      <c r="C506" t="s">
        <v>173</v>
      </c>
      <c r="D506" t="s">
        <v>58</v>
      </c>
      <c r="E506" t="s">
        <v>78</v>
      </c>
      <c r="F506" t="s">
        <v>32</v>
      </c>
      <c r="G506" t="s">
        <v>53</v>
      </c>
      <c r="H506" s="7">
        <v>4</v>
      </c>
      <c r="I506" s="4">
        <v>31809.64</v>
      </c>
      <c r="J506" s="23">
        <v>0.25</v>
      </c>
      <c r="K506" s="4">
        <v>23857.23</v>
      </c>
      <c r="L506" s="4">
        <v>18313.22</v>
      </c>
      <c r="M506" s="4">
        <v>5544.01</v>
      </c>
      <c r="N506" t="s">
        <v>48</v>
      </c>
      <c r="O506" s="7">
        <v>17</v>
      </c>
      <c r="P506" s="2">
        <v>45809.708333333336</v>
      </c>
      <c r="Q506" t="s">
        <v>99</v>
      </c>
      <c r="R506">
        <v>6</v>
      </c>
      <c r="S506" t="s">
        <v>27</v>
      </c>
      <c r="T506">
        <f>IF(orders[[#This Row],[Status]]="Completed",1,0)</f>
        <v>0</v>
      </c>
      <c r="U506">
        <f>IF(orders[[#This Row],[Status]]="Pending",1,0)</f>
        <v>0</v>
      </c>
      <c r="V506">
        <f>IF(orders[[#This Row],[Status]]="Delayed",1,0)</f>
        <v>0</v>
      </c>
      <c r="W506">
        <f>IF(orders[[#This Row],[Status]]="Cancelled",1,0)</f>
        <v>1</v>
      </c>
    </row>
    <row r="507" spans="1:23" x14ac:dyDescent="0.35">
      <c r="A507" t="s">
        <v>838</v>
      </c>
      <c r="B507" s="1">
        <v>45835</v>
      </c>
      <c r="C507" t="s">
        <v>590</v>
      </c>
      <c r="D507" t="s">
        <v>63</v>
      </c>
      <c r="E507" t="s">
        <v>46</v>
      </c>
      <c r="F507" t="s">
        <v>39</v>
      </c>
      <c r="G507" t="s">
        <v>188</v>
      </c>
      <c r="H507" s="7">
        <v>4</v>
      </c>
      <c r="I507" s="4">
        <v>7498.24</v>
      </c>
      <c r="J507" s="23">
        <v>0.15</v>
      </c>
      <c r="K507" s="4">
        <v>6373.5</v>
      </c>
      <c r="L507" s="4">
        <v>5428.76</v>
      </c>
      <c r="M507" s="4">
        <v>944.74</v>
      </c>
      <c r="N507" t="s">
        <v>48</v>
      </c>
      <c r="O507" s="7">
        <v>23</v>
      </c>
      <c r="P507" s="2">
        <v>45835.958333333336</v>
      </c>
      <c r="Q507" t="s">
        <v>99</v>
      </c>
      <c r="R507">
        <v>6</v>
      </c>
      <c r="S507" t="s">
        <v>27</v>
      </c>
      <c r="T507">
        <f>IF(orders[[#This Row],[Status]]="Completed",1,0)</f>
        <v>0</v>
      </c>
      <c r="U507">
        <f>IF(orders[[#This Row],[Status]]="Pending",1,0)</f>
        <v>0</v>
      </c>
      <c r="V507">
        <f>IF(orders[[#This Row],[Status]]="Delayed",1,0)</f>
        <v>0</v>
      </c>
      <c r="W507">
        <f>IF(orders[[#This Row],[Status]]="Cancelled",1,0)</f>
        <v>1</v>
      </c>
    </row>
    <row r="508" spans="1:23" x14ac:dyDescent="0.35">
      <c r="A508" t="s">
        <v>839</v>
      </c>
      <c r="B508" s="1">
        <v>45820</v>
      </c>
      <c r="C508" t="s">
        <v>536</v>
      </c>
      <c r="D508" t="s">
        <v>45</v>
      </c>
      <c r="E508" t="s">
        <v>59</v>
      </c>
      <c r="F508" t="s">
        <v>23</v>
      </c>
      <c r="G508" t="s">
        <v>136</v>
      </c>
      <c r="H508" s="7">
        <v>5</v>
      </c>
      <c r="I508" s="4">
        <v>31437.35</v>
      </c>
      <c r="J508" s="23">
        <v>0.1</v>
      </c>
      <c r="K508" s="4">
        <v>28293.62</v>
      </c>
      <c r="L508" s="4">
        <v>16402.87</v>
      </c>
      <c r="M508" s="4">
        <v>11890.75</v>
      </c>
      <c r="N508" t="s">
        <v>85</v>
      </c>
      <c r="O508" s="7">
        <v>74</v>
      </c>
      <c r="P508" s="2">
        <v>45823.083333333336</v>
      </c>
      <c r="Q508" t="s">
        <v>99</v>
      </c>
      <c r="R508">
        <v>6</v>
      </c>
      <c r="S508" t="s">
        <v>27</v>
      </c>
      <c r="T508">
        <f>IF(orders[[#This Row],[Status]]="Completed",1,0)</f>
        <v>0</v>
      </c>
      <c r="U508">
        <f>IF(orders[[#This Row],[Status]]="Pending",1,0)</f>
        <v>0</v>
      </c>
      <c r="V508">
        <f>IF(orders[[#This Row],[Status]]="Delayed",1,0)</f>
        <v>1</v>
      </c>
      <c r="W508">
        <f>IF(orders[[#This Row],[Status]]="Cancelled",1,0)</f>
        <v>0</v>
      </c>
    </row>
    <row r="509" spans="1:23" x14ac:dyDescent="0.35">
      <c r="A509" t="s">
        <v>840</v>
      </c>
      <c r="B509" s="1">
        <v>45690</v>
      </c>
      <c r="C509" t="s">
        <v>422</v>
      </c>
      <c r="D509" t="s">
        <v>21</v>
      </c>
      <c r="E509" t="s">
        <v>113</v>
      </c>
      <c r="F509" t="s">
        <v>72</v>
      </c>
      <c r="G509" t="s">
        <v>104</v>
      </c>
      <c r="H509" s="7">
        <v>6</v>
      </c>
      <c r="I509" s="4">
        <v>44309.22</v>
      </c>
      <c r="J509" s="23">
        <v>0.05</v>
      </c>
      <c r="K509" s="4">
        <v>42093.760000000002</v>
      </c>
      <c r="L509" s="4">
        <v>33854.28</v>
      </c>
      <c r="M509" s="4">
        <v>8239.48</v>
      </c>
      <c r="N509" t="s">
        <v>85</v>
      </c>
      <c r="O509" s="7">
        <v>74</v>
      </c>
      <c r="P509" s="2">
        <v>45693.083333333336</v>
      </c>
      <c r="Q509" t="s">
        <v>139</v>
      </c>
      <c r="R509">
        <v>2</v>
      </c>
      <c r="S509" t="s">
        <v>55</v>
      </c>
      <c r="T509">
        <f>IF(orders[[#This Row],[Status]]="Completed",1,0)</f>
        <v>0</v>
      </c>
      <c r="U509">
        <f>IF(orders[[#This Row],[Status]]="Pending",1,0)</f>
        <v>0</v>
      </c>
      <c r="V509">
        <f>IF(orders[[#This Row],[Status]]="Delayed",1,0)</f>
        <v>1</v>
      </c>
      <c r="W509">
        <f>IF(orders[[#This Row],[Status]]="Cancelled",1,0)</f>
        <v>0</v>
      </c>
    </row>
    <row r="510" spans="1:23" x14ac:dyDescent="0.35">
      <c r="A510" t="s">
        <v>841</v>
      </c>
      <c r="B510" s="1">
        <v>45836</v>
      </c>
      <c r="C510" t="s">
        <v>284</v>
      </c>
      <c r="D510" t="s">
        <v>149</v>
      </c>
      <c r="E510" t="s">
        <v>22</v>
      </c>
      <c r="F510" t="s">
        <v>72</v>
      </c>
      <c r="G510" t="s">
        <v>146</v>
      </c>
      <c r="H510" s="7">
        <v>7</v>
      </c>
      <c r="I510" s="4">
        <v>31495.59</v>
      </c>
      <c r="J510" s="23">
        <v>0.1</v>
      </c>
      <c r="K510" s="4">
        <v>28346.03</v>
      </c>
      <c r="L510" s="4">
        <v>21360.14</v>
      </c>
      <c r="M510" s="4">
        <v>6985.89</v>
      </c>
      <c r="N510" t="s">
        <v>25</v>
      </c>
      <c r="O510" s="7">
        <v>41</v>
      </c>
      <c r="P510" s="2">
        <v>45837.708333333336</v>
      </c>
      <c r="Q510" t="s">
        <v>99</v>
      </c>
      <c r="R510">
        <v>6</v>
      </c>
      <c r="S510" t="s">
        <v>27</v>
      </c>
      <c r="T510">
        <f>IF(orders[[#This Row],[Status]]="Completed",1,0)</f>
        <v>1</v>
      </c>
      <c r="U510">
        <f>IF(orders[[#This Row],[Status]]="Pending",1,0)</f>
        <v>0</v>
      </c>
      <c r="V510">
        <f>IF(orders[[#This Row],[Status]]="Delayed",1,0)</f>
        <v>0</v>
      </c>
      <c r="W510">
        <f>IF(orders[[#This Row],[Status]]="Cancelled",1,0)</f>
        <v>0</v>
      </c>
    </row>
    <row r="511" spans="1:23" x14ac:dyDescent="0.35">
      <c r="A511" t="s">
        <v>842</v>
      </c>
      <c r="B511" s="1">
        <v>45758</v>
      </c>
      <c r="C511" t="s">
        <v>259</v>
      </c>
      <c r="D511" t="s">
        <v>45</v>
      </c>
      <c r="E511" t="s">
        <v>31</v>
      </c>
      <c r="F511" t="s">
        <v>23</v>
      </c>
      <c r="G511" t="s">
        <v>122</v>
      </c>
      <c r="H511" s="7">
        <v>6</v>
      </c>
      <c r="I511" s="4">
        <v>34430.22</v>
      </c>
      <c r="J511" s="23">
        <v>0.15</v>
      </c>
      <c r="K511" s="4">
        <v>29265.69</v>
      </c>
      <c r="L511" s="4">
        <v>21877.57</v>
      </c>
      <c r="M511" s="4">
        <v>7388.12</v>
      </c>
      <c r="N511" t="s">
        <v>85</v>
      </c>
      <c r="O511" s="7">
        <v>69</v>
      </c>
      <c r="P511" s="2">
        <v>45760.875</v>
      </c>
      <c r="Q511" t="s">
        <v>26</v>
      </c>
      <c r="R511">
        <v>4</v>
      </c>
      <c r="S511" t="s">
        <v>27</v>
      </c>
      <c r="T511">
        <f>IF(orders[[#This Row],[Status]]="Completed",1,0)</f>
        <v>0</v>
      </c>
      <c r="U511">
        <f>IF(orders[[#This Row],[Status]]="Pending",1,0)</f>
        <v>0</v>
      </c>
      <c r="V511">
        <f>IF(orders[[#This Row],[Status]]="Delayed",1,0)</f>
        <v>1</v>
      </c>
      <c r="W511">
        <f>IF(orders[[#This Row],[Status]]="Cancelled",1,0)</f>
        <v>0</v>
      </c>
    </row>
    <row r="512" spans="1:23" x14ac:dyDescent="0.35">
      <c r="A512" t="s">
        <v>843</v>
      </c>
      <c r="B512" s="1">
        <v>45925</v>
      </c>
      <c r="C512" t="s">
        <v>614</v>
      </c>
      <c r="D512" t="s">
        <v>149</v>
      </c>
      <c r="E512" t="s">
        <v>52</v>
      </c>
      <c r="F512" t="s">
        <v>39</v>
      </c>
      <c r="G512" t="s">
        <v>40</v>
      </c>
      <c r="H512" s="7">
        <v>6</v>
      </c>
      <c r="I512" s="4">
        <v>41732.28</v>
      </c>
      <c r="J512" s="23">
        <v>0.15</v>
      </c>
      <c r="K512" s="4">
        <v>35472.44</v>
      </c>
      <c r="L512" s="4">
        <v>22934.29</v>
      </c>
      <c r="M512" s="4">
        <v>12538.15</v>
      </c>
      <c r="N512" t="s">
        <v>25</v>
      </c>
      <c r="O512" s="7">
        <v>26</v>
      </c>
      <c r="P512" s="2">
        <v>45926.083333333336</v>
      </c>
      <c r="Q512" t="s">
        <v>41</v>
      </c>
      <c r="R512">
        <v>9</v>
      </c>
      <c r="S512" t="s">
        <v>42</v>
      </c>
      <c r="T512">
        <f>IF(orders[[#This Row],[Status]]="Completed",1,0)</f>
        <v>1</v>
      </c>
      <c r="U512">
        <f>IF(orders[[#This Row],[Status]]="Pending",1,0)</f>
        <v>0</v>
      </c>
      <c r="V512">
        <f>IF(orders[[#This Row],[Status]]="Delayed",1,0)</f>
        <v>0</v>
      </c>
      <c r="W512">
        <f>IF(orders[[#This Row],[Status]]="Cancelled",1,0)</f>
        <v>0</v>
      </c>
    </row>
    <row r="513" spans="1:23" x14ac:dyDescent="0.35">
      <c r="A513" t="s">
        <v>844</v>
      </c>
      <c r="B513" s="1">
        <v>45980</v>
      </c>
      <c r="C513" t="s">
        <v>684</v>
      </c>
      <c r="D513" t="s">
        <v>30</v>
      </c>
      <c r="E513" t="s">
        <v>31</v>
      </c>
      <c r="F513" t="s">
        <v>83</v>
      </c>
      <c r="G513" t="s">
        <v>107</v>
      </c>
      <c r="H513" s="7">
        <v>4</v>
      </c>
      <c r="I513" s="4">
        <v>9306.56</v>
      </c>
      <c r="J513" s="23">
        <v>0.05</v>
      </c>
      <c r="K513" s="4">
        <v>8841.23</v>
      </c>
      <c r="L513" s="4">
        <v>6858.01</v>
      </c>
      <c r="M513" s="4">
        <v>1983.22</v>
      </c>
      <c r="N513" t="s">
        <v>48</v>
      </c>
      <c r="O513" s="7">
        <v>10</v>
      </c>
      <c r="P513" s="2">
        <v>45980.416666666664</v>
      </c>
      <c r="Q513" t="s">
        <v>86</v>
      </c>
      <c r="R513">
        <v>11</v>
      </c>
      <c r="S513" t="s">
        <v>35</v>
      </c>
      <c r="T513">
        <f>IF(orders[[#This Row],[Status]]="Completed",1,0)</f>
        <v>0</v>
      </c>
      <c r="U513">
        <f>IF(orders[[#This Row],[Status]]="Pending",1,0)</f>
        <v>0</v>
      </c>
      <c r="V513">
        <f>IF(orders[[#This Row],[Status]]="Delayed",1,0)</f>
        <v>0</v>
      </c>
      <c r="W513">
        <f>IF(orders[[#This Row],[Status]]="Cancelled",1,0)</f>
        <v>1</v>
      </c>
    </row>
    <row r="514" spans="1:23" x14ac:dyDescent="0.35">
      <c r="A514" t="s">
        <v>845</v>
      </c>
      <c r="B514" s="1">
        <v>45722</v>
      </c>
      <c r="C514" t="s">
        <v>148</v>
      </c>
      <c r="D514" t="s">
        <v>149</v>
      </c>
      <c r="E514" t="s">
        <v>113</v>
      </c>
      <c r="F514" t="s">
        <v>32</v>
      </c>
      <c r="G514" t="s">
        <v>33</v>
      </c>
      <c r="H514" s="7">
        <v>5</v>
      </c>
      <c r="I514" s="4">
        <v>13145.4</v>
      </c>
      <c r="J514" s="23">
        <v>0.15</v>
      </c>
      <c r="K514" s="4">
        <v>11173.59</v>
      </c>
      <c r="L514" s="4">
        <v>9076.1200000000008</v>
      </c>
      <c r="M514" s="4">
        <v>2097.4699999999998</v>
      </c>
      <c r="N514" t="s">
        <v>48</v>
      </c>
      <c r="O514" s="7">
        <v>9</v>
      </c>
      <c r="P514" s="2">
        <v>45722.375</v>
      </c>
      <c r="Q514" t="s">
        <v>54</v>
      </c>
      <c r="R514">
        <v>3</v>
      </c>
      <c r="S514" t="s">
        <v>55</v>
      </c>
      <c r="T514">
        <f>IF(orders[[#This Row],[Status]]="Completed",1,0)</f>
        <v>0</v>
      </c>
      <c r="U514">
        <f>IF(orders[[#This Row],[Status]]="Pending",1,0)</f>
        <v>0</v>
      </c>
      <c r="V514">
        <f>IF(orders[[#This Row],[Status]]="Delayed",1,0)</f>
        <v>0</v>
      </c>
      <c r="W514">
        <f>IF(orders[[#This Row],[Status]]="Cancelled",1,0)</f>
        <v>1</v>
      </c>
    </row>
    <row r="515" spans="1:23" x14ac:dyDescent="0.35">
      <c r="A515" t="s">
        <v>846</v>
      </c>
      <c r="B515" s="1">
        <v>45825</v>
      </c>
      <c r="C515" t="s">
        <v>780</v>
      </c>
      <c r="D515" t="s">
        <v>21</v>
      </c>
      <c r="E515" t="s">
        <v>92</v>
      </c>
      <c r="F515" t="s">
        <v>39</v>
      </c>
      <c r="G515" t="s">
        <v>114</v>
      </c>
      <c r="H515" s="7">
        <v>6</v>
      </c>
      <c r="I515" s="4">
        <v>931.44</v>
      </c>
      <c r="J515" s="23">
        <v>0.1</v>
      </c>
      <c r="K515" s="4">
        <v>838.3</v>
      </c>
      <c r="L515" s="4">
        <v>492.29</v>
      </c>
      <c r="M515" s="4">
        <v>346.01</v>
      </c>
      <c r="N515" t="s">
        <v>25</v>
      </c>
      <c r="O515" s="7">
        <v>30</v>
      </c>
      <c r="P515" s="2">
        <v>45826.25</v>
      </c>
      <c r="Q515" t="s">
        <v>99</v>
      </c>
      <c r="R515">
        <v>6</v>
      </c>
      <c r="S515" t="s">
        <v>27</v>
      </c>
      <c r="T515">
        <f>IF(orders[[#This Row],[Status]]="Completed",1,0)</f>
        <v>1</v>
      </c>
      <c r="U515">
        <f>IF(orders[[#This Row],[Status]]="Pending",1,0)</f>
        <v>0</v>
      </c>
      <c r="V515">
        <f>IF(orders[[#This Row],[Status]]="Delayed",1,0)</f>
        <v>0</v>
      </c>
      <c r="W515">
        <f>IF(orders[[#This Row],[Status]]="Cancelled",1,0)</f>
        <v>0</v>
      </c>
    </row>
    <row r="516" spans="1:23" x14ac:dyDescent="0.35">
      <c r="A516" t="s">
        <v>847</v>
      </c>
      <c r="B516" s="1">
        <v>45987</v>
      </c>
      <c r="C516" t="s">
        <v>179</v>
      </c>
      <c r="D516" t="s">
        <v>21</v>
      </c>
      <c r="E516" t="s">
        <v>113</v>
      </c>
      <c r="F516" t="s">
        <v>23</v>
      </c>
      <c r="G516" t="s">
        <v>69</v>
      </c>
      <c r="H516" s="7">
        <v>6</v>
      </c>
      <c r="I516" s="4">
        <v>49151.040000000001</v>
      </c>
      <c r="J516" s="23">
        <v>0.25</v>
      </c>
      <c r="K516" s="4">
        <v>36863.279999999999</v>
      </c>
      <c r="L516" s="4">
        <v>26765.03</v>
      </c>
      <c r="M516" s="4">
        <v>10098.25</v>
      </c>
      <c r="N516" t="s">
        <v>25</v>
      </c>
      <c r="O516" s="7">
        <v>4</v>
      </c>
      <c r="P516" s="2">
        <v>45987.166666666664</v>
      </c>
      <c r="Q516" t="s">
        <v>86</v>
      </c>
      <c r="R516">
        <v>11</v>
      </c>
      <c r="S516" t="s">
        <v>35</v>
      </c>
      <c r="T516">
        <f>IF(orders[[#This Row],[Status]]="Completed",1,0)</f>
        <v>1</v>
      </c>
      <c r="U516">
        <f>IF(orders[[#This Row],[Status]]="Pending",1,0)</f>
        <v>0</v>
      </c>
      <c r="V516">
        <f>IF(orders[[#This Row],[Status]]="Delayed",1,0)</f>
        <v>0</v>
      </c>
      <c r="W516">
        <f>IF(orders[[#This Row],[Status]]="Cancelled",1,0)</f>
        <v>0</v>
      </c>
    </row>
    <row r="517" spans="1:23" x14ac:dyDescent="0.35">
      <c r="A517" t="s">
        <v>848</v>
      </c>
      <c r="B517" s="1">
        <v>45700</v>
      </c>
      <c r="C517" t="s">
        <v>766</v>
      </c>
      <c r="D517" t="s">
        <v>63</v>
      </c>
      <c r="E517" t="s">
        <v>31</v>
      </c>
      <c r="F517" t="s">
        <v>32</v>
      </c>
      <c r="G517" t="s">
        <v>89</v>
      </c>
      <c r="H517" s="7">
        <v>1</v>
      </c>
      <c r="I517" s="4">
        <v>7811.5</v>
      </c>
      <c r="J517" s="23">
        <v>0.2</v>
      </c>
      <c r="K517" s="4">
        <v>6249.2</v>
      </c>
      <c r="L517" s="4">
        <v>3645.89</v>
      </c>
      <c r="M517" s="4">
        <v>2603.31</v>
      </c>
      <c r="N517" t="s">
        <v>98</v>
      </c>
      <c r="O517" s="7">
        <v>12</v>
      </c>
      <c r="P517" s="2">
        <v>45700.5</v>
      </c>
      <c r="Q517" t="s">
        <v>139</v>
      </c>
      <c r="R517">
        <v>2</v>
      </c>
      <c r="S517" t="s">
        <v>55</v>
      </c>
      <c r="T517">
        <f>IF(orders[[#This Row],[Status]]="Completed",1,0)</f>
        <v>0</v>
      </c>
      <c r="U517">
        <f>IF(orders[[#This Row],[Status]]="Pending",1,0)</f>
        <v>1</v>
      </c>
      <c r="V517">
        <f>IF(orders[[#This Row],[Status]]="Delayed",1,0)</f>
        <v>0</v>
      </c>
      <c r="W517">
        <f>IF(orders[[#This Row],[Status]]="Cancelled",1,0)</f>
        <v>0</v>
      </c>
    </row>
    <row r="518" spans="1:23" x14ac:dyDescent="0.35">
      <c r="A518" t="s">
        <v>849</v>
      </c>
      <c r="B518" s="1">
        <v>45701</v>
      </c>
      <c r="C518" t="s">
        <v>177</v>
      </c>
      <c r="D518" t="s">
        <v>38</v>
      </c>
      <c r="E518" t="s">
        <v>78</v>
      </c>
      <c r="F518" t="s">
        <v>72</v>
      </c>
      <c r="G518" t="s">
        <v>104</v>
      </c>
      <c r="H518" s="7">
        <v>1</v>
      </c>
      <c r="I518" s="4">
        <v>6534.15</v>
      </c>
      <c r="J518" s="23">
        <v>0.15</v>
      </c>
      <c r="K518" s="4">
        <v>5554.03</v>
      </c>
      <c r="L518" s="4">
        <v>4654</v>
      </c>
      <c r="M518" s="4">
        <v>900.03</v>
      </c>
      <c r="N518" t="s">
        <v>48</v>
      </c>
      <c r="O518" s="7">
        <v>5</v>
      </c>
      <c r="P518" s="2">
        <v>45701.208333333336</v>
      </c>
      <c r="Q518" t="s">
        <v>139</v>
      </c>
      <c r="R518">
        <v>2</v>
      </c>
      <c r="S518" t="s">
        <v>55</v>
      </c>
      <c r="T518">
        <f>IF(orders[[#This Row],[Status]]="Completed",1,0)</f>
        <v>0</v>
      </c>
      <c r="U518">
        <f>IF(orders[[#This Row],[Status]]="Pending",1,0)</f>
        <v>0</v>
      </c>
      <c r="V518">
        <f>IF(orders[[#This Row],[Status]]="Delayed",1,0)</f>
        <v>0</v>
      </c>
      <c r="W518">
        <f>IF(orders[[#This Row],[Status]]="Cancelled",1,0)</f>
        <v>1</v>
      </c>
    </row>
    <row r="519" spans="1:23" x14ac:dyDescent="0.35">
      <c r="A519" t="s">
        <v>850</v>
      </c>
      <c r="B519" s="1">
        <v>45942</v>
      </c>
      <c r="C519" t="s">
        <v>493</v>
      </c>
      <c r="D519" t="s">
        <v>30</v>
      </c>
      <c r="E519" t="s">
        <v>78</v>
      </c>
      <c r="F519" t="s">
        <v>83</v>
      </c>
      <c r="G519" t="s">
        <v>107</v>
      </c>
      <c r="H519" s="7">
        <v>1</v>
      </c>
      <c r="I519" s="4">
        <v>810.28</v>
      </c>
      <c r="J519" s="23">
        <v>0.15</v>
      </c>
      <c r="K519" s="4">
        <v>688.74</v>
      </c>
      <c r="L519" s="4">
        <v>494.18</v>
      </c>
      <c r="M519" s="4">
        <v>194.56</v>
      </c>
      <c r="N519" t="s">
        <v>25</v>
      </c>
      <c r="O519" s="7">
        <v>48</v>
      </c>
      <c r="P519" s="2">
        <v>45944</v>
      </c>
      <c r="Q519" t="s">
        <v>116</v>
      </c>
      <c r="R519">
        <v>10</v>
      </c>
      <c r="S519" t="s">
        <v>35</v>
      </c>
      <c r="T519">
        <f>IF(orders[[#This Row],[Status]]="Completed",1,0)</f>
        <v>1</v>
      </c>
      <c r="U519">
        <f>IF(orders[[#This Row],[Status]]="Pending",1,0)</f>
        <v>0</v>
      </c>
      <c r="V519">
        <f>IF(orders[[#This Row],[Status]]="Delayed",1,0)</f>
        <v>0</v>
      </c>
      <c r="W519">
        <f>IF(orders[[#This Row],[Status]]="Cancelled",1,0)</f>
        <v>0</v>
      </c>
    </row>
    <row r="520" spans="1:23" x14ac:dyDescent="0.35">
      <c r="A520" t="s">
        <v>851</v>
      </c>
      <c r="B520" s="1">
        <v>45669</v>
      </c>
      <c r="C520" t="s">
        <v>392</v>
      </c>
      <c r="D520" t="s">
        <v>51</v>
      </c>
      <c r="E520" t="s">
        <v>113</v>
      </c>
      <c r="F520" t="s">
        <v>72</v>
      </c>
      <c r="G520" t="s">
        <v>119</v>
      </c>
      <c r="H520" s="7">
        <v>2</v>
      </c>
      <c r="I520" s="4">
        <v>7773.3</v>
      </c>
      <c r="J520" s="23">
        <v>0.05</v>
      </c>
      <c r="K520" s="4">
        <v>7384.64</v>
      </c>
      <c r="L520" s="4">
        <v>6030.51</v>
      </c>
      <c r="M520" s="4">
        <v>1354.13</v>
      </c>
      <c r="N520" t="s">
        <v>25</v>
      </c>
      <c r="O520" s="7">
        <v>6</v>
      </c>
      <c r="P520" s="2">
        <v>45669.25</v>
      </c>
      <c r="Q520" t="s">
        <v>65</v>
      </c>
      <c r="R520">
        <v>1</v>
      </c>
      <c r="S520" t="s">
        <v>55</v>
      </c>
      <c r="T520">
        <f>IF(orders[[#This Row],[Status]]="Completed",1,0)</f>
        <v>1</v>
      </c>
      <c r="U520">
        <f>IF(orders[[#This Row],[Status]]="Pending",1,0)</f>
        <v>0</v>
      </c>
      <c r="V520">
        <f>IF(orders[[#This Row],[Status]]="Delayed",1,0)</f>
        <v>0</v>
      </c>
      <c r="W520">
        <f>IF(orders[[#This Row],[Status]]="Cancelled",1,0)</f>
        <v>0</v>
      </c>
    </row>
    <row r="521" spans="1:23" x14ac:dyDescent="0.35">
      <c r="A521" t="s">
        <v>852</v>
      </c>
      <c r="B521" s="1">
        <v>45752</v>
      </c>
      <c r="C521" t="s">
        <v>853</v>
      </c>
      <c r="D521" t="s">
        <v>68</v>
      </c>
      <c r="E521" t="s">
        <v>78</v>
      </c>
      <c r="F521" t="s">
        <v>23</v>
      </c>
      <c r="G521" t="s">
        <v>136</v>
      </c>
      <c r="H521" s="7">
        <v>6</v>
      </c>
      <c r="I521" s="4">
        <v>6004.8</v>
      </c>
      <c r="J521" s="23">
        <v>0.15</v>
      </c>
      <c r="K521" s="4">
        <v>5104.08</v>
      </c>
      <c r="L521" s="4">
        <v>3427.23</v>
      </c>
      <c r="M521" s="4">
        <v>1676.85</v>
      </c>
      <c r="N521" t="s">
        <v>25</v>
      </c>
      <c r="O521" s="7">
        <v>40</v>
      </c>
      <c r="P521" s="2">
        <v>45753.666666666664</v>
      </c>
      <c r="Q521" t="s">
        <v>26</v>
      </c>
      <c r="R521">
        <v>4</v>
      </c>
      <c r="S521" t="s">
        <v>27</v>
      </c>
      <c r="T521">
        <f>IF(orders[[#This Row],[Status]]="Completed",1,0)</f>
        <v>1</v>
      </c>
      <c r="U521">
        <f>IF(orders[[#This Row],[Status]]="Pending",1,0)</f>
        <v>0</v>
      </c>
      <c r="V521">
        <f>IF(orders[[#This Row],[Status]]="Delayed",1,0)</f>
        <v>0</v>
      </c>
      <c r="W521">
        <f>IF(orders[[#This Row],[Status]]="Cancelled",1,0)</f>
        <v>0</v>
      </c>
    </row>
    <row r="522" spans="1:23" x14ac:dyDescent="0.35">
      <c r="A522" t="s">
        <v>854</v>
      </c>
      <c r="B522" s="1">
        <v>45959</v>
      </c>
      <c r="C522" t="s">
        <v>288</v>
      </c>
      <c r="D522" t="s">
        <v>149</v>
      </c>
      <c r="E522" t="s">
        <v>59</v>
      </c>
      <c r="F522" t="s">
        <v>32</v>
      </c>
      <c r="G522" t="s">
        <v>33</v>
      </c>
      <c r="H522" s="7">
        <v>2</v>
      </c>
      <c r="I522" s="4">
        <v>565.86</v>
      </c>
      <c r="J522" s="23">
        <v>0.05</v>
      </c>
      <c r="K522" s="4">
        <v>537.57000000000005</v>
      </c>
      <c r="L522" s="4">
        <v>317.85000000000002</v>
      </c>
      <c r="M522" s="4">
        <v>219.72</v>
      </c>
      <c r="N522" t="s">
        <v>25</v>
      </c>
      <c r="O522" s="7">
        <v>34</v>
      </c>
      <c r="P522" s="2">
        <v>45960.416666666664</v>
      </c>
      <c r="Q522" t="s">
        <v>116</v>
      </c>
      <c r="R522">
        <v>10</v>
      </c>
      <c r="S522" t="s">
        <v>35</v>
      </c>
      <c r="T522">
        <f>IF(orders[[#This Row],[Status]]="Completed",1,0)</f>
        <v>1</v>
      </c>
      <c r="U522">
        <f>IF(orders[[#This Row],[Status]]="Pending",1,0)</f>
        <v>0</v>
      </c>
      <c r="V522">
        <f>IF(orders[[#This Row],[Status]]="Delayed",1,0)</f>
        <v>0</v>
      </c>
      <c r="W522">
        <f>IF(orders[[#This Row],[Status]]="Cancelled",1,0)</f>
        <v>0</v>
      </c>
    </row>
    <row r="523" spans="1:23" x14ac:dyDescent="0.35">
      <c r="A523" t="s">
        <v>855</v>
      </c>
      <c r="B523" s="1">
        <v>45910</v>
      </c>
      <c r="C523" t="s">
        <v>307</v>
      </c>
      <c r="D523" t="s">
        <v>38</v>
      </c>
      <c r="E523" t="s">
        <v>113</v>
      </c>
      <c r="F523" t="s">
        <v>23</v>
      </c>
      <c r="G523" t="s">
        <v>69</v>
      </c>
      <c r="H523" s="7">
        <v>5</v>
      </c>
      <c r="I523" s="4">
        <v>26475.65</v>
      </c>
      <c r="J523" s="23">
        <v>0.05</v>
      </c>
      <c r="K523" s="4">
        <v>25151.87</v>
      </c>
      <c r="L523" s="4">
        <v>14177.98</v>
      </c>
      <c r="M523" s="4">
        <v>10973.89</v>
      </c>
      <c r="N523" t="s">
        <v>85</v>
      </c>
      <c r="O523" s="7">
        <v>50</v>
      </c>
      <c r="P523" s="2">
        <v>45912.083333333336</v>
      </c>
      <c r="Q523" t="s">
        <v>41</v>
      </c>
      <c r="R523">
        <v>9</v>
      </c>
      <c r="S523" t="s">
        <v>42</v>
      </c>
      <c r="T523">
        <f>IF(orders[[#This Row],[Status]]="Completed",1,0)</f>
        <v>0</v>
      </c>
      <c r="U523">
        <f>IF(orders[[#This Row],[Status]]="Pending",1,0)</f>
        <v>0</v>
      </c>
      <c r="V523">
        <f>IF(orders[[#This Row],[Status]]="Delayed",1,0)</f>
        <v>1</v>
      </c>
      <c r="W523">
        <f>IF(orders[[#This Row],[Status]]="Cancelled",1,0)</f>
        <v>0</v>
      </c>
    </row>
    <row r="524" spans="1:23" x14ac:dyDescent="0.35">
      <c r="A524" t="s">
        <v>856</v>
      </c>
      <c r="B524" s="1">
        <v>45899</v>
      </c>
      <c r="C524" t="s">
        <v>662</v>
      </c>
      <c r="D524" t="s">
        <v>63</v>
      </c>
      <c r="E524" t="s">
        <v>22</v>
      </c>
      <c r="F524" t="s">
        <v>32</v>
      </c>
      <c r="G524" t="s">
        <v>79</v>
      </c>
      <c r="H524" s="7">
        <v>7</v>
      </c>
      <c r="I524" s="4">
        <v>57210.51</v>
      </c>
      <c r="J524" s="23">
        <v>0.05</v>
      </c>
      <c r="K524" s="4">
        <v>54349.98</v>
      </c>
      <c r="L524" s="4">
        <v>34941.5</v>
      </c>
      <c r="M524" s="4">
        <v>19408.48</v>
      </c>
      <c r="N524" t="s">
        <v>85</v>
      </c>
      <c r="O524" s="7">
        <v>63</v>
      </c>
      <c r="P524" s="2">
        <v>45901.625</v>
      </c>
      <c r="Q524" t="s">
        <v>80</v>
      </c>
      <c r="R524">
        <v>8</v>
      </c>
      <c r="S524" t="s">
        <v>42</v>
      </c>
      <c r="T524">
        <f>IF(orders[[#This Row],[Status]]="Completed",1,0)</f>
        <v>0</v>
      </c>
      <c r="U524">
        <f>IF(orders[[#This Row],[Status]]="Pending",1,0)</f>
        <v>0</v>
      </c>
      <c r="V524">
        <f>IF(orders[[#This Row],[Status]]="Delayed",1,0)</f>
        <v>1</v>
      </c>
      <c r="W524">
        <f>IF(orders[[#This Row],[Status]]="Cancelled",1,0)</f>
        <v>0</v>
      </c>
    </row>
    <row r="525" spans="1:23" x14ac:dyDescent="0.35">
      <c r="A525" t="s">
        <v>857</v>
      </c>
      <c r="B525" s="1">
        <v>45692</v>
      </c>
      <c r="C525" t="s">
        <v>556</v>
      </c>
      <c r="D525" t="s">
        <v>58</v>
      </c>
      <c r="E525" t="s">
        <v>59</v>
      </c>
      <c r="F525" t="s">
        <v>39</v>
      </c>
      <c r="G525" t="s">
        <v>114</v>
      </c>
      <c r="H525" s="7">
        <v>4</v>
      </c>
      <c r="I525" s="4">
        <v>30755.8</v>
      </c>
      <c r="J525" s="23">
        <v>0.15</v>
      </c>
      <c r="K525" s="4">
        <v>26142.43</v>
      </c>
      <c r="L525" s="4">
        <v>16485.34</v>
      </c>
      <c r="M525" s="4">
        <v>9657.09</v>
      </c>
      <c r="N525" t="s">
        <v>98</v>
      </c>
      <c r="O525" s="7">
        <v>13</v>
      </c>
      <c r="P525" s="2">
        <v>45692.541666666664</v>
      </c>
      <c r="Q525" t="s">
        <v>139</v>
      </c>
      <c r="R525">
        <v>2</v>
      </c>
      <c r="S525" t="s">
        <v>55</v>
      </c>
      <c r="T525">
        <f>IF(orders[[#This Row],[Status]]="Completed",1,0)</f>
        <v>0</v>
      </c>
      <c r="U525">
        <f>IF(orders[[#This Row],[Status]]="Pending",1,0)</f>
        <v>1</v>
      </c>
      <c r="V525">
        <f>IF(orders[[#This Row],[Status]]="Delayed",1,0)</f>
        <v>0</v>
      </c>
      <c r="W525">
        <f>IF(orders[[#This Row],[Status]]="Cancelled",1,0)</f>
        <v>0</v>
      </c>
    </row>
    <row r="526" spans="1:23" x14ac:dyDescent="0.35">
      <c r="A526" t="s">
        <v>858</v>
      </c>
      <c r="B526" s="1">
        <v>45872</v>
      </c>
      <c r="C526" t="s">
        <v>363</v>
      </c>
      <c r="D526" t="s">
        <v>51</v>
      </c>
      <c r="E526" t="s">
        <v>22</v>
      </c>
      <c r="F526" t="s">
        <v>83</v>
      </c>
      <c r="G526" t="s">
        <v>152</v>
      </c>
      <c r="H526" s="7">
        <v>6</v>
      </c>
      <c r="I526" s="4">
        <v>35807.4</v>
      </c>
      <c r="J526" s="23">
        <v>0</v>
      </c>
      <c r="K526" s="4">
        <v>35807.4</v>
      </c>
      <c r="L526" s="4">
        <v>26315.439999999999</v>
      </c>
      <c r="M526" s="4">
        <v>9491.9599999999991</v>
      </c>
      <c r="N526" t="s">
        <v>25</v>
      </c>
      <c r="O526" s="7">
        <v>38</v>
      </c>
      <c r="P526" s="2">
        <v>45873.583333333336</v>
      </c>
      <c r="Q526" t="s">
        <v>80</v>
      </c>
      <c r="R526">
        <v>8</v>
      </c>
      <c r="S526" t="s">
        <v>42</v>
      </c>
      <c r="T526">
        <f>IF(orders[[#This Row],[Status]]="Completed",1,0)</f>
        <v>1</v>
      </c>
      <c r="U526">
        <f>IF(orders[[#This Row],[Status]]="Pending",1,0)</f>
        <v>0</v>
      </c>
      <c r="V526">
        <f>IF(orders[[#This Row],[Status]]="Delayed",1,0)</f>
        <v>0</v>
      </c>
      <c r="W526">
        <f>IF(orders[[#This Row],[Status]]="Cancelled",1,0)</f>
        <v>0</v>
      </c>
    </row>
    <row r="527" spans="1:23" x14ac:dyDescent="0.35">
      <c r="A527" t="s">
        <v>859</v>
      </c>
      <c r="B527" s="1">
        <v>45994</v>
      </c>
      <c r="C527" t="s">
        <v>71</v>
      </c>
      <c r="D527" t="s">
        <v>77</v>
      </c>
      <c r="E527" t="s">
        <v>46</v>
      </c>
      <c r="F527" t="s">
        <v>39</v>
      </c>
      <c r="G527" t="s">
        <v>40</v>
      </c>
      <c r="H527" s="7">
        <v>4</v>
      </c>
      <c r="I527" s="4">
        <v>3827.8</v>
      </c>
      <c r="J527" s="23">
        <v>0.1</v>
      </c>
      <c r="K527" s="4">
        <v>3445.02</v>
      </c>
      <c r="L527" s="4">
        <v>1919.47</v>
      </c>
      <c r="M527" s="4">
        <v>1525.55</v>
      </c>
      <c r="N527" t="s">
        <v>25</v>
      </c>
      <c r="O527" s="7">
        <v>9</v>
      </c>
      <c r="P527" s="2">
        <v>45994.375</v>
      </c>
      <c r="Q527" t="s">
        <v>34</v>
      </c>
      <c r="R527">
        <v>12</v>
      </c>
      <c r="S527" t="s">
        <v>35</v>
      </c>
      <c r="T527">
        <f>IF(orders[[#This Row],[Status]]="Completed",1,0)</f>
        <v>1</v>
      </c>
      <c r="U527">
        <f>IF(orders[[#This Row],[Status]]="Pending",1,0)</f>
        <v>0</v>
      </c>
      <c r="V527">
        <f>IF(orders[[#This Row],[Status]]="Delayed",1,0)</f>
        <v>0</v>
      </c>
      <c r="W527">
        <f>IF(orders[[#This Row],[Status]]="Cancelled",1,0)</f>
        <v>0</v>
      </c>
    </row>
    <row r="528" spans="1:23" x14ac:dyDescent="0.35">
      <c r="A528" t="s">
        <v>860</v>
      </c>
      <c r="B528" s="1">
        <v>45747</v>
      </c>
      <c r="C528" t="s">
        <v>861</v>
      </c>
      <c r="D528" t="s">
        <v>38</v>
      </c>
      <c r="E528" t="s">
        <v>46</v>
      </c>
      <c r="F528" t="s">
        <v>39</v>
      </c>
      <c r="G528" t="s">
        <v>93</v>
      </c>
      <c r="H528" s="7">
        <v>7</v>
      </c>
      <c r="I528" s="4">
        <v>17074.89</v>
      </c>
      <c r="J528" s="23">
        <v>0.1</v>
      </c>
      <c r="K528" s="4">
        <v>15367.4</v>
      </c>
      <c r="L528" s="4">
        <v>11092.01</v>
      </c>
      <c r="M528" s="4">
        <v>4275.3900000000003</v>
      </c>
      <c r="N528" t="s">
        <v>25</v>
      </c>
      <c r="O528" s="7">
        <v>6</v>
      </c>
      <c r="P528" s="2">
        <v>45747.25</v>
      </c>
      <c r="Q528" t="s">
        <v>54</v>
      </c>
      <c r="R528">
        <v>3</v>
      </c>
      <c r="S528" t="s">
        <v>55</v>
      </c>
      <c r="T528">
        <f>IF(orders[[#This Row],[Status]]="Completed",1,0)</f>
        <v>1</v>
      </c>
      <c r="U528">
        <f>IF(orders[[#This Row],[Status]]="Pending",1,0)</f>
        <v>0</v>
      </c>
      <c r="V528">
        <f>IF(orders[[#This Row],[Status]]="Delayed",1,0)</f>
        <v>0</v>
      </c>
      <c r="W528">
        <f>IF(orders[[#This Row],[Status]]="Cancelled",1,0)</f>
        <v>0</v>
      </c>
    </row>
    <row r="529" spans="1:23" x14ac:dyDescent="0.35">
      <c r="A529" t="s">
        <v>862</v>
      </c>
      <c r="B529" s="1">
        <v>45921</v>
      </c>
      <c r="C529" t="s">
        <v>627</v>
      </c>
      <c r="D529" t="s">
        <v>58</v>
      </c>
      <c r="E529" t="s">
        <v>113</v>
      </c>
      <c r="F529" t="s">
        <v>23</v>
      </c>
      <c r="G529" t="s">
        <v>122</v>
      </c>
      <c r="H529" s="7">
        <v>1</v>
      </c>
      <c r="I529" s="4">
        <v>2822.47</v>
      </c>
      <c r="J529" s="23">
        <v>0</v>
      </c>
      <c r="K529" s="4">
        <v>2822.47</v>
      </c>
      <c r="L529" s="4">
        <v>1917.26</v>
      </c>
      <c r="M529" s="4">
        <v>905.21</v>
      </c>
      <c r="N529" t="s">
        <v>25</v>
      </c>
      <c r="O529" s="7">
        <v>8</v>
      </c>
      <c r="P529" s="2">
        <v>45921.333333333336</v>
      </c>
      <c r="Q529" t="s">
        <v>41</v>
      </c>
      <c r="R529">
        <v>9</v>
      </c>
      <c r="S529" t="s">
        <v>42</v>
      </c>
      <c r="T529">
        <f>IF(orders[[#This Row],[Status]]="Completed",1,0)</f>
        <v>1</v>
      </c>
      <c r="U529">
        <f>IF(orders[[#This Row],[Status]]="Pending",1,0)</f>
        <v>0</v>
      </c>
      <c r="V529">
        <f>IF(orders[[#This Row],[Status]]="Delayed",1,0)</f>
        <v>0</v>
      </c>
      <c r="W529">
        <f>IF(orders[[#This Row],[Status]]="Cancelled",1,0)</f>
        <v>0</v>
      </c>
    </row>
    <row r="530" spans="1:23" x14ac:dyDescent="0.35">
      <c r="A530" t="s">
        <v>863</v>
      </c>
      <c r="B530" s="1">
        <v>45750</v>
      </c>
      <c r="C530" t="s">
        <v>246</v>
      </c>
      <c r="D530" t="s">
        <v>30</v>
      </c>
      <c r="E530" t="s">
        <v>59</v>
      </c>
      <c r="F530" t="s">
        <v>83</v>
      </c>
      <c r="G530" t="s">
        <v>182</v>
      </c>
      <c r="H530" s="7">
        <v>6</v>
      </c>
      <c r="I530" s="4">
        <v>39133.800000000003</v>
      </c>
      <c r="J530" s="23">
        <v>0</v>
      </c>
      <c r="K530" s="4">
        <v>39133.800000000003</v>
      </c>
      <c r="L530" s="4">
        <v>28976.639999999999</v>
      </c>
      <c r="M530" s="4">
        <v>10157.16</v>
      </c>
      <c r="N530" t="s">
        <v>25</v>
      </c>
      <c r="O530" s="7">
        <v>12</v>
      </c>
      <c r="P530" s="2">
        <v>45750.5</v>
      </c>
      <c r="Q530" t="s">
        <v>26</v>
      </c>
      <c r="R530">
        <v>4</v>
      </c>
      <c r="S530" t="s">
        <v>27</v>
      </c>
      <c r="T530">
        <f>IF(orders[[#This Row],[Status]]="Completed",1,0)</f>
        <v>1</v>
      </c>
      <c r="U530">
        <f>IF(orders[[#This Row],[Status]]="Pending",1,0)</f>
        <v>0</v>
      </c>
      <c r="V530">
        <f>IF(orders[[#This Row],[Status]]="Delayed",1,0)</f>
        <v>0</v>
      </c>
      <c r="W530">
        <f>IF(orders[[#This Row],[Status]]="Cancelled",1,0)</f>
        <v>0</v>
      </c>
    </row>
    <row r="531" spans="1:23" x14ac:dyDescent="0.35">
      <c r="A531" t="s">
        <v>864</v>
      </c>
      <c r="B531" s="1">
        <v>45747</v>
      </c>
      <c r="C531" t="s">
        <v>265</v>
      </c>
      <c r="D531" t="s">
        <v>63</v>
      </c>
      <c r="E531" t="s">
        <v>78</v>
      </c>
      <c r="F531" t="s">
        <v>32</v>
      </c>
      <c r="G531" t="s">
        <v>79</v>
      </c>
      <c r="H531" s="7">
        <v>3</v>
      </c>
      <c r="I531" s="4">
        <v>20546.34</v>
      </c>
      <c r="J531" s="23">
        <v>0.15</v>
      </c>
      <c r="K531" s="4">
        <v>17464.39</v>
      </c>
      <c r="L531" s="4">
        <v>13653.62</v>
      </c>
      <c r="M531" s="4">
        <v>3810.77</v>
      </c>
      <c r="N531" t="s">
        <v>25</v>
      </c>
      <c r="O531" s="7">
        <v>31</v>
      </c>
      <c r="P531" s="2">
        <v>45748.291666666664</v>
      </c>
      <c r="Q531" t="s">
        <v>54</v>
      </c>
      <c r="R531">
        <v>3</v>
      </c>
      <c r="S531" t="s">
        <v>55</v>
      </c>
      <c r="T531">
        <f>IF(orders[[#This Row],[Status]]="Completed",1,0)</f>
        <v>1</v>
      </c>
      <c r="U531">
        <f>IF(orders[[#This Row],[Status]]="Pending",1,0)</f>
        <v>0</v>
      </c>
      <c r="V531">
        <f>IF(orders[[#This Row],[Status]]="Delayed",1,0)</f>
        <v>0</v>
      </c>
      <c r="W531">
        <f>IF(orders[[#This Row],[Status]]="Cancelled",1,0)</f>
        <v>0</v>
      </c>
    </row>
    <row r="532" spans="1:23" x14ac:dyDescent="0.35">
      <c r="A532" t="s">
        <v>865</v>
      </c>
      <c r="B532" s="1">
        <v>45772</v>
      </c>
      <c r="C532" t="s">
        <v>722</v>
      </c>
      <c r="D532" t="s">
        <v>51</v>
      </c>
      <c r="E532" t="s">
        <v>59</v>
      </c>
      <c r="F532" t="s">
        <v>32</v>
      </c>
      <c r="G532" t="s">
        <v>33</v>
      </c>
      <c r="H532" s="7">
        <v>2</v>
      </c>
      <c r="I532" s="4">
        <v>6731.28</v>
      </c>
      <c r="J532" s="23">
        <v>0.15</v>
      </c>
      <c r="K532" s="4">
        <v>5721.59</v>
      </c>
      <c r="L532" s="4">
        <v>4344.12</v>
      </c>
      <c r="M532" s="4">
        <v>1377.47</v>
      </c>
      <c r="N532" t="s">
        <v>98</v>
      </c>
      <c r="O532" s="7">
        <v>14</v>
      </c>
      <c r="P532" s="2">
        <v>45772.583333333336</v>
      </c>
      <c r="Q532" t="s">
        <v>26</v>
      </c>
      <c r="R532">
        <v>4</v>
      </c>
      <c r="S532" t="s">
        <v>27</v>
      </c>
      <c r="T532">
        <f>IF(orders[[#This Row],[Status]]="Completed",1,0)</f>
        <v>0</v>
      </c>
      <c r="U532">
        <f>IF(orders[[#This Row],[Status]]="Pending",1,0)</f>
        <v>1</v>
      </c>
      <c r="V532">
        <f>IF(orders[[#This Row],[Status]]="Delayed",1,0)</f>
        <v>0</v>
      </c>
      <c r="W532">
        <f>IF(orders[[#This Row],[Status]]="Cancelled",1,0)</f>
        <v>0</v>
      </c>
    </row>
    <row r="533" spans="1:23" x14ac:dyDescent="0.35">
      <c r="A533" t="s">
        <v>866</v>
      </c>
      <c r="B533" s="1">
        <v>45762</v>
      </c>
      <c r="C533" t="s">
        <v>397</v>
      </c>
      <c r="D533" t="s">
        <v>51</v>
      </c>
      <c r="E533" t="s">
        <v>46</v>
      </c>
      <c r="F533" t="s">
        <v>72</v>
      </c>
      <c r="G533" t="s">
        <v>73</v>
      </c>
      <c r="H533" s="7">
        <v>2</v>
      </c>
      <c r="I533" s="4">
        <v>7278.66</v>
      </c>
      <c r="J533" s="23">
        <v>0.05</v>
      </c>
      <c r="K533" s="4">
        <v>6914.73</v>
      </c>
      <c r="L533" s="4">
        <v>6049.92</v>
      </c>
      <c r="M533" s="4">
        <v>864.81</v>
      </c>
      <c r="N533" t="s">
        <v>25</v>
      </c>
      <c r="O533" s="7">
        <v>31</v>
      </c>
      <c r="P533" s="2">
        <v>45763.291666666664</v>
      </c>
      <c r="Q533" t="s">
        <v>26</v>
      </c>
      <c r="R533">
        <v>4</v>
      </c>
      <c r="S533" t="s">
        <v>27</v>
      </c>
      <c r="T533">
        <f>IF(orders[[#This Row],[Status]]="Completed",1,0)</f>
        <v>1</v>
      </c>
      <c r="U533">
        <f>IF(orders[[#This Row],[Status]]="Pending",1,0)</f>
        <v>0</v>
      </c>
      <c r="V533">
        <f>IF(orders[[#This Row],[Status]]="Delayed",1,0)</f>
        <v>0</v>
      </c>
      <c r="W533">
        <f>IF(orders[[#This Row],[Status]]="Cancelled",1,0)</f>
        <v>0</v>
      </c>
    </row>
    <row r="534" spans="1:23" x14ac:dyDescent="0.35">
      <c r="A534" t="s">
        <v>867</v>
      </c>
      <c r="B534" s="1">
        <v>45853</v>
      </c>
      <c r="C534" t="s">
        <v>868</v>
      </c>
      <c r="D534" t="s">
        <v>51</v>
      </c>
      <c r="E534" t="s">
        <v>113</v>
      </c>
      <c r="F534" t="s">
        <v>32</v>
      </c>
      <c r="G534" t="s">
        <v>79</v>
      </c>
      <c r="H534" s="7">
        <v>6</v>
      </c>
      <c r="I534" s="4">
        <v>3129.9</v>
      </c>
      <c r="J534" s="23">
        <v>0.2</v>
      </c>
      <c r="K534" s="4">
        <v>2503.92</v>
      </c>
      <c r="L534" s="4">
        <v>1491.4</v>
      </c>
      <c r="M534" s="4">
        <v>1012.52</v>
      </c>
      <c r="N534" t="s">
        <v>98</v>
      </c>
      <c r="O534" s="7">
        <v>0</v>
      </c>
      <c r="P534" s="2">
        <v>45853</v>
      </c>
      <c r="Q534" t="s">
        <v>60</v>
      </c>
      <c r="R534">
        <v>7</v>
      </c>
      <c r="S534" t="s">
        <v>42</v>
      </c>
      <c r="T534">
        <f>IF(orders[[#This Row],[Status]]="Completed",1,0)</f>
        <v>0</v>
      </c>
      <c r="U534">
        <f>IF(orders[[#This Row],[Status]]="Pending",1,0)</f>
        <v>1</v>
      </c>
      <c r="V534">
        <f>IF(orders[[#This Row],[Status]]="Delayed",1,0)</f>
        <v>0</v>
      </c>
      <c r="W534">
        <f>IF(orders[[#This Row],[Status]]="Cancelled",1,0)</f>
        <v>0</v>
      </c>
    </row>
    <row r="535" spans="1:23" x14ac:dyDescent="0.35">
      <c r="A535" t="s">
        <v>869</v>
      </c>
      <c r="B535" s="1">
        <v>45971</v>
      </c>
      <c r="C535" t="s">
        <v>736</v>
      </c>
      <c r="D535" t="s">
        <v>30</v>
      </c>
      <c r="E535" t="s">
        <v>52</v>
      </c>
      <c r="F535" t="s">
        <v>23</v>
      </c>
      <c r="G535" t="s">
        <v>136</v>
      </c>
      <c r="H535" s="7">
        <v>7</v>
      </c>
      <c r="I535" s="4">
        <v>17950.03</v>
      </c>
      <c r="J535" s="23">
        <v>0.15</v>
      </c>
      <c r="K535" s="4">
        <v>15257.53</v>
      </c>
      <c r="L535" s="4">
        <v>10555.36</v>
      </c>
      <c r="M535" s="4">
        <v>4702.17</v>
      </c>
      <c r="N535" t="s">
        <v>25</v>
      </c>
      <c r="O535" s="7">
        <v>16</v>
      </c>
      <c r="P535" s="2">
        <v>45971.666666666664</v>
      </c>
      <c r="Q535" t="s">
        <v>86</v>
      </c>
      <c r="R535">
        <v>11</v>
      </c>
      <c r="S535" t="s">
        <v>35</v>
      </c>
      <c r="T535">
        <f>IF(orders[[#This Row],[Status]]="Completed",1,0)</f>
        <v>1</v>
      </c>
      <c r="U535">
        <f>IF(orders[[#This Row],[Status]]="Pending",1,0)</f>
        <v>0</v>
      </c>
      <c r="V535">
        <f>IF(orders[[#This Row],[Status]]="Delayed",1,0)</f>
        <v>0</v>
      </c>
      <c r="W535">
        <f>IF(orders[[#This Row],[Status]]="Cancelled",1,0)</f>
        <v>0</v>
      </c>
    </row>
    <row r="536" spans="1:23" x14ac:dyDescent="0.35">
      <c r="A536" t="s">
        <v>870</v>
      </c>
      <c r="B536" s="1">
        <v>45771</v>
      </c>
      <c r="C536" t="s">
        <v>229</v>
      </c>
      <c r="D536" t="s">
        <v>149</v>
      </c>
      <c r="E536" t="s">
        <v>92</v>
      </c>
      <c r="F536" t="s">
        <v>39</v>
      </c>
      <c r="G536" t="s">
        <v>40</v>
      </c>
      <c r="H536" s="7">
        <v>1</v>
      </c>
      <c r="I536" s="4">
        <v>3918.23</v>
      </c>
      <c r="J536" s="23">
        <v>0.05</v>
      </c>
      <c r="K536" s="4">
        <v>3722.32</v>
      </c>
      <c r="L536" s="4">
        <v>2569.12</v>
      </c>
      <c r="M536" s="4">
        <v>1153.2</v>
      </c>
      <c r="N536" t="s">
        <v>25</v>
      </c>
      <c r="O536" s="7">
        <v>41</v>
      </c>
      <c r="P536" s="2">
        <v>45772.708333333336</v>
      </c>
      <c r="Q536" t="s">
        <v>26</v>
      </c>
      <c r="R536">
        <v>4</v>
      </c>
      <c r="S536" t="s">
        <v>27</v>
      </c>
      <c r="T536">
        <f>IF(orders[[#This Row],[Status]]="Completed",1,0)</f>
        <v>1</v>
      </c>
      <c r="U536">
        <f>IF(orders[[#This Row],[Status]]="Pending",1,0)</f>
        <v>0</v>
      </c>
      <c r="V536">
        <f>IF(orders[[#This Row],[Status]]="Delayed",1,0)</f>
        <v>0</v>
      </c>
      <c r="W536">
        <f>IF(orders[[#This Row],[Status]]="Cancelled",1,0)</f>
        <v>0</v>
      </c>
    </row>
    <row r="537" spans="1:23" x14ac:dyDescent="0.35">
      <c r="A537" t="s">
        <v>871</v>
      </c>
      <c r="B537" s="1">
        <v>45732</v>
      </c>
      <c r="C537" t="s">
        <v>618</v>
      </c>
      <c r="D537" t="s">
        <v>77</v>
      </c>
      <c r="E537" t="s">
        <v>92</v>
      </c>
      <c r="F537" t="s">
        <v>39</v>
      </c>
      <c r="G537" t="s">
        <v>188</v>
      </c>
      <c r="H537" s="7">
        <v>2</v>
      </c>
      <c r="I537" s="4">
        <v>2253.62</v>
      </c>
      <c r="J537" s="23">
        <v>0.15</v>
      </c>
      <c r="K537" s="4">
        <v>1915.58</v>
      </c>
      <c r="L537" s="4">
        <v>1317.21</v>
      </c>
      <c r="M537" s="4">
        <v>598.37</v>
      </c>
      <c r="N537" t="s">
        <v>25</v>
      </c>
      <c r="O537" s="7">
        <v>46</v>
      </c>
      <c r="P537" s="2">
        <v>45733.916666666664</v>
      </c>
      <c r="Q537" t="s">
        <v>54</v>
      </c>
      <c r="R537">
        <v>3</v>
      </c>
      <c r="S537" t="s">
        <v>55</v>
      </c>
      <c r="T537">
        <f>IF(orders[[#This Row],[Status]]="Completed",1,0)</f>
        <v>1</v>
      </c>
      <c r="U537">
        <f>IF(orders[[#This Row],[Status]]="Pending",1,0)</f>
        <v>0</v>
      </c>
      <c r="V537">
        <f>IF(orders[[#This Row],[Status]]="Delayed",1,0)</f>
        <v>0</v>
      </c>
      <c r="W537">
        <f>IF(orders[[#This Row],[Status]]="Cancelled",1,0)</f>
        <v>0</v>
      </c>
    </row>
    <row r="538" spans="1:23" x14ac:dyDescent="0.35">
      <c r="A538" t="s">
        <v>872</v>
      </c>
      <c r="B538" s="1">
        <v>45874</v>
      </c>
      <c r="C538" t="s">
        <v>873</v>
      </c>
      <c r="D538" t="s">
        <v>30</v>
      </c>
      <c r="E538" t="s">
        <v>92</v>
      </c>
      <c r="F538" t="s">
        <v>39</v>
      </c>
      <c r="G538" t="s">
        <v>114</v>
      </c>
      <c r="H538" s="7">
        <v>1</v>
      </c>
      <c r="I538" s="4">
        <v>3934.78</v>
      </c>
      <c r="J538" s="23">
        <v>0.25</v>
      </c>
      <c r="K538" s="4">
        <v>2951.08</v>
      </c>
      <c r="L538" s="4">
        <v>2269.54</v>
      </c>
      <c r="M538" s="4">
        <v>681.54</v>
      </c>
      <c r="N538" t="s">
        <v>98</v>
      </c>
      <c r="O538" s="7">
        <v>18</v>
      </c>
      <c r="P538" s="2">
        <v>45874.75</v>
      </c>
      <c r="Q538" t="s">
        <v>80</v>
      </c>
      <c r="R538">
        <v>8</v>
      </c>
      <c r="S538" t="s">
        <v>42</v>
      </c>
      <c r="T538">
        <f>IF(orders[[#This Row],[Status]]="Completed",1,0)</f>
        <v>0</v>
      </c>
      <c r="U538">
        <f>IF(orders[[#This Row],[Status]]="Pending",1,0)</f>
        <v>1</v>
      </c>
      <c r="V538">
        <f>IF(orders[[#This Row],[Status]]="Delayed",1,0)</f>
        <v>0</v>
      </c>
      <c r="W538">
        <f>IF(orders[[#This Row],[Status]]="Cancelled",1,0)</f>
        <v>0</v>
      </c>
    </row>
    <row r="539" spans="1:23" x14ac:dyDescent="0.35">
      <c r="A539" t="s">
        <v>874</v>
      </c>
      <c r="B539" s="1">
        <v>45934</v>
      </c>
      <c r="C539" t="s">
        <v>214</v>
      </c>
      <c r="D539" t="s">
        <v>68</v>
      </c>
      <c r="E539" t="s">
        <v>78</v>
      </c>
      <c r="F539" t="s">
        <v>83</v>
      </c>
      <c r="G539" t="s">
        <v>107</v>
      </c>
      <c r="H539" s="7">
        <v>5</v>
      </c>
      <c r="I539" s="4">
        <v>36370.1</v>
      </c>
      <c r="J539" s="23">
        <v>0.1</v>
      </c>
      <c r="K539" s="4">
        <v>32733.09</v>
      </c>
      <c r="L539" s="4">
        <v>23294.28</v>
      </c>
      <c r="M539" s="4">
        <v>9438.81</v>
      </c>
      <c r="N539" t="s">
        <v>85</v>
      </c>
      <c r="O539" s="7">
        <v>90</v>
      </c>
      <c r="P539" s="2">
        <v>45937.75</v>
      </c>
      <c r="Q539" t="s">
        <v>116</v>
      </c>
      <c r="R539">
        <v>10</v>
      </c>
      <c r="S539" t="s">
        <v>35</v>
      </c>
      <c r="T539">
        <f>IF(orders[[#This Row],[Status]]="Completed",1,0)</f>
        <v>0</v>
      </c>
      <c r="U539">
        <f>IF(orders[[#This Row],[Status]]="Pending",1,0)</f>
        <v>0</v>
      </c>
      <c r="V539">
        <f>IF(orders[[#This Row],[Status]]="Delayed",1,0)</f>
        <v>1</v>
      </c>
      <c r="W539">
        <f>IF(orders[[#This Row],[Status]]="Cancelled",1,0)</f>
        <v>0</v>
      </c>
    </row>
    <row r="540" spans="1:23" x14ac:dyDescent="0.35">
      <c r="A540" t="s">
        <v>875</v>
      </c>
      <c r="B540" s="1">
        <v>45906</v>
      </c>
      <c r="C540" t="s">
        <v>368</v>
      </c>
      <c r="D540" t="s">
        <v>77</v>
      </c>
      <c r="E540" t="s">
        <v>59</v>
      </c>
      <c r="F540" t="s">
        <v>32</v>
      </c>
      <c r="G540" t="s">
        <v>33</v>
      </c>
      <c r="H540" s="7">
        <v>4</v>
      </c>
      <c r="I540" s="4">
        <v>20016.12</v>
      </c>
      <c r="J540" s="23">
        <v>0.05</v>
      </c>
      <c r="K540" s="4">
        <v>19015.310000000001</v>
      </c>
      <c r="L540" s="4">
        <v>13705.34</v>
      </c>
      <c r="M540" s="4">
        <v>5309.97</v>
      </c>
      <c r="N540" t="s">
        <v>25</v>
      </c>
      <c r="O540" s="7">
        <v>9</v>
      </c>
      <c r="P540" s="2">
        <v>45906.375</v>
      </c>
      <c r="Q540" t="s">
        <v>41</v>
      </c>
      <c r="R540">
        <v>9</v>
      </c>
      <c r="S540" t="s">
        <v>42</v>
      </c>
      <c r="T540">
        <f>IF(orders[[#This Row],[Status]]="Completed",1,0)</f>
        <v>1</v>
      </c>
      <c r="U540">
        <f>IF(orders[[#This Row],[Status]]="Pending",1,0)</f>
        <v>0</v>
      </c>
      <c r="V540">
        <f>IF(orders[[#This Row],[Status]]="Delayed",1,0)</f>
        <v>0</v>
      </c>
      <c r="W540">
        <f>IF(orders[[#This Row],[Status]]="Cancelled",1,0)</f>
        <v>0</v>
      </c>
    </row>
    <row r="541" spans="1:23" x14ac:dyDescent="0.35">
      <c r="A541" t="s">
        <v>876</v>
      </c>
      <c r="B541" s="1">
        <v>45821</v>
      </c>
      <c r="C541" t="s">
        <v>135</v>
      </c>
      <c r="D541" t="s">
        <v>21</v>
      </c>
      <c r="E541" t="s">
        <v>78</v>
      </c>
      <c r="F541" t="s">
        <v>23</v>
      </c>
      <c r="G541" t="s">
        <v>136</v>
      </c>
      <c r="H541" s="7">
        <v>7</v>
      </c>
      <c r="I541" s="4">
        <v>5663.42</v>
      </c>
      <c r="J541" s="23">
        <v>0.2</v>
      </c>
      <c r="K541" s="4">
        <v>4530.74</v>
      </c>
      <c r="L541" s="4">
        <v>3138.34</v>
      </c>
      <c r="M541" s="4">
        <v>1392.4</v>
      </c>
      <c r="N541" t="s">
        <v>85</v>
      </c>
      <c r="O541" s="7">
        <v>51</v>
      </c>
      <c r="P541" s="2">
        <v>45823.125</v>
      </c>
      <c r="Q541" t="s">
        <v>99</v>
      </c>
      <c r="R541">
        <v>6</v>
      </c>
      <c r="S541" t="s">
        <v>27</v>
      </c>
      <c r="T541">
        <f>IF(orders[[#This Row],[Status]]="Completed",1,0)</f>
        <v>0</v>
      </c>
      <c r="U541">
        <f>IF(orders[[#This Row],[Status]]="Pending",1,0)</f>
        <v>0</v>
      </c>
      <c r="V541">
        <f>IF(orders[[#This Row],[Status]]="Delayed",1,0)</f>
        <v>1</v>
      </c>
      <c r="W541">
        <f>IF(orders[[#This Row],[Status]]="Cancelled",1,0)</f>
        <v>0</v>
      </c>
    </row>
    <row r="542" spans="1:23" x14ac:dyDescent="0.35">
      <c r="A542" t="s">
        <v>877</v>
      </c>
      <c r="B542" s="1">
        <v>46014</v>
      </c>
      <c r="C542" t="s">
        <v>318</v>
      </c>
      <c r="D542" t="s">
        <v>63</v>
      </c>
      <c r="E542" t="s">
        <v>46</v>
      </c>
      <c r="F542" t="s">
        <v>83</v>
      </c>
      <c r="G542" t="s">
        <v>107</v>
      </c>
      <c r="H542" s="7">
        <v>3</v>
      </c>
      <c r="I542" s="4">
        <v>5251.38</v>
      </c>
      <c r="J542" s="23">
        <v>0.1</v>
      </c>
      <c r="K542" s="4">
        <v>4726.24</v>
      </c>
      <c r="L542" s="4">
        <v>4146.1499999999996</v>
      </c>
      <c r="M542" s="4">
        <v>580.09</v>
      </c>
      <c r="N542" t="s">
        <v>98</v>
      </c>
      <c r="O542" s="7">
        <v>13</v>
      </c>
      <c r="P542" s="2">
        <v>46014.541666666664</v>
      </c>
      <c r="Q542" t="s">
        <v>34</v>
      </c>
      <c r="R542">
        <v>12</v>
      </c>
      <c r="S542" t="s">
        <v>35</v>
      </c>
      <c r="T542">
        <f>IF(orders[[#This Row],[Status]]="Completed",1,0)</f>
        <v>0</v>
      </c>
      <c r="U542">
        <f>IF(orders[[#This Row],[Status]]="Pending",1,0)</f>
        <v>1</v>
      </c>
      <c r="V542">
        <f>IF(orders[[#This Row],[Status]]="Delayed",1,0)</f>
        <v>0</v>
      </c>
      <c r="W542">
        <f>IF(orders[[#This Row],[Status]]="Cancelled",1,0)</f>
        <v>0</v>
      </c>
    </row>
    <row r="543" spans="1:23" x14ac:dyDescent="0.35">
      <c r="A543" t="s">
        <v>878</v>
      </c>
      <c r="B543" s="1">
        <v>45849</v>
      </c>
      <c r="C543" t="s">
        <v>356</v>
      </c>
      <c r="D543" t="s">
        <v>30</v>
      </c>
      <c r="E543" t="s">
        <v>92</v>
      </c>
      <c r="F543" t="s">
        <v>72</v>
      </c>
      <c r="G543" t="s">
        <v>73</v>
      </c>
      <c r="H543" s="7">
        <v>4</v>
      </c>
      <c r="I543" s="4">
        <v>16449.8</v>
      </c>
      <c r="J543" s="23">
        <v>0</v>
      </c>
      <c r="K543" s="4">
        <v>16449.8</v>
      </c>
      <c r="L543" s="4">
        <v>14082.6</v>
      </c>
      <c r="M543" s="4">
        <v>2367.1999999999998</v>
      </c>
      <c r="N543" t="s">
        <v>48</v>
      </c>
      <c r="O543" s="7">
        <v>8</v>
      </c>
      <c r="P543" s="2">
        <v>45849.333333333336</v>
      </c>
      <c r="Q543" t="s">
        <v>60</v>
      </c>
      <c r="R543">
        <v>7</v>
      </c>
      <c r="S543" t="s">
        <v>42</v>
      </c>
      <c r="T543">
        <f>IF(orders[[#This Row],[Status]]="Completed",1,0)</f>
        <v>0</v>
      </c>
      <c r="U543">
        <f>IF(orders[[#This Row],[Status]]="Pending",1,0)</f>
        <v>0</v>
      </c>
      <c r="V543">
        <f>IF(orders[[#This Row],[Status]]="Delayed",1,0)</f>
        <v>0</v>
      </c>
      <c r="W543">
        <f>IF(orders[[#This Row],[Status]]="Cancelled",1,0)</f>
        <v>1</v>
      </c>
    </row>
    <row r="544" spans="1:23" x14ac:dyDescent="0.35">
      <c r="A544" t="s">
        <v>879</v>
      </c>
      <c r="B544" s="1">
        <v>45884</v>
      </c>
      <c r="C544" t="s">
        <v>880</v>
      </c>
      <c r="D544" t="s">
        <v>58</v>
      </c>
      <c r="E544" t="s">
        <v>46</v>
      </c>
      <c r="F544" t="s">
        <v>23</v>
      </c>
      <c r="G544" t="s">
        <v>24</v>
      </c>
      <c r="H544" s="7">
        <v>4</v>
      </c>
      <c r="I544" s="4">
        <v>12673.68</v>
      </c>
      <c r="J544" s="23">
        <v>0.1</v>
      </c>
      <c r="K544" s="4">
        <v>11406.31</v>
      </c>
      <c r="L544" s="4">
        <v>7431.77</v>
      </c>
      <c r="M544" s="4">
        <v>3974.54</v>
      </c>
      <c r="N544" t="s">
        <v>98</v>
      </c>
      <c r="O544" s="7">
        <v>7</v>
      </c>
      <c r="P544" s="2">
        <v>45884.291666666664</v>
      </c>
      <c r="Q544" t="s">
        <v>80</v>
      </c>
      <c r="R544">
        <v>8</v>
      </c>
      <c r="S544" t="s">
        <v>42</v>
      </c>
      <c r="T544">
        <f>IF(orders[[#This Row],[Status]]="Completed",1,0)</f>
        <v>0</v>
      </c>
      <c r="U544">
        <f>IF(orders[[#This Row],[Status]]="Pending",1,0)</f>
        <v>1</v>
      </c>
      <c r="V544">
        <f>IF(orders[[#This Row],[Status]]="Delayed",1,0)</f>
        <v>0</v>
      </c>
      <c r="W544">
        <f>IF(orders[[#This Row],[Status]]="Cancelled",1,0)</f>
        <v>0</v>
      </c>
    </row>
    <row r="545" spans="1:23" x14ac:dyDescent="0.35">
      <c r="A545" t="s">
        <v>881</v>
      </c>
      <c r="B545" s="1">
        <v>45834</v>
      </c>
      <c r="C545" t="s">
        <v>882</v>
      </c>
      <c r="D545" t="s">
        <v>77</v>
      </c>
      <c r="E545" t="s">
        <v>59</v>
      </c>
      <c r="F545" t="s">
        <v>23</v>
      </c>
      <c r="G545" t="s">
        <v>136</v>
      </c>
      <c r="H545" s="7">
        <v>5</v>
      </c>
      <c r="I545" s="4">
        <v>15726.85</v>
      </c>
      <c r="J545" s="23">
        <v>0.1</v>
      </c>
      <c r="K545" s="4">
        <v>14154.16</v>
      </c>
      <c r="L545" s="4">
        <v>8306.0300000000007</v>
      </c>
      <c r="M545" s="4">
        <v>5848.13</v>
      </c>
      <c r="N545" t="s">
        <v>25</v>
      </c>
      <c r="O545" s="7">
        <v>42</v>
      </c>
      <c r="P545" s="2">
        <v>45835.75</v>
      </c>
      <c r="Q545" t="s">
        <v>99</v>
      </c>
      <c r="R545">
        <v>6</v>
      </c>
      <c r="S545" t="s">
        <v>27</v>
      </c>
      <c r="T545">
        <f>IF(orders[[#This Row],[Status]]="Completed",1,0)</f>
        <v>1</v>
      </c>
      <c r="U545">
        <f>IF(orders[[#This Row],[Status]]="Pending",1,0)</f>
        <v>0</v>
      </c>
      <c r="V545">
        <f>IF(orders[[#This Row],[Status]]="Delayed",1,0)</f>
        <v>0</v>
      </c>
      <c r="W545">
        <f>IF(orders[[#This Row],[Status]]="Cancelled",1,0)</f>
        <v>0</v>
      </c>
    </row>
    <row r="546" spans="1:23" x14ac:dyDescent="0.35">
      <c r="A546" t="s">
        <v>883</v>
      </c>
      <c r="B546" s="1">
        <v>45756</v>
      </c>
      <c r="C546" t="s">
        <v>467</v>
      </c>
      <c r="D546" t="s">
        <v>68</v>
      </c>
      <c r="E546" t="s">
        <v>46</v>
      </c>
      <c r="F546" t="s">
        <v>23</v>
      </c>
      <c r="G546" t="s">
        <v>110</v>
      </c>
      <c r="H546" s="7">
        <v>2</v>
      </c>
      <c r="I546" s="4">
        <v>9138.76</v>
      </c>
      <c r="J546" s="23">
        <v>0.2</v>
      </c>
      <c r="K546" s="4">
        <v>7311.01</v>
      </c>
      <c r="L546" s="4">
        <v>6047.1</v>
      </c>
      <c r="M546" s="4">
        <v>1263.9100000000001</v>
      </c>
      <c r="N546" t="s">
        <v>48</v>
      </c>
      <c r="O546" s="7">
        <v>22</v>
      </c>
      <c r="P546" s="2">
        <v>45756.916666666664</v>
      </c>
      <c r="Q546" t="s">
        <v>26</v>
      </c>
      <c r="R546">
        <v>4</v>
      </c>
      <c r="S546" t="s">
        <v>27</v>
      </c>
      <c r="T546">
        <f>IF(orders[[#This Row],[Status]]="Completed",1,0)</f>
        <v>0</v>
      </c>
      <c r="U546">
        <f>IF(orders[[#This Row],[Status]]="Pending",1,0)</f>
        <v>0</v>
      </c>
      <c r="V546">
        <f>IF(orders[[#This Row],[Status]]="Delayed",1,0)</f>
        <v>0</v>
      </c>
      <c r="W546">
        <f>IF(orders[[#This Row],[Status]]="Cancelled",1,0)</f>
        <v>1</v>
      </c>
    </row>
    <row r="547" spans="1:23" x14ac:dyDescent="0.35">
      <c r="A547" t="s">
        <v>884</v>
      </c>
      <c r="B547" s="1">
        <v>45693</v>
      </c>
      <c r="C547" t="s">
        <v>469</v>
      </c>
      <c r="D547" t="s">
        <v>21</v>
      </c>
      <c r="E547" t="s">
        <v>52</v>
      </c>
      <c r="F547" t="s">
        <v>39</v>
      </c>
      <c r="G547" t="s">
        <v>47</v>
      </c>
      <c r="H547" s="7">
        <v>3</v>
      </c>
      <c r="I547" s="4">
        <v>15089.13</v>
      </c>
      <c r="J547" s="23">
        <v>0.1</v>
      </c>
      <c r="K547" s="4">
        <v>13580.22</v>
      </c>
      <c r="L547" s="4">
        <v>11937.91</v>
      </c>
      <c r="M547" s="4">
        <v>1642.31</v>
      </c>
      <c r="N547" t="s">
        <v>48</v>
      </c>
      <c r="O547" s="7">
        <v>22</v>
      </c>
      <c r="P547" s="2">
        <v>45693.916666666664</v>
      </c>
      <c r="Q547" t="s">
        <v>139</v>
      </c>
      <c r="R547">
        <v>2</v>
      </c>
      <c r="S547" t="s">
        <v>55</v>
      </c>
      <c r="T547">
        <f>IF(orders[[#This Row],[Status]]="Completed",1,0)</f>
        <v>0</v>
      </c>
      <c r="U547">
        <f>IF(orders[[#This Row],[Status]]="Pending",1,0)</f>
        <v>0</v>
      </c>
      <c r="V547">
        <f>IF(orders[[#This Row],[Status]]="Delayed",1,0)</f>
        <v>0</v>
      </c>
      <c r="W547">
        <f>IF(orders[[#This Row],[Status]]="Cancelled",1,0)</f>
        <v>1</v>
      </c>
    </row>
    <row r="548" spans="1:23" x14ac:dyDescent="0.35">
      <c r="A548" t="s">
        <v>885</v>
      </c>
      <c r="B548" s="1">
        <v>45753</v>
      </c>
      <c r="C548" t="s">
        <v>515</v>
      </c>
      <c r="D548" t="s">
        <v>149</v>
      </c>
      <c r="E548" t="s">
        <v>78</v>
      </c>
      <c r="F548" t="s">
        <v>23</v>
      </c>
      <c r="G548" t="s">
        <v>110</v>
      </c>
      <c r="H548" s="7">
        <v>2</v>
      </c>
      <c r="I548" s="4">
        <v>13607.58</v>
      </c>
      <c r="J548" s="23">
        <v>0.05</v>
      </c>
      <c r="K548" s="4">
        <v>12927.2</v>
      </c>
      <c r="L548" s="4">
        <v>8358.2199999999993</v>
      </c>
      <c r="M548" s="4">
        <v>4568.9799999999996</v>
      </c>
      <c r="N548" t="s">
        <v>25</v>
      </c>
      <c r="O548" s="7">
        <v>24</v>
      </c>
      <c r="P548" s="2">
        <v>45754</v>
      </c>
      <c r="Q548" t="s">
        <v>26</v>
      </c>
      <c r="R548">
        <v>4</v>
      </c>
      <c r="S548" t="s">
        <v>27</v>
      </c>
      <c r="T548">
        <f>IF(orders[[#This Row],[Status]]="Completed",1,0)</f>
        <v>1</v>
      </c>
      <c r="U548">
        <f>IF(orders[[#This Row],[Status]]="Pending",1,0)</f>
        <v>0</v>
      </c>
      <c r="V548">
        <f>IF(orders[[#This Row],[Status]]="Delayed",1,0)</f>
        <v>0</v>
      </c>
      <c r="W548">
        <f>IF(orders[[#This Row],[Status]]="Cancelled",1,0)</f>
        <v>0</v>
      </c>
    </row>
    <row r="549" spans="1:23" x14ac:dyDescent="0.35">
      <c r="A549" t="s">
        <v>886</v>
      </c>
      <c r="B549" s="1">
        <v>45809</v>
      </c>
      <c r="C549" t="s">
        <v>363</v>
      </c>
      <c r="D549" t="s">
        <v>58</v>
      </c>
      <c r="E549" t="s">
        <v>113</v>
      </c>
      <c r="F549" t="s">
        <v>32</v>
      </c>
      <c r="G549" t="s">
        <v>64</v>
      </c>
      <c r="H549" s="7">
        <v>6</v>
      </c>
      <c r="I549" s="4">
        <v>17982.419999999998</v>
      </c>
      <c r="J549" s="23">
        <v>0.1</v>
      </c>
      <c r="K549" s="4">
        <v>16184.18</v>
      </c>
      <c r="L549" s="4">
        <v>10812.15</v>
      </c>
      <c r="M549" s="4">
        <v>5372.03</v>
      </c>
      <c r="N549" t="s">
        <v>48</v>
      </c>
      <c r="O549" s="7">
        <v>15</v>
      </c>
      <c r="P549" s="2">
        <v>45809.625</v>
      </c>
      <c r="Q549" t="s">
        <v>99</v>
      </c>
      <c r="R549">
        <v>6</v>
      </c>
      <c r="S549" t="s">
        <v>27</v>
      </c>
      <c r="T549">
        <f>IF(orders[[#This Row],[Status]]="Completed",1,0)</f>
        <v>0</v>
      </c>
      <c r="U549">
        <f>IF(orders[[#This Row],[Status]]="Pending",1,0)</f>
        <v>0</v>
      </c>
      <c r="V549">
        <f>IF(orders[[#This Row],[Status]]="Delayed",1,0)</f>
        <v>0</v>
      </c>
      <c r="W549">
        <f>IF(orders[[#This Row],[Status]]="Cancelled",1,0)</f>
        <v>1</v>
      </c>
    </row>
    <row r="550" spans="1:23" x14ac:dyDescent="0.35">
      <c r="A550" t="s">
        <v>887</v>
      </c>
      <c r="B550" s="1">
        <v>45808</v>
      </c>
      <c r="C550" t="s">
        <v>37</v>
      </c>
      <c r="D550" t="s">
        <v>77</v>
      </c>
      <c r="E550" t="s">
        <v>46</v>
      </c>
      <c r="F550" t="s">
        <v>23</v>
      </c>
      <c r="G550" t="s">
        <v>69</v>
      </c>
      <c r="H550" s="7">
        <v>4</v>
      </c>
      <c r="I550" s="4">
        <v>27502.560000000001</v>
      </c>
      <c r="J550" s="23">
        <v>0.1</v>
      </c>
      <c r="K550" s="4">
        <v>24752.3</v>
      </c>
      <c r="L550" s="4">
        <v>21305.27</v>
      </c>
      <c r="M550" s="4">
        <v>3447.03</v>
      </c>
      <c r="N550" t="s">
        <v>25</v>
      </c>
      <c r="O550" s="7">
        <v>28</v>
      </c>
      <c r="P550" s="2">
        <v>45809.166666666664</v>
      </c>
      <c r="Q550" t="s">
        <v>74</v>
      </c>
      <c r="R550">
        <v>5</v>
      </c>
      <c r="S550" t="s">
        <v>27</v>
      </c>
      <c r="T550">
        <f>IF(orders[[#This Row],[Status]]="Completed",1,0)</f>
        <v>1</v>
      </c>
      <c r="U550">
        <f>IF(orders[[#This Row],[Status]]="Pending",1,0)</f>
        <v>0</v>
      </c>
      <c r="V550">
        <f>IF(orders[[#This Row],[Status]]="Delayed",1,0)</f>
        <v>0</v>
      </c>
      <c r="W550">
        <f>IF(orders[[#This Row],[Status]]="Cancelled",1,0)</f>
        <v>0</v>
      </c>
    </row>
    <row r="551" spans="1:23" x14ac:dyDescent="0.35">
      <c r="A551" t="s">
        <v>888</v>
      </c>
      <c r="B551" s="1">
        <v>45847</v>
      </c>
      <c r="C551" t="s">
        <v>205</v>
      </c>
      <c r="D551" t="s">
        <v>63</v>
      </c>
      <c r="E551" t="s">
        <v>46</v>
      </c>
      <c r="F551" t="s">
        <v>39</v>
      </c>
      <c r="G551" t="s">
        <v>114</v>
      </c>
      <c r="H551" s="7">
        <v>6</v>
      </c>
      <c r="I551" s="4">
        <v>17864.400000000001</v>
      </c>
      <c r="J551" s="23">
        <v>0.05</v>
      </c>
      <c r="K551" s="4">
        <v>16971.18</v>
      </c>
      <c r="L551" s="4">
        <v>13316.82</v>
      </c>
      <c r="M551" s="4">
        <v>3654.36</v>
      </c>
      <c r="N551" t="s">
        <v>25</v>
      </c>
      <c r="O551" s="7">
        <v>35</v>
      </c>
      <c r="P551" s="2">
        <v>45848.458333333336</v>
      </c>
      <c r="Q551" t="s">
        <v>60</v>
      </c>
      <c r="R551">
        <v>7</v>
      </c>
      <c r="S551" t="s">
        <v>42</v>
      </c>
      <c r="T551">
        <f>IF(orders[[#This Row],[Status]]="Completed",1,0)</f>
        <v>1</v>
      </c>
      <c r="U551">
        <f>IF(orders[[#This Row],[Status]]="Pending",1,0)</f>
        <v>0</v>
      </c>
      <c r="V551">
        <f>IF(orders[[#This Row],[Status]]="Delayed",1,0)</f>
        <v>0</v>
      </c>
      <c r="W551">
        <f>IF(orders[[#This Row],[Status]]="Cancelled",1,0)</f>
        <v>0</v>
      </c>
    </row>
    <row r="552" spans="1:23" x14ac:dyDescent="0.35">
      <c r="A552" t="s">
        <v>889</v>
      </c>
      <c r="B552" s="1">
        <v>45881</v>
      </c>
      <c r="C552" t="s">
        <v>428</v>
      </c>
      <c r="D552" t="s">
        <v>58</v>
      </c>
      <c r="E552" t="s">
        <v>113</v>
      </c>
      <c r="F552" t="s">
        <v>23</v>
      </c>
      <c r="G552" t="s">
        <v>122</v>
      </c>
      <c r="H552" s="7">
        <v>1</v>
      </c>
      <c r="I552" s="4">
        <v>612.87</v>
      </c>
      <c r="J552" s="23">
        <v>0.1</v>
      </c>
      <c r="K552" s="4">
        <v>551.58000000000004</v>
      </c>
      <c r="L552" s="4">
        <v>357.18</v>
      </c>
      <c r="M552" s="4">
        <v>194.4</v>
      </c>
      <c r="N552" t="s">
        <v>85</v>
      </c>
      <c r="O552" s="7">
        <v>75</v>
      </c>
      <c r="P552" s="2">
        <v>45884.125</v>
      </c>
      <c r="Q552" t="s">
        <v>80</v>
      </c>
      <c r="R552">
        <v>8</v>
      </c>
      <c r="S552" t="s">
        <v>42</v>
      </c>
      <c r="T552">
        <f>IF(orders[[#This Row],[Status]]="Completed",1,0)</f>
        <v>0</v>
      </c>
      <c r="U552">
        <f>IF(orders[[#This Row],[Status]]="Pending",1,0)</f>
        <v>0</v>
      </c>
      <c r="V552">
        <f>IF(orders[[#This Row],[Status]]="Delayed",1,0)</f>
        <v>1</v>
      </c>
      <c r="W552">
        <f>IF(orders[[#This Row],[Status]]="Cancelled",1,0)</f>
        <v>0</v>
      </c>
    </row>
    <row r="553" spans="1:23" x14ac:dyDescent="0.35">
      <c r="A553" t="s">
        <v>890</v>
      </c>
      <c r="B553" s="1">
        <v>45694</v>
      </c>
      <c r="C553" t="s">
        <v>600</v>
      </c>
      <c r="D553" t="s">
        <v>21</v>
      </c>
      <c r="E553" t="s">
        <v>59</v>
      </c>
      <c r="F553" t="s">
        <v>72</v>
      </c>
      <c r="G553" t="s">
        <v>129</v>
      </c>
      <c r="H553" s="7">
        <v>4</v>
      </c>
      <c r="I553" s="4">
        <v>19109.88</v>
      </c>
      <c r="J553" s="23">
        <v>0.15</v>
      </c>
      <c r="K553" s="4">
        <v>16243.4</v>
      </c>
      <c r="L553" s="4">
        <v>12048.47</v>
      </c>
      <c r="M553" s="4">
        <v>4194.93</v>
      </c>
      <c r="N553" t="s">
        <v>25</v>
      </c>
      <c r="O553" s="7">
        <v>8</v>
      </c>
      <c r="P553" s="2">
        <v>45694.333333333336</v>
      </c>
      <c r="Q553" t="s">
        <v>139</v>
      </c>
      <c r="R553">
        <v>2</v>
      </c>
      <c r="S553" t="s">
        <v>55</v>
      </c>
      <c r="T553">
        <f>IF(orders[[#This Row],[Status]]="Completed",1,0)</f>
        <v>1</v>
      </c>
      <c r="U553">
        <f>IF(orders[[#This Row],[Status]]="Pending",1,0)</f>
        <v>0</v>
      </c>
      <c r="V553">
        <f>IF(orders[[#This Row],[Status]]="Delayed",1,0)</f>
        <v>0</v>
      </c>
      <c r="W553">
        <f>IF(orders[[#This Row],[Status]]="Cancelled",1,0)</f>
        <v>0</v>
      </c>
    </row>
    <row r="554" spans="1:23" x14ac:dyDescent="0.35">
      <c r="A554" t="s">
        <v>891</v>
      </c>
      <c r="B554" s="1">
        <v>45925</v>
      </c>
      <c r="C554" t="s">
        <v>337</v>
      </c>
      <c r="D554" t="s">
        <v>58</v>
      </c>
      <c r="E554" t="s">
        <v>59</v>
      </c>
      <c r="F554" t="s">
        <v>72</v>
      </c>
      <c r="G554" t="s">
        <v>104</v>
      </c>
      <c r="H554" s="7">
        <v>2</v>
      </c>
      <c r="I554" s="4">
        <v>10117.959999999999</v>
      </c>
      <c r="J554" s="23">
        <v>0</v>
      </c>
      <c r="K554" s="4">
        <v>10117.959999999999</v>
      </c>
      <c r="L554" s="4">
        <v>8717.59</v>
      </c>
      <c r="M554" s="4">
        <v>1400.37</v>
      </c>
      <c r="N554" t="s">
        <v>25</v>
      </c>
      <c r="O554" s="7">
        <v>33</v>
      </c>
      <c r="P554" s="2">
        <v>45926.375</v>
      </c>
      <c r="Q554" t="s">
        <v>41</v>
      </c>
      <c r="R554">
        <v>9</v>
      </c>
      <c r="S554" t="s">
        <v>42</v>
      </c>
      <c r="T554">
        <f>IF(orders[[#This Row],[Status]]="Completed",1,0)</f>
        <v>1</v>
      </c>
      <c r="U554">
        <f>IF(orders[[#This Row],[Status]]="Pending",1,0)</f>
        <v>0</v>
      </c>
      <c r="V554">
        <f>IF(orders[[#This Row],[Status]]="Delayed",1,0)</f>
        <v>0</v>
      </c>
      <c r="W554">
        <f>IF(orders[[#This Row],[Status]]="Cancelled",1,0)</f>
        <v>0</v>
      </c>
    </row>
    <row r="555" spans="1:23" x14ac:dyDescent="0.35">
      <c r="A555" t="s">
        <v>892</v>
      </c>
      <c r="B555" s="1">
        <v>45840</v>
      </c>
      <c r="C555" t="s">
        <v>893</v>
      </c>
      <c r="D555" t="s">
        <v>45</v>
      </c>
      <c r="E555" t="s">
        <v>78</v>
      </c>
      <c r="F555" t="s">
        <v>39</v>
      </c>
      <c r="G555" t="s">
        <v>114</v>
      </c>
      <c r="H555" s="7">
        <v>4</v>
      </c>
      <c r="I555" s="4">
        <v>31813.64</v>
      </c>
      <c r="J555" s="23">
        <v>0.1</v>
      </c>
      <c r="K555" s="4">
        <v>28632.28</v>
      </c>
      <c r="L555" s="4">
        <v>23418.29</v>
      </c>
      <c r="M555" s="4">
        <v>5213.99</v>
      </c>
      <c r="N555" t="s">
        <v>25</v>
      </c>
      <c r="O555" s="7">
        <v>11</v>
      </c>
      <c r="P555" s="2">
        <v>45840.458333333336</v>
      </c>
      <c r="Q555" t="s">
        <v>60</v>
      </c>
      <c r="R555">
        <v>7</v>
      </c>
      <c r="S555" t="s">
        <v>42</v>
      </c>
      <c r="T555">
        <f>IF(orders[[#This Row],[Status]]="Completed",1,0)</f>
        <v>1</v>
      </c>
      <c r="U555">
        <f>IF(orders[[#This Row],[Status]]="Pending",1,0)</f>
        <v>0</v>
      </c>
      <c r="V555">
        <f>IF(orders[[#This Row],[Status]]="Delayed",1,0)</f>
        <v>0</v>
      </c>
      <c r="W555">
        <f>IF(orders[[#This Row],[Status]]="Cancelled",1,0)</f>
        <v>0</v>
      </c>
    </row>
    <row r="556" spans="1:23" x14ac:dyDescent="0.35">
      <c r="A556" t="s">
        <v>894</v>
      </c>
      <c r="B556" s="1">
        <v>45670</v>
      </c>
      <c r="C556" t="s">
        <v>583</v>
      </c>
      <c r="D556" t="s">
        <v>38</v>
      </c>
      <c r="E556" t="s">
        <v>46</v>
      </c>
      <c r="F556" t="s">
        <v>32</v>
      </c>
      <c r="G556" t="s">
        <v>64</v>
      </c>
      <c r="H556" s="7">
        <v>1</v>
      </c>
      <c r="I556" s="4">
        <v>6212.61</v>
      </c>
      <c r="J556" s="23">
        <v>0.05</v>
      </c>
      <c r="K556" s="4">
        <v>5901.98</v>
      </c>
      <c r="L556" s="4">
        <v>4690.92</v>
      </c>
      <c r="M556" s="4">
        <v>1211.06</v>
      </c>
      <c r="N556" t="s">
        <v>25</v>
      </c>
      <c r="O556" s="7">
        <v>22</v>
      </c>
      <c r="P556" s="2">
        <v>45670.916666666664</v>
      </c>
      <c r="Q556" t="s">
        <v>65</v>
      </c>
      <c r="R556">
        <v>1</v>
      </c>
      <c r="S556" t="s">
        <v>55</v>
      </c>
      <c r="T556">
        <f>IF(orders[[#This Row],[Status]]="Completed",1,0)</f>
        <v>1</v>
      </c>
      <c r="U556">
        <f>IF(orders[[#This Row],[Status]]="Pending",1,0)</f>
        <v>0</v>
      </c>
      <c r="V556">
        <f>IF(orders[[#This Row],[Status]]="Delayed",1,0)</f>
        <v>0</v>
      </c>
      <c r="W556">
        <f>IF(orders[[#This Row],[Status]]="Cancelled",1,0)</f>
        <v>0</v>
      </c>
    </row>
    <row r="557" spans="1:23" x14ac:dyDescent="0.35">
      <c r="A557" t="s">
        <v>895</v>
      </c>
      <c r="B557" s="1">
        <v>45936</v>
      </c>
      <c r="C557" t="s">
        <v>324</v>
      </c>
      <c r="D557" t="s">
        <v>149</v>
      </c>
      <c r="E557" t="s">
        <v>52</v>
      </c>
      <c r="F557" t="s">
        <v>32</v>
      </c>
      <c r="G557" t="s">
        <v>79</v>
      </c>
      <c r="H557" s="7">
        <v>5</v>
      </c>
      <c r="I557" s="4">
        <v>39067</v>
      </c>
      <c r="J557" s="23">
        <v>0.05</v>
      </c>
      <c r="K557" s="4">
        <v>37113.65</v>
      </c>
      <c r="L557" s="4">
        <v>29438.87</v>
      </c>
      <c r="M557" s="4">
        <v>7674.78</v>
      </c>
      <c r="N557" t="s">
        <v>85</v>
      </c>
      <c r="O557" s="7">
        <v>86</v>
      </c>
      <c r="P557" s="2">
        <v>45939.583333333336</v>
      </c>
      <c r="Q557" t="s">
        <v>116</v>
      </c>
      <c r="R557">
        <v>10</v>
      </c>
      <c r="S557" t="s">
        <v>35</v>
      </c>
      <c r="T557">
        <f>IF(orders[[#This Row],[Status]]="Completed",1,0)</f>
        <v>0</v>
      </c>
      <c r="U557">
        <f>IF(orders[[#This Row],[Status]]="Pending",1,0)</f>
        <v>0</v>
      </c>
      <c r="V557">
        <f>IF(orders[[#This Row],[Status]]="Delayed",1,0)</f>
        <v>1</v>
      </c>
      <c r="W557">
        <f>IF(orders[[#This Row],[Status]]="Cancelled",1,0)</f>
        <v>0</v>
      </c>
    </row>
    <row r="558" spans="1:23" x14ac:dyDescent="0.35">
      <c r="A558" t="s">
        <v>896</v>
      </c>
      <c r="B558" s="1">
        <v>45874</v>
      </c>
      <c r="C558" t="s">
        <v>363</v>
      </c>
      <c r="D558" t="s">
        <v>21</v>
      </c>
      <c r="E558" t="s">
        <v>92</v>
      </c>
      <c r="F558" t="s">
        <v>83</v>
      </c>
      <c r="G558" t="s">
        <v>182</v>
      </c>
      <c r="H558" s="7">
        <v>6</v>
      </c>
      <c r="I558" s="4">
        <v>46408.2</v>
      </c>
      <c r="J558" s="23">
        <v>0.05</v>
      </c>
      <c r="K558" s="4">
        <v>44087.79</v>
      </c>
      <c r="L558" s="4">
        <v>26838.3</v>
      </c>
      <c r="M558" s="4">
        <v>17249.490000000002</v>
      </c>
      <c r="N558" t="s">
        <v>25</v>
      </c>
      <c r="O558" s="7">
        <v>33</v>
      </c>
      <c r="P558" s="2">
        <v>45875.375</v>
      </c>
      <c r="Q558" t="s">
        <v>80</v>
      </c>
      <c r="R558">
        <v>8</v>
      </c>
      <c r="S558" t="s">
        <v>42</v>
      </c>
      <c r="T558">
        <f>IF(orders[[#This Row],[Status]]="Completed",1,0)</f>
        <v>1</v>
      </c>
      <c r="U558">
        <f>IF(orders[[#This Row],[Status]]="Pending",1,0)</f>
        <v>0</v>
      </c>
      <c r="V558">
        <f>IF(orders[[#This Row],[Status]]="Delayed",1,0)</f>
        <v>0</v>
      </c>
      <c r="W558">
        <f>IF(orders[[#This Row],[Status]]="Cancelled",1,0)</f>
        <v>0</v>
      </c>
    </row>
    <row r="559" spans="1:23" x14ac:dyDescent="0.35">
      <c r="A559" t="s">
        <v>897</v>
      </c>
      <c r="B559" s="1">
        <v>46012</v>
      </c>
      <c r="C559" t="s">
        <v>207</v>
      </c>
      <c r="D559" t="s">
        <v>58</v>
      </c>
      <c r="E559" t="s">
        <v>52</v>
      </c>
      <c r="F559" t="s">
        <v>39</v>
      </c>
      <c r="G559" t="s">
        <v>93</v>
      </c>
      <c r="H559" s="7">
        <v>6</v>
      </c>
      <c r="I559" s="4">
        <v>31189.14</v>
      </c>
      <c r="J559" s="23">
        <v>0.05</v>
      </c>
      <c r="K559" s="4">
        <v>29629.68</v>
      </c>
      <c r="L559" s="4">
        <v>24359.89</v>
      </c>
      <c r="M559" s="4">
        <v>5269.79</v>
      </c>
      <c r="N559" t="s">
        <v>98</v>
      </c>
      <c r="O559" s="7">
        <v>15</v>
      </c>
      <c r="P559" s="2">
        <v>46012.625</v>
      </c>
      <c r="Q559" t="s">
        <v>34</v>
      </c>
      <c r="R559">
        <v>12</v>
      </c>
      <c r="S559" t="s">
        <v>35</v>
      </c>
      <c r="T559">
        <f>IF(orders[[#This Row],[Status]]="Completed",1,0)</f>
        <v>0</v>
      </c>
      <c r="U559">
        <f>IF(orders[[#This Row],[Status]]="Pending",1,0)</f>
        <v>1</v>
      </c>
      <c r="V559">
        <f>IF(orders[[#This Row],[Status]]="Delayed",1,0)</f>
        <v>0</v>
      </c>
      <c r="W559">
        <f>IF(orders[[#This Row],[Status]]="Cancelled",1,0)</f>
        <v>0</v>
      </c>
    </row>
    <row r="560" spans="1:23" x14ac:dyDescent="0.35">
      <c r="A560" t="s">
        <v>898</v>
      </c>
      <c r="B560" s="1">
        <v>46018</v>
      </c>
      <c r="C560" t="s">
        <v>656</v>
      </c>
      <c r="D560" t="s">
        <v>38</v>
      </c>
      <c r="E560" t="s">
        <v>113</v>
      </c>
      <c r="F560" t="s">
        <v>23</v>
      </c>
      <c r="G560" t="s">
        <v>122</v>
      </c>
      <c r="H560" s="7">
        <v>2</v>
      </c>
      <c r="I560" s="4">
        <v>9113.6200000000008</v>
      </c>
      <c r="J560" s="23">
        <v>0.15</v>
      </c>
      <c r="K560" s="4">
        <v>7746.58</v>
      </c>
      <c r="L560" s="4">
        <v>4966.4799999999996</v>
      </c>
      <c r="M560" s="4">
        <v>2780.1</v>
      </c>
      <c r="N560" t="s">
        <v>25</v>
      </c>
      <c r="O560" s="7">
        <v>39</v>
      </c>
      <c r="P560" s="2">
        <v>46019.625</v>
      </c>
      <c r="Q560" t="s">
        <v>34</v>
      </c>
      <c r="R560">
        <v>12</v>
      </c>
      <c r="S560" t="s">
        <v>35</v>
      </c>
      <c r="T560">
        <f>IF(orders[[#This Row],[Status]]="Completed",1,0)</f>
        <v>1</v>
      </c>
      <c r="U560">
        <f>IF(orders[[#This Row],[Status]]="Pending",1,0)</f>
        <v>0</v>
      </c>
      <c r="V560">
        <f>IF(orders[[#This Row],[Status]]="Delayed",1,0)</f>
        <v>0</v>
      </c>
      <c r="W560">
        <f>IF(orders[[#This Row],[Status]]="Cancelled",1,0)</f>
        <v>0</v>
      </c>
    </row>
    <row r="561" spans="1:23" x14ac:dyDescent="0.35">
      <c r="A561" t="s">
        <v>899</v>
      </c>
      <c r="B561" s="1">
        <v>45943</v>
      </c>
      <c r="C561" t="s">
        <v>240</v>
      </c>
      <c r="D561" t="s">
        <v>38</v>
      </c>
      <c r="E561" t="s">
        <v>113</v>
      </c>
      <c r="F561" t="s">
        <v>39</v>
      </c>
      <c r="G561" t="s">
        <v>114</v>
      </c>
      <c r="H561" s="7">
        <v>4</v>
      </c>
      <c r="I561" s="4">
        <v>19218.52</v>
      </c>
      <c r="J561" s="23">
        <v>0.05</v>
      </c>
      <c r="K561" s="4">
        <v>18257.59</v>
      </c>
      <c r="L561" s="4">
        <v>15647.14</v>
      </c>
      <c r="M561" s="4">
        <v>2610.4499999999998</v>
      </c>
      <c r="N561" t="s">
        <v>48</v>
      </c>
      <c r="O561" s="7">
        <v>21</v>
      </c>
      <c r="P561" s="2">
        <v>45943.875</v>
      </c>
      <c r="Q561" t="s">
        <v>116</v>
      </c>
      <c r="R561">
        <v>10</v>
      </c>
      <c r="S561" t="s">
        <v>35</v>
      </c>
      <c r="T561">
        <f>IF(orders[[#This Row],[Status]]="Completed",1,0)</f>
        <v>0</v>
      </c>
      <c r="U561">
        <f>IF(orders[[#This Row],[Status]]="Pending",1,0)</f>
        <v>0</v>
      </c>
      <c r="V561">
        <f>IF(orders[[#This Row],[Status]]="Delayed",1,0)</f>
        <v>0</v>
      </c>
      <c r="W561">
        <f>IF(orders[[#This Row],[Status]]="Cancelled",1,0)</f>
        <v>1</v>
      </c>
    </row>
    <row r="562" spans="1:23" x14ac:dyDescent="0.35">
      <c r="A562" t="s">
        <v>900</v>
      </c>
      <c r="B562" s="1">
        <v>45930</v>
      </c>
      <c r="C562" t="s">
        <v>297</v>
      </c>
      <c r="D562" t="s">
        <v>58</v>
      </c>
      <c r="E562" t="s">
        <v>22</v>
      </c>
      <c r="F562" t="s">
        <v>83</v>
      </c>
      <c r="G562" t="s">
        <v>107</v>
      </c>
      <c r="H562" s="7">
        <v>2</v>
      </c>
      <c r="I562" s="4">
        <v>16638.12</v>
      </c>
      <c r="J562" s="23">
        <v>0.15</v>
      </c>
      <c r="K562" s="4">
        <v>14142.4</v>
      </c>
      <c r="L562" s="4">
        <v>9480.09</v>
      </c>
      <c r="M562" s="4">
        <v>4662.3100000000004</v>
      </c>
      <c r="N562" t="s">
        <v>25</v>
      </c>
      <c r="O562" s="7">
        <v>30</v>
      </c>
      <c r="P562" s="2">
        <v>45931.25</v>
      </c>
      <c r="Q562" t="s">
        <v>41</v>
      </c>
      <c r="R562">
        <v>9</v>
      </c>
      <c r="S562" t="s">
        <v>42</v>
      </c>
      <c r="T562">
        <f>IF(orders[[#This Row],[Status]]="Completed",1,0)</f>
        <v>1</v>
      </c>
      <c r="U562">
        <f>IF(orders[[#This Row],[Status]]="Pending",1,0)</f>
        <v>0</v>
      </c>
      <c r="V562">
        <f>IF(orders[[#This Row],[Status]]="Delayed",1,0)</f>
        <v>0</v>
      </c>
      <c r="W562">
        <f>IF(orders[[#This Row],[Status]]="Cancelled",1,0)</f>
        <v>0</v>
      </c>
    </row>
    <row r="563" spans="1:23" x14ac:dyDescent="0.35">
      <c r="A563" t="s">
        <v>901</v>
      </c>
      <c r="B563" s="1">
        <v>45719</v>
      </c>
      <c r="C563" t="s">
        <v>880</v>
      </c>
      <c r="D563" t="s">
        <v>63</v>
      </c>
      <c r="E563" t="s">
        <v>92</v>
      </c>
      <c r="F563" t="s">
        <v>39</v>
      </c>
      <c r="G563" t="s">
        <v>47</v>
      </c>
      <c r="H563" s="7">
        <v>5</v>
      </c>
      <c r="I563" s="4">
        <v>33029.75</v>
      </c>
      <c r="J563" s="23">
        <v>0</v>
      </c>
      <c r="K563" s="4">
        <v>33029.75</v>
      </c>
      <c r="L563" s="4">
        <v>27514.7</v>
      </c>
      <c r="M563" s="4">
        <v>5515.05</v>
      </c>
      <c r="N563" t="s">
        <v>25</v>
      </c>
      <c r="O563" s="7">
        <v>16</v>
      </c>
      <c r="P563" s="2">
        <v>45719.666666666664</v>
      </c>
      <c r="Q563" t="s">
        <v>54</v>
      </c>
      <c r="R563">
        <v>3</v>
      </c>
      <c r="S563" t="s">
        <v>55</v>
      </c>
      <c r="T563">
        <f>IF(orders[[#This Row],[Status]]="Completed",1,0)</f>
        <v>1</v>
      </c>
      <c r="U563">
        <f>IF(orders[[#This Row],[Status]]="Pending",1,0)</f>
        <v>0</v>
      </c>
      <c r="V563">
        <f>IF(orders[[#This Row],[Status]]="Delayed",1,0)</f>
        <v>0</v>
      </c>
      <c r="W563">
        <f>IF(orders[[#This Row],[Status]]="Cancelled",1,0)</f>
        <v>0</v>
      </c>
    </row>
    <row r="564" spans="1:23" x14ac:dyDescent="0.35">
      <c r="A564" t="s">
        <v>902</v>
      </c>
      <c r="B564" s="1">
        <v>45741</v>
      </c>
      <c r="C564" t="s">
        <v>795</v>
      </c>
      <c r="D564" t="s">
        <v>45</v>
      </c>
      <c r="E564" t="s">
        <v>46</v>
      </c>
      <c r="F564" t="s">
        <v>39</v>
      </c>
      <c r="G564" t="s">
        <v>47</v>
      </c>
      <c r="H564" s="7">
        <v>4</v>
      </c>
      <c r="I564" s="4">
        <v>4149.28</v>
      </c>
      <c r="J564" s="23">
        <v>0.25</v>
      </c>
      <c r="K564" s="4">
        <v>3111.96</v>
      </c>
      <c r="L564" s="4">
        <v>1984.99</v>
      </c>
      <c r="M564" s="4">
        <v>1126.97</v>
      </c>
      <c r="N564" t="s">
        <v>98</v>
      </c>
      <c r="O564" s="7">
        <v>3</v>
      </c>
      <c r="P564" s="2">
        <v>45741.125</v>
      </c>
      <c r="Q564" t="s">
        <v>54</v>
      </c>
      <c r="R564">
        <v>3</v>
      </c>
      <c r="S564" t="s">
        <v>55</v>
      </c>
      <c r="T564">
        <f>IF(orders[[#This Row],[Status]]="Completed",1,0)</f>
        <v>0</v>
      </c>
      <c r="U564">
        <f>IF(orders[[#This Row],[Status]]="Pending",1,0)</f>
        <v>1</v>
      </c>
      <c r="V564">
        <f>IF(orders[[#This Row],[Status]]="Delayed",1,0)</f>
        <v>0</v>
      </c>
      <c r="W564">
        <f>IF(orders[[#This Row],[Status]]="Cancelled",1,0)</f>
        <v>0</v>
      </c>
    </row>
    <row r="565" spans="1:23" x14ac:dyDescent="0.35">
      <c r="A565" t="s">
        <v>903</v>
      </c>
      <c r="B565" s="1">
        <v>45874</v>
      </c>
      <c r="C565" t="s">
        <v>698</v>
      </c>
      <c r="D565" t="s">
        <v>30</v>
      </c>
      <c r="E565" t="s">
        <v>113</v>
      </c>
      <c r="F565" t="s">
        <v>83</v>
      </c>
      <c r="G565" t="s">
        <v>155</v>
      </c>
      <c r="H565" s="7">
        <v>4</v>
      </c>
      <c r="I565" s="4">
        <v>26599.52</v>
      </c>
      <c r="J565" s="23">
        <v>0.1</v>
      </c>
      <c r="K565" s="4">
        <v>23939.57</v>
      </c>
      <c r="L565" s="4">
        <v>17231.560000000001</v>
      </c>
      <c r="M565" s="4">
        <v>6708.01</v>
      </c>
      <c r="N565" t="s">
        <v>48</v>
      </c>
      <c r="O565" s="7">
        <v>1</v>
      </c>
      <c r="P565" s="2">
        <v>45874.041666666664</v>
      </c>
      <c r="Q565" t="s">
        <v>80</v>
      </c>
      <c r="R565">
        <v>8</v>
      </c>
      <c r="S565" t="s">
        <v>42</v>
      </c>
      <c r="T565">
        <f>IF(orders[[#This Row],[Status]]="Completed",1,0)</f>
        <v>0</v>
      </c>
      <c r="U565">
        <f>IF(orders[[#This Row],[Status]]="Pending",1,0)</f>
        <v>0</v>
      </c>
      <c r="V565">
        <f>IF(orders[[#This Row],[Status]]="Delayed",1,0)</f>
        <v>0</v>
      </c>
      <c r="W565">
        <f>IF(orders[[#This Row],[Status]]="Cancelled",1,0)</f>
        <v>1</v>
      </c>
    </row>
    <row r="566" spans="1:23" x14ac:dyDescent="0.35">
      <c r="A566" t="s">
        <v>904</v>
      </c>
      <c r="B566" s="1">
        <v>45999</v>
      </c>
      <c r="C566" t="s">
        <v>701</v>
      </c>
      <c r="D566" t="s">
        <v>45</v>
      </c>
      <c r="E566" t="s">
        <v>22</v>
      </c>
      <c r="F566" t="s">
        <v>32</v>
      </c>
      <c r="G566" t="s">
        <v>64</v>
      </c>
      <c r="H566" s="7">
        <v>2</v>
      </c>
      <c r="I566" s="4">
        <v>3147.98</v>
      </c>
      <c r="J566" s="23">
        <v>0.15</v>
      </c>
      <c r="K566" s="4">
        <v>2675.78</v>
      </c>
      <c r="L566" s="4">
        <v>1566.06</v>
      </c>
      <c r="M566" s="4">
        <v>1109.72</v>
      </c>
      <c r="N566" t="s">
        <v>25</v>
      </c>
      <c r="O566" s="7">
        <v>33</v>
      </c>
      <c r="P566" s="2">
        <v>46000.375</v>
      </c>
      <c r="Q566" t="s">
        <v>34</v>
      </c>
      <c r="R566">
        <v>12</v>
      </c>
      <c r="S566" t="s">
        <v>35</v>
      </c>
      <c r="T566">
        <f>IF(orders[[#This Row],[Status]]="Completed",1,0)</f>
        <v>1</v>
      </c>
      <c r="U566">
        <f>IF(orders[[#This Row],[Status]]="Pending",1,0)</f>
        <v>0</v>
      </c>
      <c r="V566">
        <f>IF(orders[[#This Row],[Status]]="Delayed",1,0)</f>
        <v>0</v>
      </c>
      <c r="W566">
        <f>IF(orders[[#This Row],[Status]]="Cancelled",1,0)</f>
        <v>0</v>
      </c>
    </row>
    <row r="567" spans="1:23" x14ac:dyDescent="0.35">
      <c r="A567" t="s">
        <v>905</v>
      </c>
      <c r="B567" s="1">
        <v>45844</v>
      </c>
      <c r="C567" t="s">
        <v>143</v>
      </c>
      <c r="D567" t="s">
        <v>58</v>
      </c>
      <c r="E567" t="s">
        <v>59</v>
      </c>
      <c r="F567" t="s">
        <v>23</v>
      </c>
      <c r="G567" t="s">
        <v>110</v>
      </c>
      <c r="H567" s="7">
        <v>2</v>
      </c>
      <c r="I567" s="4">
        <v>7770.76</v>
      </c>
      <c r="J567" s="23">
        <v>0.05</v>
      </c>
      <c r="K567" s="4">
        <v>7382.22</v>
      </c>
      <c r="L567" s="4">
        <v>5668.36</v>
      </c>
      <c r="M567" s="4">
        <v>1713.86</v>
      </c>
      <c r="N567" t="s">
        <v>25</v>
      </c>
      <c r="O567" s="7">
        <v>42</v>
      </c>
      <c r="P567" s="2">
        <v>45845.75</v>
      </c>
      <c r="Q567" t="s">
        <v>60</v>
      </c>
      <c r="R567">
        <v>7</v>
      </c>
      <c r="S567" t="s">
        <v>42</v>
      </c>
      <c r="T567">
        <f>IF(orders[[#This Row],[Status]]="Completed",1,0)</f>
        <v>1</v>
      </c>
      <c r="U567">
        <f>IF(orders[[#This Row],[Status]]="Pending",1,0)</f>
        <v>0</v>
      </c>
      <c r="V567">
        <f>IF(orders[[#This Row],[Status]]="Delayed",1,0)</f>
        <v>0</v>
      </c>
      <c r="W567">
        <f>IF(orders[[#This Row],[Status]]="Cancelled",1,0)</f>
        <v>0</v>
      </c>
    </row>
    <row r="568" spans="1:23" x14ac:dyDescent="0.35">
      <c r="A568" t="s">
        <v>906</v>
      </c>
      <c r="B568" s="1">
        <v>45676</v>
      </c>
      <c r="C568" t="s">
        <v>907</v>
      </c>
      <c r="D568" t="s">
        <v>149</v>
      </c>
      <c r="E568" t="s">
        <v>113</v>
      </c>
      <c r="F568" t="s">
        <v>83</v>
      </c>
      <c r="G568" t="s">
        <v>152</v>
      </c>
      <c r="H568" s="7">
        <v>1</v>
      </c>
      <c r="I568" s="4">
        <v>1907.34</v>
      </c>
      <c r="J568" s="23">
        <v>0.05</v>
      </c>
      <c r="K568" s="4">
        <v>1811.97</v>
      </c>
      <c r="L568" s="4">
        <v>1496.52</v>
      </c>
      <c r="M568" s="4">
        <v>315.45</v>
      </c>
      <c r="N568" t="s">
        <v>85</v>
      </c>
      <c r="O568" s="7">
        <v>90</v>
      </c>
      <c r="P568" s="2">
        <v>45679.75</v>
      </c>
      <c r="Q568" t="s">
        <v>65</v>
      </c>
      <c r="R568">
        <v>1</v>
      </c>
      <c r="S568" t="s">
        <v>55</v>
      </c>
      <c r="T568">
        <f>IF(orders[[#This Row],[Status]]="Completed",1,0)</f>
        <v>0</v>
      </c>
      <c r="U568">
        <f>IF(orders[[#This Row],[Status]]="Pending",1,0)</f>
        <v>0</v>
      </c>
      <c r="V568">
        <f>IF(orders[[#This Row],[Status]]="Delayed",1,0)</f>
        <v>1</v>
      </c>
      <c r="W568">
        <f>IF(orders[[#This Row],[Status]]="Cancelled",1,0)</f>
        <v>0</v>
      </c>
    </row>
    <row r="569" spans="1:23" x14ac:dyDescent="0.35">
      <c r="A569" t="s">
        <v>908</v>
      </c>
      <c r="B569" s="1">
        <v>45834</v>
      </c>
      <c r="C569" t="s">
        <v>513</v>
      </c>
      <c r="D569" t="s">
        <v>30</v>
      </c>
      <c r="E569" t="s">
        <v>31</v>
      </c>
      <c r="F569" t="s">
        <v>72</v>
      </c>
      <c r="G569" t="s">
        <v>104</v>
      </c>
      <c r="H569" s="7">
        <v>7</v>
      </c>
      <c r="I569" s="4">
        <v>41356.14</v>
      </c>
      <c r="J569" s="23">
        <v>0.05</v>
      </c>
      <c r="K569" s="4">
        <v>39288.33</v>
      </c>
      <c r="L569" s="4">
        <v>30923.360000000001</v>
      </c>
      <c r="M569" s="4">
        <v>8364.9699999999993</v>
      </c>
      <c r="N569" t="s">
        <v>25</v>
      </c>
      <c r="O569" s="7">
        <v>19</v>
      </c>
      <c r="P569" s="2">
        <v>45834.791666666664</v>
      </c>
      <c r="Q569" t="s">
        <v>99</v>
      </c>
      <c r="R569">
        <v>6</v>
      </c>
      <c r="S569" t="s">
        <v>27</v>
      </c>
      <c r="T569">
        <f>IF(orders[[#This Row],[Status]]="Completed",1,0)</f>
        <v>1</v>
      </c>
      <c r="U569">
        <f>IF(orders[[#This Row],[Status]]="Pending",1,0)</f>
        <v>0</v>
      </c>
      <c r="V569">
        <f>IF(orders[[#This Row],[Status]]="Delayed",1,0)</f>
        <v>0</v>
      </c>
      <c r="W569">
        <f>IF(orders[[#This Row],[Status]]="Cancelled",1,0)</f>
        <v>0</v>
      </c>
    </row>
    <row r="570" spans="1:23" x14ac:dyDescent="0.35">
      <c r="A570" t="s">
        <v>909</v>
      </c>
      <c r="B570" s="1">
        <v>45757</v>
      </c>
      <c r="C570" t="s">
        <v>109</v>
      </c>
      <c r="D570" t="s">
        <v>21</v>
      </c>
      <c r="E570" t="s">
        <v>92</v>
      </c>
      <c r="F570" t="s">
        <v>32</v>
      </c>
      <c r="G570" t="s">
        <v>53</v>
      </c>
      <c r="H570" s="7">
        <v>7</v>
      </c>
      <c r="I570" s="4">
        <v>52328.78</v>
      </c>
      <c r="J570" s="23">
        <v>0.2</v>
      </c>
      <c r="K570" s="4">
        <v>41863.019999999997</v>
      </c>
      <c r="L570" s="4">
        <v>30253.37</v>
      </c>
      <c r="M570" s="4">
        <v>11609.65</v>
      </c>
      <c r="N570" t="s">
        <v>85</v>
      </c>
      <c r="O570" s="7">
        <v>70</v>
      </c>
      <c r="P570" s="2">
        <v>45759.916666666664</v>
      </c>
      <c r="Q570" t="s">
        <v>26</v>
      </c>
      <c r="R570">
        <v>4</v>
      </c>
      <c r="S570" t="s">
        <v>27</v>
      </c>
      <c r="T570">
        <f>IF(orders[[#This Row],[Status]]="Completed",1,0)</f>
        <v>0</v>
      </c>
      <c r="U570">
        <f>IF(orders[[#This Row],[Status]]="Pending",1,0)</f>
        <v>0</v>
      </c>
      <c r="V570">
        <f>IF(orders[[#This Row],[Status]]="Delayed",1,0)</f>
        <v>1</v>
      </c>
      <c r="W570">
        <f>IF(orders[[#This Row],[Status]]="Cancelled",1,0)</f>
        <v>0</v>
      </c>
    </row>
    <row r="571" spans="1:23" x14ac:dyDescent="0.35">
      <c r="A571" t="s">
        <v>910</v>
      </c>
      <c r="B571" s="1">
        <v>45890</v>
      </c>
      <c r="C571" t="s">
        <v>138</v>
      </c>
      <c r="D571" t="s">
        <v>45</v>
      </c>
      <c r="E571" t="s">
        <v>22</v>
      </c>
      <c r="F571" t="s">
        <v>72</v>
      </c>
      <c r="G571" t="s">
        <v>129</v>
      </c>
      <c r="H571" s="7">
        <v>5</v>
      </c>
      <c r="I571" s="4">
        <v>12872.6</v>
      </c>
      <c r="J571" s="23">
        <v>0.1</v>
      </c>
      <c r="K571" s="4">
        <v>11585.34</v>
      </c>
      <c r="L571" s="4">
        <v>6544.42</v>
      </c>
      <c r="M571" s="4">
        <v>5040.92</v>
      </c>
      <c r="N571" t="s">
        <v>25</v>
      </c>
      <c r="O571" s="7">
        <v>10</v>
      </c>
      <c r="P571" s="2">
        <v>45890.416666666664</v>
      </c>
      <c r="Q571" t="s">
        <v>80</v>
      </c>
      <c r="R571">
        <v>8</v>
      </c>
      <c r="S571" t="s">
        <v>42</v>
      </c>
      <c r="T571">
        <f>IF(orders[[#This Row],[Status]]="Completed",1,0)</f>
        <v>1</v>
      </c>
      <c r="U571">
        <f>IF(orders[[#This Row],[Status]]="Pending",1,0)</f>
        <v>0</v>
      </c>
      <c r="V571">
        <f>IF(orders[[#This Row],[Status]]="Delayed",1,0)</f>
        <v>0</v>
      </c>
      <c r="W571">
        <f>IF(orders[[#This Row],[Status]]="Cancelled",1,0)</f>
        <v>0</v>
      </c>
    </row>
    <row r="572" spans="1:23" x14ac:dyDescent="0.35">
      <c r="A572" t="s">
        <v>911</v>
      </c>
      <c r="B572" s="1">
        <v>45733</v>
      </c>
      <c r="C572" t="s">
        <v>912</v>
      </c>
      <c r="D572" t="s">
        <v>58</v>
      </c>
      <c r="E572" t="s">
        <v>92</v>
      </c>
      <c r="F572" t="s">
        <v>32</v>
      </c>
      <c r="G572" t="s">
        <v>53</v>
      </c>
      <c r="H572" s="7">
        <v>7</v>
      </c>
      <c r="I572" s="4">
        <v>5843.53</v>
      </c>
      <c r="J572" s="23">
        <v>0.1</v>
      </c>
      <c r="K572" s="4">
        <v>5259.18</v>
      </c>
      <c r="L572" s="4">
        <v>4512.5600000000004</v>
      </c>
      <c r="M572" s="4">
        <v>746.62</v>
      </c>
      <c r="N572" t="s">
        <v>25</v>
      </c>
      <c r="O572" s="7">
        <v>30</v>
      </c>
      <c r="P572" s="2">
        <v>45734.25</v>
      </c>
      <c r="Q572" t="s">
        <v>54</v>
      </c>
      <c r="R572">
        <v>3</v>
      </c>
      <c r="S572" t="s">
        <v>55</v>
      </c>
      <c r="T572">
        <f>IF(orders[[#This Row],[Status]]="Completed",1,0)</f>
        <v>1</v>
      </c>
      <c r="U572">
        <f>IF(orders[[#This Row],[Status]]="Pending",1,0)</f>
        <v>0</v>
      </c>
      <c r="V572">
        <f>IF(orders[[#This Row],[Status]]="Delayed",1,0)</f>
        <v>0</v>
      </c>
      <c r="W572">
        <f>IF(orders[[#This Row],[Status]]="Cancelled",1,0)</f>
        <v>0</v>
      </c>
    </row>
    <row r="573" spans="1:23" x14ac:dyDescent="0.35">
      <c r="A573" t="s">
        <v>913</v>
      </c>
      <c r="B573" s="1">
        <v>45922</v>
      </c>
      <c r="C573" t="s">
        <v>71</v>
      </c>
      <c r="D573" t="s">
        <v>45</v>
      </c>
      <c r="E573" t="s">
        <v>92</v>
      </c>
      <c r="F573" t="s">
        <v>23</v>
      </c>
      <c r="G573" t="s">
        <v>136</v>
      </c>
      <c r="H573" s="7">
        <v>1</v>
      </c>
      <c r="I573" s="4">
        <v>2642.42</v>
      </c>
      <c r="J573" s="23">
        <v>0.15</v>
      </c>
      <c r="K573" s="4">
        <v>2246.06</v>
      </c>
      <c r="L573" s="4">
        <v>1758.24</v>
      </c>
      <c r="M573" s="4">
        <v>487.82</v>
      </c>
      <c r="N573" t="s">
        <v>48</v>
      </c>
      <c r="O573" s="7">
        <v>0</v>
      </c>
      <c r="P573" s="2">
        <v>45922</v>
      </c>
      <c r="Q573" t="s">
        <v>41</v>
      </c>
      <c r="R573">
        <v>9</v>
      </c>
      <c r="S573" t="s">
        <v>42</v>
      </c>
      <c r="T573">
        <f>IF(orders[[#This Row],[Status]]="Completed",1,0)</f>
        <v>0</v>
      </c>
      <c r="U573">
        <f>IF(orders[[#This Row],[Status]]="Pending",1,0)</f>
        <v>0</v>
      </c>
      <c r="V573">
        <f>IF(orders[[#This Row],[Status]]="Delayed",1,0)</f>
        <v>0</v>
      </c>
      <c r="W573">
        <f>IF(orders[[#This Row],[Status]]="Cancelled",1,0)</f>
        <v>1</v>
      </c>
    </row>
    <row r="574" spans="1:23" x14ac:dyDescent="0.35">
      <c r="A574" t="s">
        <v>914</v>
      </c>
      <c r="B574" s="1">
        <v>45941</v>
      </c>
      <c r="C574" t="s">
        <v>751</v>
      </c>
      <c r="D574" t="s">
        <v>30</v>
      </c>
      <c r="E574" t="s">
        <v>31</v>
      </c>
      <c r="F574" t="s">
        <v>23</v>
      </c>
      <c r="G574" t="s">
        <v>24</v>
      </c>
      <c r="H574" s="7">
        <v>6</v>
      </c>
      <c r="I574" s="4">
        <v>34585.32</v>
      </c>
      <c r="J574" s="23">
        <v>0.05</v>
      </c>
      <c r="K574" s="4">
        <v>32856.050000000003</v>
      </c>
      <c r="L574" s="4">
        <v>26157.86</v>
      </c>
      <c r="M574" s="4">
        <v>6698.19</v>
      </c>
      <c r="N574" t="s">
        <v>48</v>
      </c>
      <c r="O574" s="7">
        <v>23</v>
      </c>
      <c r="P574" s="2">
        <v>45941.958333333336</v>
      </c>
      <c r="Q574" t="s">
        <v>116</v>
      </c>
      <c r="R574">
        <v>10</v>
      </c>
      <c r="S574" t="s">
        <v>35</v>
      </c>
      <c r="T574">
        <f>IF(orders[[#This Row],[Status]]="Completed",1,0)</f>
        <v>0</v>
      </c>
      <c r="U574">
        <f>IF(orders[[#This Row],[Status]]="Pending",1,0)</f>
        <v>0</v>
      </c>
      <c r="V574">
        <f>IF(orders[[#This Row],[Status]]="Delayed",1,0)</f>
        <v>0</v>
      </c>
      <c r="W574">
        <f>IF(orders[[#This Row],[Status]]="Cancelled",1,0)</f>
        <v>1</v>
      </c>
    </row>
    <row r="575" spans="1:23" x14ac:dyDescent="0.35">
      <c r="A575" t="s">
        <v>915</v>
      </c>
      <c r="B575" s="1">
        <v>45863</v>
      </c>
      <c r="C575" t="s">
        <v>279</v>
      </c>
      <c r="D575" t="s">
        <v>68</v>
      </c>
      <c r="E575" t="s">
        <v>52</v>
      </c>
      <c r="F575" t="s">
        <v>39</v>
      </c>
      <c r="G575" t="s">
        <v>93</v>
      </c>
      <c r="H575" s="7">
        <v>4</v>
      </c>
      <c r="I575" s="4">
        <v>11580.6</v>
      </c>
      <c r="J575" s="23">
        <v>0.15</v>
      </c>
      <c r="K575" s="4">
        <v>9843.51</v>
      </c>
      <c r="L575" s="4">
        <v>7995.34</v>
      </c>
      <c r="M575" s="4">
        <v>1848.17</v>
      </c>
      <c r="N575" t="s">
        <v>25</v>
      </c>
      <c r="O575" s="7">
        <v>18</v>
      </c>
      <c r="P575" s="2">
        <v>45863.75</v>
      </c>
      <c r="Q575" t="s">
        <v>60</v>
      </c>
      <c r="R575">
        <v>7</v>
      </c>
      <c r="S575" t="s">
        <v>42</v>
      </c>
      <c r="T575">
        <f>IF(orders[[#This Row],[Status]]="Completed",1,0)</f>
        <v>1</v>
      </c>
      <c r="U575">
        <f>IF(orders[[#This Row],[Status]]="Pending",1,0)</f>
        <v>0</v>
      </c>
      <c r="V575">
        <f>IF(orders[[#This Row],[Status]]="Delayed",1,0)</f>
        <v>0</v>
      </c>
      <c r="W575">
        <f>IF(orders[[#This Row],[Status]]="Cancelled",1,0)</f>
        <v>0</v>
      </c>
    </row>
    <row r="576" spans="1:23" x14ac:dyDescent="0.35">
      <c r="A576" t="s">
        <v>916</v>
      </c>
      <c r="B576" s="1">
        <v>45880</v>
      </c>
      <c r="C576" t="s">
        <v>339</v>
      </c>
      <c r="D576" t="s">
        <v>77</v>
      </c>
      <c r="E576" t="s">
        <v>59</v>
      </c>
      <c r="F576" t="s">
        <v>72</v>
      </c>
      <c r="G576" t="s">
        <v>146</v>
      </c>
      <c r="H576" s="7">
        <v>2</v>
      </c>
      <c r="I576" s="4">
        <v>4944.4799999999996</v>
      </c>
      <c r="J576" s="23">
        <v>0.1</v>
      </c>
      <c r="K576" s="4">
        <v>4450.03</v>
      </c>
      <c r="L576" s="4">
        <v>3545.59</v>
      </c>
      <c r="M576" s="4">
        <v>904.44</v>
      </c>
      <c r="N576" t="s">
        <v>25</v>
      </c>
      <c r="O576" s="7">
        <v>31</v>
      </c>
      <c r="P576" s="2">
        <v>45881.291666666664</v>
      </c>
      <c r="Q576" t="s">
        <v>80</v>
      </c>
      <c r="R576">
        <v>8</v>
      </c>
      <c r="S576" t="s">
        <v>42</v>
      </c>
      <c r="T576">
        <f>IF(orders[[#This Row],[Status]]="Completed",1,0)</f>
        <v>1</v>
      </c>
      <c r="U576">
        <f>IF(orders[[#This Row],[Status]]="Pending",1,0)</f>
        <v>0</v>
      </c>
      <c r="V576">
        <f>IF(orders[[#This Row],[Status]]="Delayed",1,0)</f>
        <v>0</v>
      </c>
      <c r="W576">
        <f>IF(orders[[#This Row],[Status]]="Cancelled",1,0)</f>
        <v>0</v>
      </c>
    </row>
    <row r="577" spans="1:23" x14ac:dyDescent="0.35">
      <c r="A577" t="s">
        <v>917</v>
      </c>
      <c r="B577" s="1">
        <v>45709</v>
      </c>
      <c r="C577" t="s">
        <v>437</v>
      </c>
      <c r="D577" t="s">
        <v>45</v>
      </c>
      <c r="E577" t="s">
        <v>92</v>
      </c>
      <c r="F577" t="s">
        <v>32</v>
      </c>
      <c r="G577" t="s">
        <v>89</v>
      </c>
      <c r="H577" s="7">
        <v>4</v>
      </c>
      <c r="I577" s="4">
        <v>6760.12</v>
      </c>
      <c r="J577" s="23">
        <v>0.15</v>
      </c>
      <c r="K577" s="4">
        <v>5746.1</v>
      </c>
      <c r="L577" s="4">
        <v>3996.81</v>
      </c>
      <c r="M577" s="4">
        <v>1749.29</v>
      </c>
      <c r="N577" t="s">
        <v>85</v>
      </c>
      <c r="O577" s="7">
        <v>51</v>
      </c>
      <c r="P577" s="2">
        <v>45711.125</v>
      </c>
      <c r="Q577" t="s">
        <v>139</v>
      </c>
      <c r="R577">
        <v>2</v>
      </c>
      <c r="S577" t="s">
        <v>55</v>
      </c>
      <c r="T577">
        <f>IF(orders[[#This Row],[Status]]="Completed",1,0)</f>
        <v>0</v>
      </c>
      <c r="U577">
        <f>IF(orders[[#This Row],[Status]]="Pending",1,0)</f>
        <v>0</v>
      </c>
      <c r="V577">
        <f>IF(orders[[#This Row],[Status]]="Delayed",1,0)</f>
        <v>1</v>
      </c>
      <c r="W577">
        <f>IF(orders[[#This Row],[Status]]="Cancelled",1,0)</f>
        <v>0</v>
      </c>
    </row>
    <row r="578" spans="1:23" x14ac:dyDescent="0.35">
      <c r="A578" t="s">
        <v>918</v>
      </c>
      <c r="B578" s="1">
        <v>45996</v>
      </c>
      <c r="C578" t="s">
        <v>446</v>
      </c>
      <c r="D578" t="s">
        <v>21</v>
      </c>
      <c r="E578" t="s">
        <v>113</v>
      </c>
      <c r="F578" t="s">
        <v>23</v>
      </c>
      <c r="G578" t="s">
        <v>24</v>
      </c>
      <c r="H578" s="7">
        <v>4</v>
      </c>
      <c r="I578" s="4">
        <v>17217.04</v>
      </c>
      <c r="J578" s="23">
        <v>0.1</v>
      </c>
      <c r="K578" s="4">
        <v>15495.34</v>
      </c>
      <c r="L578" s="4">
        <v>12273.78</v>
      </c>
      <c r="M578" s="4">
        <v>3221.56</v>
      </c>
      <c r="N578" t="s">
        <v>48</v>
      </c>
      <c r="O578" s="7">
        <v>22</v>
      </c>
      <c r="P578" s="2">
        <v>45996.916666666664</v>
      </c>
      <c r="Q578" t="s">
        <v>34</v>
      </c>
      <c r="R578">
        <v>12</v>
      </c>
      <c r="S578" t="s">
        <v>35</v>
      </c>
      <c r="T578">
        <f>IF(orders[[#This Row],[Status]]="Completed",1,0)</f>
        <v>0</v>
      </c>
      <c r="U578">
        <f>IF(orders[[#This Row],[Status]]="Pending",1,0)</f>
        <v>0</v>
      </c>
      <c r="V578">
        <f>IF(orders[[#This Row],[Status]]="Delayed",1,0)</f>
        <v>0</v>
      </c>
      <c r="W578">
        <f>IF(orders[[#This Row],[Status]]="Cancelled",1,0)</f>
        <v>1</v>
      </c>
    </row>
    <row r="579" spans="1:23" x14ac:dyDescent="0.35">
      <c r="A579" t="s">
        <v>919</v>
      </c>
      <c r="B579" s="1">
        <v>45801</v>
      </c>
      <c r="C579" t="s">
        <v>706</v>
      </c>
      <c r="D579" t="s">
        <v>21</v>
      </c>
      <c r="E579" t="s">
        <v>78</v>
      </c>
      <c r="F579" t="s">
        <v>83</v>
      </c>
      <c r="G579" t="s">
        <v>84</v>
      </c>
      <c r="H579" s="7">
        <v>3</v>
      </c>
      <c r="I579" s="4">
        <v>7362.51</v>
      </c>
      <c r="J579" s="23">
        <v>0.05</v>
      </c>
      <c r="K579" s="4">
        <v>6994.38</v>
      </c>
      <c r="L579" s="4">
        <v>5289.56</v>
      </c>
      <c r="M579" s="4">
        <v>1704.82</v>
      </c>
      <c r="N579" t="s">
        <v>48</v>
      </c>
      <c r="O579" s="7">
        <v>24</v>
      </c>
      <c r="P579" s="2">
        <v>45802</v>
      </c>
      <c r="Q579" t="s">
        <v>74</v>
      </c>
      <c r="R579">
        <v>5</v>
      </c>
      <c r="S579" t="s">
        <v>27</v>
      </c>
      <c r="T579">
        <f>IF(orders[[#This Row],[Status]]="Completed",1,0)</f>
        <v>0</v>
      </c>
      <c r="U579">
        <f>IF(orders[[#This Row],[Status]]="Pending",1,0)</f>
        <v>0</v>
      </c>
      <c r="V579">
        <f>IF(orders[[#This Row],[Status]]="Delayed",1,0)</f>
        <v>0</v>
      </c>
      <c r="W579">
        <f>IF(orders[[#This Row],[Status]]="Cancelled",1,0)</f>
        <v>1</v>
      </c>
    </row>
    <row r="580" spans="1:23" x14ac:dyDescent="0.35">
      <c r="A580" t="s">
        <v>920</v>
      </c>
      <c r="B580" s="1">
        <v>45726</v>
      </c>
      <c r="C580" t="s">
        <v>478</v>
      </c>
      <c r="D580" t="s">
        <v>51</v>
      </c>
      <c r="E580" t="s">
        <v>59</v>
      </c>
      <c r="F580" t="s">
        <v>23</v>
      </c>
      <c r="G580" t="s">
        <v>69</v>
      </c>
      <c r="H580" s="7">
        <v>6</v>
      </c>
      <c r="I580" s="4">
        <v>37523.64</v>
      </c>
      <c r="J580" s="23">
        <v>0.05</v>
      </c>
      <c r="K580" s="4">
        <v>35647.46</v>
      </c>
      <c r="L580" s="4">
        <v>29652.46</v>
      </c>
      <c r="M580" s="4">
        <v>5995</v>
      </c>
      <c r="N580" t="s">
        <v>48</v>
      </c>
      <c r="O580" s="7">
        <v>12</v>
      </c>
      <c r="P580" s="2">
        <v>45726.5</v>
      </c>
      <c r="Q580" t="s">
        <v>54</v>
      </c>
      <c r="R580">
        <v>3</v>
      </c>
      <c r="S580" t="s">
        <v>55</v>
      </c>
      <c r="T580">
        <f>IF(orders[[#This Row],[Status]]="Completed",1,0)</f>
        <v>0</v>
      </c>
      <c r="U580">
        <f>IF(orders[[#This Row],[Status]]="Pending",1,0)</f>
        <v>0</v>
      </c>
      <c r="V580">
        <f>IF(orders[[#This Row],[Status]]="Delayed",1,0)</f>
        <v>0</v>
      </c>
      <c r="W580">
        <f>IF(orders[[#This Row],[Status]]="Cancelled",1,0)</f>
        <v>1</v>
      </c>
    </row>
    <row r="581" spans="1:23" x14ac:dyDescent="0.35">
      <c r="A581" t="s">
        <v>921</v>
      </c>
      <c r="B581" s="1">
        <v>45756</v>
      </c>
      <c r="C581" t="s">
        <v>538</v>
      </c>
      <c r="D581" t="s">
        <v>45</v>
      </c>
      <c r="E581" t="s">
        <v>113</v>
      </c>
      <c r="F581" t="s">
        <v>83</v>
      </c>
      <c r="G581" t="s">
        <v>84</v>
      </c>
      <c r="H581" s="7">
        <v>3</v>
      </c>
      <c r="I581" s="4">
        <v>2369.4</v>
      </c>
      <c r="J581" s="23">
        <v>0.15</v>
      </c>
      <c r="K581" s="4">
        <v>2013.99</v>
      </c>
      <c r="L581" s="4">
        <v>1641.02</v>
      </c>
      <c r="M581" s="4">
        <v>372.97</v>
      </c>
      <c r="N581" t="s">
        <v>25</v>
      </c>
      <c r="O581" s="7">
        <v>41</v>
      </c>
      <c r="P581" s="2">
        <v>45757.708333333336</v>
      </c>
      <c r="Q581" t="s">
        <v>26</v>
      </c>
      <c r="R581">
        <v>4</v>
      </c>
      <c r="S581" t="s">
        <v>27</v>
      </c>
      <c r="T581">
        <f>IF(orders[[#This Row],[Status]]="Completed",1,0)</f>
        <v>1</v>
      </c>
      <c r="U581">
        <f>IF(orders[[#This Row],[Status]]="Pending",1,0)</f>
        <v>0</v>
      </c>
      <c r="V581">
        <f>IF(orders[[#This Row],[Status]]="Delayed",1,0)</f>
        <v>0</v>
      </c>
      <c r="W581">
        <f>IF(orders[[#This Row],[Status]]="Cancelled",1,0)</f>
        <v>0</v>
      </c>
    </row>
    <row r="582" spans="1:23" x14ac:dyDescent="0.35">
      <c r="A582" t="s">
        <v>922</v>
      </c>
      <c r="B582" s="1">
        <v>45682</v>
      </c>
      <c r="C582" t="s">
        <v>121</v>
      </c>
      <c r="D582" t="s">
        <v>77</v>
      </c>
      <c r="E582" t="s">
        <v>59</v>
      </c>
      <c r="F582" t="s">
        <v>32</v>
      </c>
      <c r="G582" t="s">
        <v>89</v>
      </c>
      <c r="H582" s="7">
        <v>7</v>
      </c>
      <c r="I582" s="4">
        <v>39862.76</v>
      </c>
      <c r="J582" s="23">
        <v>0.1</v>
      </c>
      <c r="K582" s="4">
        <v>35876.480000000003</v>
      </c>
      <c r="L582" s="4">
        <v>20221.91</v>
      </c>
      <c r="M582" s="4">
        <v>15654.57</v>
      </c>
      <c r="N582" t="s">
        <v>48</v>
      </c>
      <c r="O582" s="7">
        <v>15</v>
      </c>
      <c r="P582" s="2">
        <v>45682.625</v>
      </c>
      <c r="Q582" t="s">
        <v>65</v>
      </c>
      <c r="R582">
        <v>1</v>
      </c>
      <c r="S582" t="s">
        <v>55</v>
      </c>
      <c r="T582">
        <f>IF(orders[[#This Row],[Status]]="Completed",1,0)</f>
        <v>0</v>
      </c>
      <c r="U582">
        <f>IF(orders[[#This Row],[Status]]="Pending",1,0)</f>
        <v>0</v>
      </c>
      <c r="V582">
        <f>IF(orders[[#This Row],[Status]]="Delayed",1,0)</f>
        <v>0</v>
      </c>
      <c r="W582">
        <f>IF(orders[[#This Row],[Status]]="Cancelled",1,0)</f>
        <v>1</v>
      </c>
    </row>
    <row r="583" spans="1:23" x14ac:dyDescent="0.35">
      <c r="A583" t="s">
        <v>923</v>
      </c>
      <c r="B583" s="1">
        <v>45710</v>
      </c>
      <c r="C583" t="s">
        <v>486</v>
      </c>
      <c r="D583" t="s">
        <v>63</v>
      </c>
      <c r="E583" t="s">
        <v>46</v>
      </c>
      <c r="F583" t="s">
        <v>23</v>
      </c>
      <c r="G583" t="s">
        <v>122</v>
      </c>
      <c r="H583" s="7">
        <v>4</v>
      </c>
      <c r="I583" s="4">
        <v>8534.52</v>
      </c>
      <c r="J583" s="23">
        <v>0.05</v>
      </c>
      <c r="K583" s="4">
        <v>8107.79</v>
      </c>
      <c r="L583" s="4">
        <v>5473.02</v>
      </c>
      <c r="M583" s="4">
        <v>2634.77</v>
      </c>
      <c r="N583" t="s">
        <v>25</v>
      </c>
      <c r="O583" s="7">
        <v>35</v>
      </c>
      <c r="P583" s="2">
        <v>45711.458333333336</v>
      </c>
      <c r="Q583" t="s">
        <v>139</v>
      </c>
      <c r="R583">
        <v>2</v>
      </c>
      <c r="S583" t="s">
        <v>55</v>
      </c>
      <c r="T583">
        <f>IF(orders[[#This Row],[Status]]="Completed",1,0)</f>
        <v>1</v>
      </c>
      <c r="U583">
        <f>IF(orders[[#This Row],[Status]]="Pending",1,0)</f>
        <v>0</v>
      </c>
      <c r="V583">
        <f>IF(orders[[#This Row],[Status]]="Delayed",1,0)</f>
        <v>0</v>
      </c>
      <c r="W583">
        <f>IF(orders[[#This Row],[Status]]="Cancelled",1,0)</f>
        <v>0</v>
      </c>
    </row>
    <row r="584" spans="1:23" x14ac:dyDescent="0.35">
      <c r="A584" t="s">
        <v>924</v>
      </c>
      <c r="B584" s="1">
        <v>45808</v>
      </c>
      <c r="C584" t="s">
        <v>925</v>
      </c>
      <c r="D584" t="s">
        <v>38</v>
      </c>
      <c r="E584" t="s">
        <v>59</v>
      </c>
      <c r="F584" t="s">
        <v>23</v>
      </c>
      <c r="G584" t="s">
        <v>136</v>
      </c>
      <c r="H584" s="7">
        <v>2</v>
      </c>
      <c r="I584" s="4">
        <v>8470.9599999999991</v>
      </c>
      <c r="J584" s="23">
        <v>0.2</v>
      </c>
      <c r="K584" s="4">
        <v>6776.77</v>
      </c>
      <c r="L584" s="4">
        <v>3804.86</v>
      </c>
      <c r="M584" s="4">
        <v>2971.91</v>
      </c>
      <c r="N584" t="s">
        <v>48</v>
      </c>
      <c r="O584" s="7">
        <v>24</v>
      </c>
      <c r="P584" s="2">
        <v>45809</v>
      </c>
      <c r="Q584" t="s">
        <v>74</v>
      </c>
      <c r="R584">
        <v>5</v>
      </c>
      <c r="S584" t="s">
        <v>27</v>
      </c>
      <c r="T584">
        <f>IF(orders[[#This Row],[Status]]="Completed",1,0)</f>
        <v>0</v>
      </c>
      <c r="U584">
        <f>IF(orders[[#This Row],[Status]]="Pending",1,0)</f>
        <v>0</v>
      </c>
      <c r="V584">
        <f>IF(orders[[#This Row],[Status]]="Delayed",1,0)</f>
        <v>0</v>
      </c>
      <c r="W584">
        <f>IF(orders[[#This Row],[Status]]="Cancelled",1,0)</f>
        <v>1</v>
      </c>
    </row>
    <row r="585" spans="1:23" x14ac:dyDescent="0.35">
      <c r="A585" t="s">
        <v>926</v>
      </c>
      <c r="B585" s="1">
        <v>45801</v>
      </c>
      <c r="C585" t="s">
        <v>297</v>
      </c>
      <c r="D585" t="s">
        <v>77</v>
      </c>
      <c r="E585" t="s">
        <v>22</v>
      </c>
      <c r="F585" t="s">
        <v>32</v>
      </c>
      <c r="G585" t="s">
        <v>64</v>
      </c>
      <c r="H585" s="7">
        <v>4</v>
      </c>
      <c r="I585" s="4">
        <v>10155.4</v>
      </c>
      <c r="J585" s="23">
        <v>0</v>
      </c>
      <c r="K585" s="4">
        <v>10155.4</v>
      </c>
      <c r="L585" s="4">
        <v>5927.55</v>
      </c>
      <c r="M585" s="4">
        <v>4227.8500000000004</v>
      </c>
      <c r="N585" t="s">
        <v>25</v>
      </c>
      <c r="O585" s="7">
        <v>42</v>
      </c>
      <c r="P585" s="2">
        <v>45802.75</v>
      </c>
      <c r="Q585" t="s">
        <v>74</v>
      </c>
      <c r="R585">
        <v>5</v>
      </c>
      <c r="S585" t="s">
        <v>27</v>
      </c>
      <c r="T585">
        <f>IF(orders[[#This Row],[Status]]="Completed",1,0)</f>
        <v>1</v>
      </c>
      <c r="U585">
        <f>IF(orders[[#This Row],[Status]]="Pending",1,0)</f>
        <v>0</v>
      </c>
      <c r="V585">
        <f>IF(orders[[#This Row],[Status]]="Delayed",1,0)</f>
        <v>0</v>
      </c>
      <c r="W585">
        <f>IF(orders[[#This Row],[Status]]="Cancelled",1,0)</f>
        <v>0</v>
      </c>
    </row>
    <row r="586" spans="1:23" x14ac:dyDescent="0.35">
      <c r="A586" t="s">
        <v>927</v>
      </c>
      <c r="B586" s="1">
        <v>45714</v>
      </c>
      <c r="C586" t="s">
        <v>143</v>
      </c>
      <c r="D586" t="s">
        <v>38</v>
      </c>
      <c r="E586" t="s">
        <v>113</v>
      </c>
      <c r="F586" t="s">
        <v>23</v>
      </c>
      <c r="G586" t="s">
        <v>136</v>
      </c>
      <c r="H586" s="7">
        <v>6</v>
      </c>
      <c r="I586" s="4">
        <v>37110.720000000001</v>
      </c>
      <c r="J586" s="23">
        <v>0.2</v>
      </c>
      <c r="K586" s="4">
        <v>29688.58</v>
      </c>
      <c r="L586" s="4">
        <v>22220.880000000001</v>
      </c>
      <c r="M586" s="4">
        <v>7467.7</v>
      </c>
      <c r="N586" t="s">
        <v>25</v>
      </c>
      <c r="O586" s="7">
        <v>23</v>
      </c>
      <c r="P586" s="2">
        <v>45714.958333333336</v>
      </c>
      <c r="Q586" t="s">
        <v>139</v>
      </c>
      <c r="R586">
        <v>2</v>
      </c>
      <c r="S586" t="s">
        <v>55</v>
      </c>
      <c r="T586">
        <f>IF(orders[[#This Row],[Status]]="Completed",1,0)</f>
        <v>1</v>
      </c>
      <c r="U586">
        <f>IF(orders[[#This Row],[Status]]="Pending",1,0)</f>
        <v>0</v>
      </c>
      <c r="V586">
        <f>IF(orders[[#This Row],[Status]]="Delayed",1,0)</f>
        <v>0</v>
      </c>
      <c r="W586">
        <f>IF(orders[[#This Row],[Status]]="Cancelled",1,0)</f>
        <v>0</v>
      </c>
    </row>
    <row r="587" spans="1:23" x14ac:dyDescent="0.35">
      <c r="A587" t="s">
        <v>928</v>
      </c>
      <c r="B587" s="1">
        <v>45696</v>
      </c>
      <c r="C587" t="s">
        <v>690</v>
      </c>
      <c r="D587" t="s">
        <v>38</v>
      </c>
      <c r="E587" t="s">
        <v>78</v>
      </c>
      <c r="F587" t="s">
        <v>83</v>
      </c>
      <c r="G587" t="s">
        <v>107</v>
      </c>
      <c r="H587" s="7">
        <v>3</v>
      </c>
      <c r="I587" s="4">
        <v>24129.93</v>
      </c>
      <c r="J587" s="23">
        <v>0.25</v>
      </c>
      <c r="K587" s="4">
        <v>18097.45</v>
      </c>
      <c r="L587" s="4">
        <v>15172.2</v>
      </c>
      <c r="M587" s="4">
        <v>2925.25</v>
      </c>
      <c r="N587" t="s">
        <v>25</v>
      </c>
      <c r="O587" s="7">
        <v>21</v>
      </c>
      <c r="P587" s="2">
        <v>45696.875</v>
      </c>
      <c r="Q587" t="s">
        <v>139</v>
      </c>
      <c r="R587">
        <v>2</v>
      </c>
      <c r="S587" t="s">
        <v>55</v>
      </c>
      <c r="T587">
        <f>IF(orders[[#This Row],[Status]]="Completed",1,0)</f>
        <v>1</v>
      </c>
      <c r="U587">
        <f>IF(orders[[#This Row],[Status]]="Pending",1,0)</f>
        <v>0</v>
      </c>
      <c r="V587">
        <f>IF(orders[[#This Row],[Status]]="Delayed",1,0)</f>
        <v>0</v>
      </c>
      <c r="W587">
        <f>IF(orders[[#This Row],[Status]]="Cancelled",1,0)</f>
        <v>0</v>
      </c>
    </row>
    <row r="588" spans="1:23" x14ac:dyDescent="0.35">
      <c r="A588" t="s">
        <v>929</v>
      </c>
      <c r="B588" s="1">
        <v>45766</v>
      </c>
      <c r="C588" t="s">
        <v>495</v>
      </c>
      <c r="D588" t="s">
        <v>68</v>
      </c>
      <c r="E588" t="s">
        <v>113</v>
      </c>
      <c r="F588" t="s">
        <v>23</v>
      </c>
      <c r="G588" t="s">
        <v>136</v>
      </c>
      <c r="H588" s="7">
        <v>2</v>
      </c>
      <c r="I588" s="4">
        <v>15615.18</v>
      </c>
      <c r="J588" s="23">
        <v>0.2</v>
      </c>
      <c r="K588" s="4">
        <v>12492.14</v>
      </c>
      <c r="L588" s="4">
        <v>7364.64</v>
      </c>
      <c r="M588" s="4">
        <v>5127.5</v>
      </c>
      <c r="N588" t="s">
        <v>25</v>
      </c>
      <c r="O588" s="7">
        <v>18</v>
      </c>
      <c r="P588" s="2">
        <v>45766.75</v>
      </c>
      <c r="Q588" t="s">
        <v>26</v>
      </c>
      <c r="R588">
        <v>4</v>
      </c>
      <c r="S588" t="s">
        <v>27</v>
      </c>
      <c r="T588">
        <f>IF(orders[[#This Row],[Status]]="Completed",1,0)</f>
        <v>1</v>
      </c>
      <c r="U588">
        <f>IF(orders[[#This Row],[Status]]="Pending",1,0)</f>
        <v>0</v>
      </c>
      <c r="V588">
        <f>IF(orders[[#This Row],[Status]]="Delayed",1,0)</f>
        <v>0</v>
      </c>
      <c r="W588">
        <f>IF(orders[[#This Row],[Status]]="Cancelled",1,0)</f>
        <v>0</v>
      </c>
    </row>
    <row r="589" spans="1:23" x14ac:dyDescent="0.35">
      <c r="A589" t="s">
        <v>930</v>
      </c>
      <c r="B589" s="1">
        <v>45838</v>
      </c>
      <c r="C589" t="s">
        <v>402</v>
      </c>
      <c r="D589" t="s">
        <v>51</v>
      </c>
      <c r="E589" t="s">
        <v>46</v>
      </c>
      <c r="F589" t="s">
        <v>72</v>
      </c>
      <c r="G589" t="s">
        <v>119</v>
      </c>
      <c r="H589" s="7">
        <v>4</v>
      </c>
      <c r="I589" s="4">
        <v>20086.439999999999</v>
      </c>
      <c r="J589" s="23">
        <v>0.15</v>
      </c>
      <c r="K589" s="4">
        <v>17073.47</v>
      </c>
      <c r="L589" s="4">
        <v>11931.96</v>
      </c>
      <c r="M589" s="4">
        <v>5141.51</v>
      </c>
      <c r="N589" t="s">
        <v>25</v>
      </c>
      <c r="O589" s="7">
        <v>25</v>
      </c>
      <c r="P589" s="2">
        <v>45839.041666666664</v>
      </c>
      <c r="Q589" t="s">
        <v>99</v>
      </c>
      <c r="R589">
        <v>6</v>
      </c>
      <c r="S589" t="s">
        <v>27</v>
      </c>
      <c r="T589">
        <f>IF(orders[[#This Row],[Status]]="Completed",1,0)</f>
        <v>1</v>
      </c>
      <c r="U589">
        <f>IF(orders[[#This Row],[Status]]="Pending",1,0)</f>
        <v>0</v>
      </c>
      <c r="V589">
        <f>IF(orders[[#This Row],[Status]]="Delayed",1,0)</f>
        <v>0</v>
      </c>
      <c r="W589">
        <f>IF(orders[[#This Row],[Status]]="Cancelled",1,0)</f>
        <v>0</v>
      </c>
    </row>
    <row r="590" spans="1:23" x14ac:dyDescent="0.35">
      <c r="A590" t="s">
        <v>931</v>
      </c>
      <c r="B590" s="1">
        <v>45699</v>
      </c>
      <c r="C590" t="s">
        <v>568</v>
      </c>
      <c r="D590" t="s">
        <v>77</v>
      </c>
      <c r="E590" t="s">
        <v>59</v>
      </c>
      <c r="F590" t="s">
        <v>39</v>
      </c>
      <c r="G590" t="s">
        <v>93</v>
      </c>
      <c r="H590" s="7">
        <v>5</v>
      </c>
      <c r="I590" s="4">
        <v>20064</v>
      </c>
      <c r="J590" s="23">
        <v>0.05</v>
      </c>
      <c r="K590" s="4">
        <v>19060.8</v>
      </c>
      <c r="L590" s="4">
        <v>16212.93</v>
      </c>
      <c r="M590" s="4">
        <v>2847.87</v>
      </c>
      <c r="N590" t="s">
        <v>48</v>
      </c>
      <c r="O590" s="7">
        <v>9</v>
      </c>
      <c r="P590" s="2">
        <v>45699.375</v>
      </c>
      <c r="Q590" t="s">
        <v>139</v>
      </c>
      <c r="R590">
        <v>2</v>
      </c>
      <c r="S590" t="s">
        <v>55</v>
      </c>
      <c r="T590">
        <f>IF(orders[[#This Row],[Status]]="Completed",1,0)</f>
        <v>0</v>
      </c>
      <c r="U590">
        <f>IF(orders[[#This Row],[Status]]="Pending",1,0)</f>
        <v>0</v>
      </c>
      <c r="V590">
        <f>IF(orders[[#This Row],[Status]]="Delayed",1,0)</f>
        <v>0</v>
      </c>
      <c r="W590">
        <f>IF(orders[[#This Row],[Status]]="Cancelled",1,0)</f>
        <v>1</v>
      </c>
    </row>
    <row r="591" spans="1:23" x14ac:dyDescent="0.35">
      <c r="A591" t="s">
        <v>932</v>
      </c>
      <c r="B591" s="1">
        <v>45843</v>
      </c>
      <c r="C591" t="s">
        <v>397</v>
      </c>
      <c r="D591" t="s">
        <v>77</v>
      </c>
      <c r="E591" t="s">
        <v>92</v>
      </c>
      <c r="F591" t="s">
        <v>83</v>
      </c>
      <c r="G591" t="s">
        <v>152</v>
      </c>
      <c r="H591" s="7">
        <v>6</v>
      </c>
      <c r="I591" s="4">
        <v>41896.86</v>
      </c>
      <c r="J591" s="23">
        <v>0.05</v>
      </c>
      <c r="K591" s="4">
        <v>39802.019999999997</v>
      </c>
      <c r="L591" s="4">
        <v>32586.68</v>
      </c>
      <c r="M591" s="4">
        <v>7215.34</v>
      </c>
      <c r="N591" t="s">
        <v>25</v>
      </c>
      <c r="O591" s="7">
        <v>24</v>
      </c>
      <c r="P591" s="2">
        <v>45844</v>
      </c>
      <c r="Q591" t="s">
        <v>60</v>
      </c>
      <c r="R591">
        <v>7</v>
      </c>
      <c r="S591" t="s">
        <v>42</v>
      </c>
      <c r="T591">
        <f>IF(orders[[#This Row],[Status]]="Completed",1,0)</f>
        <v>1</v>
      </c>
      <c r="U591">
        <f>IF(orders[[#This Row],[Status]]="Pending",1,0)</f>
        <v>0</v>
      </c>
      <c r="V591">
        <f>IF(orders[[#This Row],[Status]]="Delayed",1,0)</f>
        <v>0</v>
      </c>
      <c r="W591">
        <f>IF(orders[[#This Row],[Status]]="Cancelled",1,0)</f>
        <v>0</v>
      </c>
    </row>
    <row r="592" spans="1:23" x14ac:dyDescent="0.35">
      <c r="A592" t="s">
        <v>933</v>
      </c>
      <c r="B592" s="1">
        <v>45880</v>
      </c>
      <c r="C592" t="s">
        <v>203</v>
      </c>
      <c r="D592" t="s">
        <v>68</v>
      </c>
      <c r="E592" t="s">
        <v>78</v>
      </c>
      <c r="F592" t="s">
        <v>72</v>
      </c>
      <c r="G592" t="s">
        <v>119</v>
      </c>
      <c r="H592" s="7">
        <v>6</v>
      </c>
      <c r="I592" s="4">
        <v>35134.68</v>
      </c>
      <c r="J592" s="23">
        <v>0.15</v>
      </c>
      <c r="K592" s="4">
        <v>29864.48</v>
      </c>
      <c r="L592" s="4">
        <v>21546.94</v>
      </c>
      <c r="M592" s="4">
        <v>8317.5400000000009</v>
      </c>
      <c r="N592" t="s">
        <v>48</v>
      </c>
      <c r="O592" s="7">
        <v>5</v>
      </c>
      <c r="P592" s="2">
        <v>45880.208333333336</v>
      </c>
      <c r="Q592" t="s">
        <v>80</v>
      </c>
      <c r="R592">
        <v>8</v>
      </c>
      <c r="S592" t="s">
        <v>42</v>
      </c>
      <c r="T592">
        <f>IF(orders[[#This Row],[Status]]="Completed",1,0)</f>
        <v>0</v>
      </c>
      <c r="U592">
        <f>IF(orders[[#This Row],[Status]]="Pending",1,0)</f>
        <v>0</v>
      </c>
      <c r="V592">
        <f>IF(orders[[#This Row],[Status]]="Delayed",1,0)</f>
        <v>0</v>
      </c>
      <c r="W592">
        <f>IF(orders[[#This Row],[Status]]="Cancelled",1,0)</f>
        <v>1</v>
      </c>
    </row>
    <row r="593" spans="1:23" x14ac:dyDescent="0.35">
      <c r="A593" t="s">
        <v>934</v>
      </c>
      <c r="B593" s="1">
        <v>45779</v>
      </c>
      <c r="C593" t="s">
        <v>372</v>
      </c>
      <c r="D593" t="s">
        <v>45</v>
      </c>
      <c r="E593" t="s">
        <v>113</v>
      </c>
      <c r="F593" t="s">
        <v>32</v>
      </c>
      <c r="G593" t="s">
        <v>79</v>
      </c>
      <c r="H593" s="7">
        <v>5</v>
      </c>
      <c r="I593" s="4">
        <v>8413.7999999999993</v>
      </c>
      <c r="J593" s="23">
        <v>0.05</v>
      </c>
      <c r="K593" s="4">
        <v>7993.11</v>
      </c>
      <c r="L593" s="4">
        <v>6431.4</v>
      </c>
      <c r="M593" s="4">
        <v>1561.71</v>
      </c>
      <c r="N593" t="s">
        <v>85</v>
      </c>
      <c r="O593" s="7">
        <v>56</v>
      </c>
      <c r="P593" s="2">
        <v>45781.333333333336</v>
      </c>
      <c r="Q593" t="s">
        <v>74</v>
      </c>
      <c r="R593">
        <v>5</v>
      </c>
      <c r="S593" t="s">
        <v>27</v>
      </c>
      <c r="T593">
        <f>IF(orders[[#This Row],[Status]]="Completed",1,0)</f>
        <v>0</v>
      </c>
      <c r="U593">
        <f>IF(orders[[#This Row],[Status]]="Pending",1,0)</f>
        <v>0</v>
      </c>
      <c r="V593">
        <f>IF(orders[[#This Row],[Status]]="Delayed",1,0)</f>
        <v>1</v>
      </c>
      <c r="W593">
        <f>IF(orders[[#This Row],[Status]]="Cancelled",1,0)</f>
        <v>0</v>
      </c>
    </row>
    <row r="594" spans="1:23" x14ac:dyDescent="0.35">
      <c r="A594" t="s">
        <v>935</v>
      </c>
      <c r="B594" s="1">
        <v>45790</v>
      </c>
      <c r="C594" t="s">
        <v>216</v>
      </c>
      <c r="D594" t="s">
        <v>45</v>
      </c>
      <c r="E594" t="s">
        <v>46</v>
      </c>
      <c r="F594" t="s">
        <v>83</v>
      </c>
      <c r="G594" t="s">
        <v>155</v>
      </c>
      <c r="H594" s="7">
        <v>4</v>
      </c>
      <c r="I594" s="4">
        <v>28018.720000000001</v>
      </c>
      <c r="J594" s="23">
        <v>0</v>
      </c>
      <c r="K594" s="4">
        <v>28018.720000000001</v>
      </c>
      <c r="L594" s="4">
        <v>20243.22</v>
      </c>
      <c r="M594" s="4">
        <v>7775.5</v>
      </c>
      <c r="N594" t="s">
        <v>25</v>
      </c>
      <c r="O594" s="7">
        <v>46</v>
      </c>
      <c r="P594" s="2">
        <v>45791.916666666664</v>
      </c>
      <c r="Q594" t="s">
        <v>74</v>
      </c>
      <c r="R594">
        <v>5</v>
      </c>
      <c r="S594" t="s">
        <v>27</v>
      </c>
      <c r="T594">
        <f>IF(orders[[#This Row],[Status]]="Completed",1,0)</f>
        <v>1</v>
      </c>
      <c r="U594">
        <f>IF(orders[[#This Row],[Status]]="Pending",1,0)</f>
        <v>0</v>
      </c>
      <c r="V594">
        <f>IF(orders[[#This Row],[Status]]="Delayed",1,0)</f>
        <v>0</v>
      </c>
      <c r="W594">
        <f>IF(orders[[#This Row],[Status]]="Cancelled",1,0)</f>
        <v>0</v>
      </c>
    </row>
    <row r="595" spans="1:23" x14ac:dyDescent="0.35">
      <c r="A595" t="s">
        <v>936</v>
      </c>
      <c r="B595" s="1">
        <v>45820</v>
      </c>
      <c r="C595" t="s">
        <v>184</v>
      </c>
      <c r="D595" t="s">
        <v>45</v>
      </c>
      <c r="E595" t="s">
        <v>78</v>
      </c>
      <c r="F595" t="s">
        <v>39</v>
      </c>
      <c r="G595" t="s">
        <v>40</v>
      </c>
      <c r="H595" s="7">
        <v>6</v>
      </c>
      <c r="I595" s="4">
        <v>22387.08</v>
      </c>
      <c r="J595" s="23">
        <v>0.15</v>
      </c>
      <c r="K595" s="4">
        <v>19029.02</v>
      </c>
      <c r="L595" s="4">
        <v>11458.71</v>
      </c>
      <c r="M595" s="4">
        <v>7570.31</v>
      </c>
      <c r="N595" t="s">
        <v>25</v>
      </c>
      <c r="O595" s="7">
        <v>21</v>
      </c>
      <c r="P595" s="2">
        <v>45820.875</v>
      </c>
      <c r="Q595" t="s">
        <v>99</v>
      </c>
      <c r="R595">
        <v>6</v>
      </c>
      <c r="S595" t="s">
        <v>27</v>
      </c>
      <c r="T595">
        <f>IF(orders[[#This Row],[Status]]="Completed",1,0)</f>
        <v>1</v>
      </c>
      <c r="U595">
        <f>IF(orders[[#This Row],[Status]]="Pending",1,0)</f>
        <v>0</v>
      </c>
      <c r="V595">
        <f>IF(orders[[#This Row],[Status]]="Delayed",1,0)</f>
        <v>0</v>
      </c>
      <c r="W595">
        <f>IF(orders[[#This Row],[Status]]="Cancelled",1,0)</f>
        <v>0</v>
      </c>
    </row>
    <row r="596" spans="1:23" x14ac:dyDescent="0.35">
      <c r="A596" t="s">
        <v>937</v>
      </c>
      <c r="B596" s="1">
        <v>45872</v>
      </c>
      <c r="C596" t="s">
        <v>938</v>
      </c>
      <c r="D596" t="s">
        <v>149</v>
      </c>
      <c r="E596" t="s">
        <v>31</v>
      </c>
      <c r="F596" t="s">
        <v>39</v>
      </c>
      <c r="G596" t="s">
        <v>188</v>
      </c>
      <c r="H596" s="7">
        <v>2</v>
      </c>
      <c r="I596" s="4">
        <v>3456.06</v>
      </c>
      <c r="J596" s="23">
        <v>0.05</v>
      </c>
      <c r="K596" s="4">
        <v>3283.26</v>
      </c>
      <c r="L596" s="4">
        <v>1940.94</v>
      </c>
      <c r="M596" s="4">
        <v>1342.32</v>
      </c>
      <c r="N596" t="s">
        <v>25</v>
      </c>
      <c r="O596" s="7">
        <v>26</v>
      </c>
      <c r="P596" s="2">
        <v>45873.083333333336</v>
      </c>
      <c r="Q596" t="s">
        <v>80</v>
      </c>
      <c r="R596">
        <v>8</v>
      </c>
      <c r="S596" t="s">
        <v>42</v>
      </c>
      <c r="T596">
        <f>IF(orders[[#This Row],[Status]]="Completed",1,0)</f>
        <v>1</v>
      </c>
      <c r="U596">
        <f>IF(orders[[#This Row],[Status]]="Pending",1,0)</f>
        <v>0</v>
      </c>
      <c r="V596">
        <f>IF(orders[[#This Row],[Status]]="Delayed",1,0)</f>
        <v>0</v>
      </c>
      <c r="W596">
        <f>IF(orders[[#This Row],[Status]]="Cancelled",1,0)</f>
        <v>0</v>
      </c>
    </row>
    <row r="597" spans="1:23" x14ac:dyDescent="0.35">
      <c r="A597" t="s">
        <v>939</v>
      </c>
      <c r="B597" s="1">
        <v>45878</v>
      </c>
      <c r="C597" t="s">
        <v>71</v>
      </c>
      <c r="D597" t="s">
        <v>38</v>
      </c>
      <c r="E597" t="s">
        <v>31</v>
      </c>
      <c r="F597" t="s">
        <v>32</v>
      </c>
      <c r="G597" t="s">
        <v>89</v>
      </c>
      <c r="H597" s="7">
        <v>4</v>
      </c>
      <c r="I597" s="4">
        <v>10012.040000000001</v>
      </c>
      <c r="J597" s="23">
        <v>0.2</v>
      </c>
      <c r="K597" s="4">
        <v>8009.63</v>
      </c>
      <c r="L597" s="4">
        <v>4903.1899999999996</v>
      </c>
      <c r="M597" s="4">
        <v>3106.44</v>
      </c>
      <c r="N597" t="s">
        <v>85</v>
      </c>
      <c r="O597" s="7">
        <v>71</v>
      </c>
      <c r="P597" s="2">
        <v>45880.958333333336</v>
      </c>
      <c r="Q597" t="s">
        <v>80</v>
      </c>
      <c r="R597">
        <v>8</v>
      </c>
      <c r="S597" t="s">
        <v>42</v>
      </c>
      <c r="T597">
        <f>IF(orders[[#This Row],[Status]]="Completed",1,0)</f>
        <v>0</v>
      </c>
      <c r="U597">
        <f>IF(orders[[#This Row],[Status]]="Pending",1,0)</f>
        <v>0</v>
      </c>
      <c r="V597">
        <f>IF(orders[[#This Row],[Status]]="Delayed",1,0)</f>
        <v>1</v>
      </c>
      <c r="W597">
        <f>IF(orders[[#This Row],[Status]]="Cancelled",1,0)</f>
        <v>0</v>
      </c>
    </row>
    <row r="598" spans="1:23" x14ac:dyDescent="0.35">
      <c r="A598" t="s">
        <v>940</v>
      </c>
      <c r="B598" s="1">
        <v>45892</v>
      </c>
      <c r="C598" t="s">
        <v>223</v>
      </c>
      <c r="D598" t="s">
        <v>149</v>
      </c>
      <c r="E598" t="s">
        <v>59</v>
      </c>
      <c r="F598" t="s">
        <v>32</v>
      </c>
      <c r="G598" t="s">
        <v>79</v>
      </c>
      <c r="H598" s="7">
        <v>4</v>
      </c>
      <c r="I598" s="4">
        <v>9535.4</v>
      </c>
      <c r="J598" s="23">
        <v>0.15</v>
      </c>
      <c r="K598" s="4">
        <v>8105.09</v>
      </c>
      <c r="L598" s="4">
        <v>5396.4</v>
      </c>
      <c r="M598" s="4">
        <v>2708.69</v>
      </c>
      <c r="N598" t="s">
        <v>25</v>
      </c>
      <c r="O598" s="7">
        <v>44</v>
      </c>
      <c r="P598" s="2">
        <v>45893.833333333336</v>
      </c>
      <c r="Q598" t="s">
        <v>80</v>
      </c>
      <c r="R598">
        <v>8</v>
      </c>
      <c r="S598" t="s">
        <v>42</v>
      </c>
      <c r="T598">
        <f>IF(orders[[#This Row],[Status]]="Completed",1,0)</f>
        <v>1</v>
      </c>
      <c r="U598">
        <f>IF(orders[[#This Row],[Status]]="Pending",1,0)</f>
        <v>0</v>
      </c>
      <c r="V598">
        <f>IF(orders[[#This Row],[Status]]="Delayed",1,0)</f>
        <v>0</v>
      </c>
      <c r="W598">
        <f>IF(orders[[#This Row],[Status]]="Cancelled",1,0)</f>
        <v>0</v>
      </c>
    </row>
    <row r="599" spans="1:23" x14ac:dyDescent="0.35">
      <c r="A599" t="s">
        <v>941</v>
      </c>
      <c r="B599" s="1">
        <v>45988</v>
      </c>
      <c r="C599" t="s">
        <v>159</v>
      </c>
      <c r="D599" t="s">
        <v>51</v>
      </c>
      <c r="E599" t="s">
        <v>52</v>
      </c>
      <c r="F599" t="s">
        <v>83</v>
      </c>
      <c r="G599" t="s">
        <v>84</v>
      </c>
      <c r="H599" s="7">
        <v>3</v>
      </c>
      <c r="I599" s="4">
        <v>13456.14</v>
      </c>
      <c r="J599" s="23">
        <v>0.15</v>
      </c>
      <c r="K599" s="4">
        <v>11437.72</v>
      </c>
      <c r="L599" s="4">
        <v>9802.98</v>
      </c>
      <c r="M599" s="4">
        <v>1634.74</v>
      </c>
      <c r="N599" t="s">
        <v>25</v>
      </c>
      <c r="O599" s="7">
        <v>12</v>
      </c>
      <c r="P599" s="2">
        <v>45988.5</v>
      </c>
      <c r="Q599" t="s">
        <v>86</v>
      </c>
      <c r="R599">
        <v>11</v>
      </c>
      <c r="S599" t="s">
        <v>35</v>
      </c>
      <c r="T599">
        <f>IF(orders[[#This Row],[Status]]="Completed",1,0)</f>
        <v>1</v>
      </c>
      <c r="U599">
        <f>IF(orders[[#This Row],[Status]]="Pending",1,0)</f>
        <v>0</v>
      </c>
      <c r="V599">
        <f>IF(orders[[#This Row],[Status]]="Delayed",1,0)</f>
        <v>0</v>
      </c>
      <c r="W599">
        <f>IF(orders[[#This Row],[Status]]="Cancelled",1,0)</f>
        <v>0</v>
      </c>
    </row>
    <row r="600" spans="1:23" x14ac:dyDescent="0.35">
      <c r="A600" t="s">
        <v>942</v>
      </c>
      <c r="B600" s="1">
        <v>45803</v>
      </c>
      <c r="C600" t="s">
        <v>88</v>
      </c>
      <c r="D600" t="s">
        <v>68</v>
      </c>
      <c r="E600" t="s">
        <v>59</v>
      </c>
      <c r="F600" t="s">
        <v>23</v>
      </c>
      <c r="G600" t="s">
        <v>69</v>
      </c>
      <c r="H600" s="7">
        <v>6</v>
      </c>
      <c r="I600" s="4">
        <v>12641.94</v>
      </c>
      <c r="J600" s="23">
        <v>0.15</v>
      </c>
      <c r="K600" s="4">
        <v>10745.65</v>
      </c>
      <c r="L600" s="4">
        <v>8745.82</v>
      </c>
      <c r="M600" s="4">
        <v>1999.83</v>
      </c>
      <c r="N600" t="s">
        <v>48</v>
      </c>
      <c r="O600" s="7">
        <v>14</v>
      </c>
      <c r="P600" s="2">
        <v>45803.583333333336</v>
      </c>
      <c r="Q600" t="s">
        <v>74</v>
      </c>
      <c r="R600">
        <v>5</v>
      </c>
      <c r="S600" t="s">
        <v>27</v>
      </c>
      <c r="T600">
        <f>IF(orders[[#This Row],[Status]]="Completed",1,0)</f>
        <v>0</v>
      </c>
      <c r="U600">
        <f>IF(orders[[#This Row],[Status]]="Pending",1,0)</f>
        <v>0</v>
      </c>
      <c r="V600">
        <f>IF(orders[[#This Row],[Status]]="Delayed",1,0)</f>
        <v>0</v>
      </c>
      <c r="W600">
        <f>IF(orders[[#This Row],[Status]]="Cancelled",1,0)</f>
        <v>1</v>
      </c>
    </row>
    <row r="601" spans="1:23" x14ac:dyDescent="0.35">
      <c r="A601" t="s">
        <v>943</v>
      </c>
      <c r="B601" s="1">
        <v>45896</v>
      </c>
      <c r="C601" t="s">
        <v>343</v>
      </c>
      <c r="D601" t="s">
        <v>77</v>
      </c>
      <c r="E601" t="s">
        <v>46</v>
      </c>
      <c r="F601" t="s">
        <v>32</v>
      </c>
      <c r="G601" t="s">
        <v>64</v>
      </c>
      <c r="H601" s="7">
        <v>6</v>
      </c>
      <c r="I601" s="4">
        <v>7090.68</v>
      </c>
      <c r="J601" s="23">
        <v>0.2</v>
      </c>
      <c r="K601" s="4">
        <v>5672.54</v>
      </c>
      <c r="L601" s="4">
        <v>3930.07</v>
      </c>
      <c r="M601" s="4">
        <v>1742.47</v>
      </c>
      <c r="N601" t="s">
        <v>25</v>
      </c>
      <c r="O601" s="7">
        <v>44</v>
      </c>
      <c r="P601" s="2">
        <v>45897.833333333336</v>
      </c>
      <c r="Q601" t="s">
        <v>80</v>
      </c>
      <c r="R601">
        <v>8</v>
      </c>
      <c r="S601" t="s">
        <v>42</v>
      </c>
      <c r="T601">
        <f>IF(orders[[#This Row],[Status]]="Completed",1,0)</f>
        <v>1</v>
      </c>
      <c r="U601">
        <f>IF(orders[[#This Row],[Status]]="Pending",1,0)</f>
        <v>0</v>
      </c>
      <c r="V601">
        <f>IF(orders[[#This Row],[Status]]="Delayed",1,0)</f>
        <v>0</v>
      </c>
      <c r="W601">
        <f>IF(orders[[#This Row],[Status]]="Cancelled",1,0)</f>
        <v>0</v>
      </c>
    </row>
    <row r="602" spans="1:23" x14ac:dyDescent="0.35">
      <c r="A602" t="s">
        <v>944</v>
      </c>
      <c r="B602" s="1">
        <v>45733</v>
      </c>
      <c r="C602" t="s">
        <v>101</v>
      </c>
      <c r="D602" t="s">
        <v>38</v>
      </c>
      <c r="E602" t="s">
        <v>59</v>
      </c>
      <c r="F602" t="s">
        <v>23</v>
      </c>
      <c r="G602" t="s">
        <v>122</v>
      </c>
      <c r="H602" s="7">
        <v>5</v>
      </c>
      <c r="I602" s="4">
        <v>5914.1</v>
      </c>
      <c r="J602" s="23">
        <v>0.15</v>
      </c>
      <c r="K602" s="4">
        <v>5026.99</v>
      </c>
      <c r="L602" s="4">
        <v>3582.81</v>
      </c>
      <c r="M602" s="4">
        <v>1444.18</v>
      </c>
      <c r="N602" t="s">
        <v>25</v>
      </c>
      <c r="O602" s="7">
        <v>4</v>
      </c>
      <c r="P602" s="2">
        <v>45733.166666666664</v>
      </c>
      <c r="Q602" t="s">
        <v>54</v>
      </c>
      <c r="R602">
        <v>3</v>
      </c>
      <c r="S602" t="s">
        <v>55</v>
      </c>
      <c r="T602">
        <f>IF(orders[[#This Row],[Status]]="Completed",1,0)</f>
        <v>1</v>
      </c>
      <c r="U602">
        <f>IF(orders[[#This Row],[Status]]="Pending",1,0)</f>
        <v>0</v>
      </c>
      <c r="V602">
        <f>IF(orders[[#This Row],[Status]]="Delayed",1,0)</f>
        <v>0</v>
      </c>
      <c r="W602">
        <f>IF(orders[[#This Row],[Status]]="Cancelled",1,0)</f>
        <v>0</v>
      </c>
    </row>
    <row r="603" spans="1:23" x14ac:dyDescent="0.35">
      <c r="A603" t="s">
        <v>945</v>
      </c>
      <c r="B603" s="1">
        <v>45666</v>
      </c>
      <c r="C603" t="s">
        <v>261</v>
      </c>
      <c r="D603" t="s">
        <v>149</v>
      </c>
      <c r="E603" t="s">
        <v>92</v>
      </c>
      <c r="F603" t="s">
        <v>72</v>
      </c>
      <c r="G603" t="s">
        <v>119</v>
      </c>
      <c r="H603" s="7">
        <v>3</v>
      </c>
      <c r="I603" s="4">
        <v>15061.08</v>
      </c>
      <c r="J603" s="23">
        <v>0.1</v>
      </c>
      <c r="K603" s="4">
        <v>13554.97</v>
      </c>
      <c r="L603" s="4">
        <v>8643.34</v>
      </c>
      <c r="M603" s="4">
        <v>4911.63</v>
      </c>
      <c r="N603" t="s">
        <v>25</v>
      </c>
      <c r="O603" s="7">
        <v>5</v>
      </c>
      <c r="P603" s="2">
        <v>45666.208333333336</v>
      </c>
      <c r="Q603" t="s">
        <v>65</v>
      </c>
      <c r="R603">
        <v>1</v>
      </c>
      <c r="S603" t="s">
        <v>55</v>
      </c>
      <c r="T603">
        <f>IF(orders[[#This Row],[Status]]="Completed",1,0)</f>
        <v>1</v>
      </c>
      <c r="U603">
        <f>IF(orders[[#This Row],[Status]]="Pending",1,0)</f>
        <v>0</v>
      </c>
      <c r="V603">
        <f>IF(orders[[#This Row],[Status]]="Delayed",1,0)</f>
        <v>0</v>
      </c>
      <c r="W603">
        <f>IF(orders[[#This Row],[Status]]="Cancelled",1,0)</f>
        <v>0</v>
      </c>
    </row>
    <row r="604" spans="1:23" x14ac:dyDescent="0.35">
      <c r="A604" t="s">
        <v>946</v>
      </c>
      <c r="B604" s="1">
        <v>45731</v>
      </c>
      <c r="C604" t="s">
        <v>143</v>
      </c>
      <c r="D604" t="s">
        <v>149</v>
      </c>
      <c r="E604" t="s">
        <v>92</v>
      </c>
      <c r="F604" t="s">
        <v>39</v>
      </c>
      <c r="G604" t="s">
        <v>93</v>
      </c>
      <c r="H604" s="7">
        <v>7</v>
      </c>
      <c r="I604" s="4">
        <v>43996.68</v>
      </c>
      <c r="J604" s="23">
        <v>0.05</v>
      </c>
      <c r="K604" s="4">
        <v>41796.85</v>
      </c>
      <c r="L604" s="4">
        <v>32703.38</v>
      </c>
      <c r="M604" s="4">
        <v>9093.4699999999993</v>
      </c>
      <c r="N604" t="s">
        <v>25</v>
      </c>
      <c r="O604" s="7">
        <v>7</v>
      </c>
      <c r="P604" s="2">
        <v>45731.291666666664</v>
      </c>
      <c r="Q604" t="s">
        <v>54</v>
      </c>
      <c r="R604">
        <v>3</v>
      </c>
      <c r="S604" t="s">
        <v>55</v>
      </c>
      <c r="T604">
        <f>IF(orders[[#This Row],[Status]]="Completed",1,0)</f>
        <v>1</v>
      </c>
      <c r="U604">
        <f>IF(orders[[#This Row],[Status]]="Pending",1,0)</f>
        <v>0</v>
      </c>
      <c r="V604">
        <f>IF(orders[[#This Row],[Status]]="Delayed",1,0)</f>
        <v>0</v>
      </c>
      <c r="W604">
        <f>IF(orders[[#This Row],[Status]]="Cancelled",1,0)</f>
        <v>0</v>
      </c>
    </row>
    <row r="605" spans="1:23" x14ac:dyDescent="0.35">
      <c r="A605" t="s">
        <v>947</v>
      </c>
      <c r="B605" s="1">
        <v>45910</v>
      </c>
      <c r="C605" t="s">
        <v>404</v>
      </c>
      <c r="D605" t="s">
        <v>58</v>
      </c>
      <c r="E605" t="s">
        <v>22</v>
      </c>
      <c r="F605" t="s">
        <v>23</v>
      </c>
      <c r="G605" t="s">
        <v>110</v>
      </c>
      <c r="H605" s="7">
        <v>3</v>
      </c>
      <c r="I605" s="4">
        <v>8504.4</v>
      </c>
      <c r="J605" s="23">
        <v>0.2</v>
      </c>
      <c r="K605" s="4">
        <v>6803.52</v>
      </c>
      <c r="L605" s="4">
        <v>5544.27</v>
      </c>
      <c r="M605" s="4">
        <v>1259.25</v>
      </c>
      <c r="N605" t="s">
        <v>98</v>
      </c>
      <c r="O605" s="7">
        <v>9</v>
      </c>
      <c r="P605" s="2">
        <v>45910.375</v>
      </c>
      <c r="Q605" t="s">
        <v>41</v>
      </c>
      <c r="R605">
        <v>9</v>
      </c>
      <c r="S605" t="s">
        <v>42</v>
      </c>
      <c r="T605">
        <f>IF(orders[[#This Row],[Status]]="Completed",1,0)</f>
        <v>0</v>
      </c>
      <c r="U605">
        <f>IF(orders[[#This Row],[Status]]="Pending",1,0)</f>
        <v>1</v>
      </c>
      <c r="V605">
        <f>IF(orders[[#This Row],[Status]]="Delayed",1,0)</f>
        <v>0</v>
      </c>
      <c r="W605">
        <f>IF(orders[[#This Row],[Status]]="Cancelled",1,0)</f>
        <v>0</v>
      </c>
    </row>
    <row r="606" spans="1:23" x14ac:dyDescent="0.35">
      <c r="A606" t="s">
        <v>948</v>
      </c>
      <c r="B606" s="1">
        <v>45887</v>
      </c>
      <c r="C606" t="s">
        <v>808</v>
      </c>
      <c r="D606" t="s">
        <v>149</v>
      </c>
      <c r="E606" t="s">
        <v>46</v>
      </c>
      <c r="F606" t="s">
        <v>39</v>
      </c>
      <c r="G606" t="s">
        <v>114</v>
      </c>
      <c r="H606" s="7">
        <v>6</v>
      </c>
      <c r="I606" s="4">
        <v>2635.98</v>
      </c>
      <c r="J606" s="23">
        <v>0.15</v>
      </c>
      <c r="K606" s="4">
        <v>2240.58</v>
      </c>
      <c r="L606" s="4">
        <v>1408.96</v>
      </c>
      <c r="M606" s="4">
        <v>831.62</v>
      </c>
      <c r="N606" t="s">
        <v>48</v>
      </c>
      <c r="O606" s="7">
        <v>16</v>
      </c>
      <c r="P606" s="2">
        <v>45887.666666666664</v>
      </c>
      <c r="Q606" t="s">
        <v>80</v>
      </c>
      <c r="R606">
        <v>8</v>
      </c>
      <c r="S606" t="s">
        <v>42</v>
      </c>
      <c r="T606">
        <f>IF(orders[[#This Row],[Status]]="Completed",1,0)</f>
        <v>0</v>
      </c>
      <c r="U606">
        <f>IF(orders[[#This Row],[Status]]="Pending",1,0)</f>
        <v>0</v>
      </c>
      <c r="V606">
        <f>IF(orders[[#This Row],[Status]]="Delayed",1,0)</f>
        <v>0</v>
      </c>
      <c r="W606">
        <f>IF(orders[[#This Row],[Status]]="Cancelled",1,0)</f>
        <v>1</v>
      </c>
    </row>
    <row r="607" spans="1:23" x14ac:dyDescent="0.35">
      <c r="A607" t="s">
        <v>949</v>
      </c>
      <c r="B607" s="1">
        <v>45664</v>
      </c>
      <c r="C607" t="s">
        <v>223</v>
      </c>
      <c r="D607" t="s">
        <v>63</v>
      </c>
      <c r="E607" t="s">
        <v>52</v>
      </c>
      <c r="F607" t="s">
        <v>23</v>
      </c>
      <c r="G607" t="s">
        <v>24</v>
      </c>
      <c r="H607" s="7">
        <v>4</v>
      </c>
      <c r="I607" s="4">
        <v>4849.32</v>
      </c>
      <c r="J607" s="23">
        <v>0.1</v>
      </c>
      <c r="K607" s="4">
        <v>4364.3900000000003</v>
      </c>
      <c r="L607" s="4">
        <v>2460.65</v>
      </c>
      <c r="M607" s="4">
        <v>1903.74</v>
      </c>
      <c r="N607" t="s">
        <v>48</v>
      </c>
      <c r="O607" s="7">
        <v>0</v>
      </c>
      <c r="P607" s="2">
        <v>45664</v>
      </c>
      <c r="Q607" t="s">
        <v>65</v>
      </c>
      <c r="R607">
        <v>1</v>
      </c>
      <c r="S607" t="s">
        <v>55</v>
      </c>
      <c r="T607">
        <f>IF(orders[[#This Row],[Status]]="Completed",1,0)</f>
        <v>0</v>
      </c>
      <c r="U607">
        <f>IF(orders[[#This Row],[Status]]="Pending",1,0)</f>
        <v>0</v>
      </c>
      <c r="V607">
        <f>IF(orders[[#This Row],[Status]]="Delayed",1,0)</f>
        <v>0</v>
      </c>
      <c r="W607">
        <f>IF(orders[[#This Row],[Status]]="Cancelled",1,0)</f>
        <v>1</v>
      </c>
    </row>
    <row r="608" spans="1:23" x14ac:dyDescent="0.35">
      <c r="A608" t="s">
        <v>950</v>
      </c>
      <c r="B608" s="1">
        <v>45831</v>
      </c>
      <c r="C608" t="s">
        <v>62</v>
      </c>
      <c r="D608" t="s">
        <v>77</v>
      </c>
      <c r="E608" t="s">
        <v>78</v>
      </c>
      <c r="F608" t="s">
        <v>72</v>
      </c>
      <c r="G608" t="s">
        <v>129</v>
      </c>
      <c r="H608" s="7">
        <v>3</v>
      </c>
      <c r="I608" s="4">
        <v>23363.1</v>
      </c>
      <c r="J608" s="23">
        <v>0</v>
      </c>
      <c r="K608" s="4">
        <v>23363.1</v>
      </c>
      <c r="L608" s="4">
        <v>17659.78</v>
      </c>
      <c r="M608" s="4">
        <v>5703.32</v>
      </c>
      <c r="N608" t="s">
        <v>25</v>
      </c>
      <c r="O608" s="7">
        <v>5</v>
      </c>
      <c r="P608" s="2">
        <v>45831.208333333336</v>
      </c>
      <c r="Q608" t="s">
        <v>99</v>
      </c>
      <c r="R608">
        <v>6</v>
      </c>
      <c r="S608" t="s">
        <v>27</v>
      </c>
      <c r="T608">
        <f>IF(orders[[#This Row],[Status]]="Completed",1,0)</f>
        <v>1</v>
      </c>
      <c r="U608">
        <f>IF(orders[[#This Row],[Status]]="Pending",1,0)</f>
        <v>0</v>
      </c>
      <c r="V608">
        <f>IF(orders[[#This Row],[Status]]="Delayed",1,0)</f>
        <v>0</v>
      </c>
      <c r="W608">
        <f>IF(orders[[#This Row],[Status]]="Cancelled",1,0)</f>
        <v>0</v>
      </c>
    </row>
    <row r="609" spans="1:23" x14ac:dyDescent="0.35">
      <c r="A609" t="s">
        <v>951</v>
      </c>
      <c r="B609" s="1">
        <v>45798</v>
      </c>
      <c r="C609" t="s">
        <v>249</v>
      </c>
      <c r="D609" t="s">
        <v>63</v>
      </c>
      <c r="E609" t="s">
        <v>46</v>
      </c>
      <c r="F609" t="s">
        <v>32</v>
      </c>
      <c r="G609" t="s">
        <v>79</v>
      </c>
      <c r="H609" s="7">
        <v>5</v>
      </c>
      <c r="I609" s="4">
        <v>21355.45</v>
      </c>
      <c r="J609" s="23">
        <v>0.1</v>
      </c>
      <c r="K609" s="4">
        <v>19219.91</v>
      </c>
      <c r="L609" s="4">
        <v>14138.72</v>
      </c>
      <c r="M609" s="4">
        <v>5081.1899999999996</v>
      </c>
      <c r="N609" t="s">
        <v>48</v>
      </c>
      <c r="O609" s="7">
        <v>12</v>
      </c>
      <c r="P609" s="2">
        <v>45798.5</v>
      </c>
      <c r="Q609" t="s">
        <v>74</v>
      </c>
      <c r="R609">
        <v>5</v>
      </c>
      <c r="S609" t="s">
        <v>27</v>
      </c>
      <c r="T609">
        <f>IF(orders[[#This Row],[Status]]="Completed",1,0)</f>
        <v>0</v>
      </c>
      <c r="U609">
        <f>IF(orders[[#This Row],[Status]]="Pending",1,0)</f>
        <v>0</v>
      </c>
      <c r="V609">
        <f>IF(orders[[#This Row],[Status]]="Delayed",1,0)</f>
        <v>0</v>
      </c>
      <c r="W609">
        <f>IF(orders[[#This Row],[Status]]="Cancelled",1,0)</f>
        <v>1</v>
      </c>
    </row>
    <row r="610" spans="1:23" x14ac:dyDescent="0.35">
      <c r="A610" t="s">
        <v>952</v>
      </c>
      <c r="B610" s="1">
        <v>45825</v>
      </c>
      <c r="C610" t="s">
        <v>238</v>
      </c>
      <c r="D610" t="s">
        <v>77</v>
      </c>
      <c r="E610" t="s">
        <v>46</v>
      </c>
      <c r="F610" t="s">
        <v>72</v>
      </c>
      <c r="G610" t="s">
        <v>119</v>
      </c>
      <c r="H610" s="7">
        <v>3</v>
      </c>
      <c r="I610" s="4">
        <v>11811.99</v>
      </c>
      <c r="J610" s="23">
        <v>0</v>
      </c>
      <c r="K610" s="4">
        <v>11811.99</v>
      </c>
      <c r="L610" s="4">
        <v>8064.08</v>
      </c>
      <c r="M610" s="4">
        <v>3747.91</v>
      </c>
      <c r="N610" t="s">
        <v>48</v>
      </c>
      <c r="O610" s="7">
        <v>23</v>
      </c>
      <c r="P610" s="2">
        <v>45825.958333333336</v>
      </c>
      <c r="Q610" t="s">
        <v>99</v>
      </c>
      <c r="R610">
        <v>6</v>
      </c>
      <c r="S610" t="s">
        <v>27</v>
      </c>
      <c r="T610">
        <f>IF(orders[[#This Row],[Status]]="Completed",1,0)</f>
        <v>0</v>
      </c>
      <c r="U610">
        <f>IF(orders[[#This Row],[Status]]="Pending",1,0)</f>
        <v>0</v>
      </c>
      <c r="V610">
        <f>IF(orders[[#This Row],[Status]]="Delayed",1,0)</f>
        <v>0</v>
      </c>
      <c r="W610">
        <f>IF(orders[[#This Row],[Status]]="Cancelled",1,0)</f>
        <v>1</v>
      </c>
    </row>
    <row r="611" spans="1:23" x14ac:dyDescent="0.35">
      <c r="A611" t="s">
        <v>953</v>
      </c>
      <c r="B611" s="1">
        <v>45827</v>
      </c>
      <c r="C611" t="s">
        <v>249</v>
      </c>
      <c r="D611" t="s">
        <v>68</v>
      </c>
      <c r="E611" t="s">
        <v>52</v>
      </c>
      <c r="F611" t="s">
        <v>32</v>
      </c>
      <c r="G611" t="s">
        <v>79</v>
      </c>
      <c r="H611" s="7">
        <v>5</v>
      </c>
      <c r="I611" s="4">
        <v>2338.5500000000002</v>
      </c>
      <c r="J611" s="23">
        <v>0.2</v>
      </c>
      <c r="K611" s="4">
        <v>1870.84</v>
      </c>
      <c r="L611" s="4">
        <v>1426.49</v>
      </c>
      <c r="M611" s="4">
        <v>444.35</v>
      </c>
      <c r="N611" t="s">
        <v>25</v>
      </c>
      <c r="O611" s="7">
        <v>23</v>
      </c>
      <c r="P611" s="2">
        <v>45827.958333333336</v>
      </c>
      <c r="Q611" t="s">
        <v>99</v>
      </c>
      <c r="R611">
        <v>6</v>
      </c>
      <c r="S611" t="s">
        <v>27</v>
      </c>
      <c r="T611">
        <f>IF(orders[[#This Row],[Status]]="Completed",1,0)</f>
        <v>1</v>
      </c>
      <c r="U611">
        <f>IF(orders[[#This Row],[Status]]="Pending",1,0)</f>
        <v>0</v>
      </c>
      <c r="V611">
        <f>IF(orders[[#This Row],[Status]]="Delayed",1,0)</f>
        <v>0</v>
      </c>
      <c r="W611">
        <f>IF(orders[[#This Row],[Status]]="Cancelled",1,0)</f>
        <v>0</v>
      </c>
    </row>
    <row r="612" spans="1:23" x14ac:dyDescent="0.35">
      <c r="A612" t="s">
        <v>954</v>
      </c>
      <c r="B612" s="1">
        <v>45940</v>
      </c>
      <c r="C612" t="s">
        <v>318</v>
      </c>
      <c r="D612" t="s">
        <v>77</v>
      </c>
      <c r="E612" t="s">
        <v>46</v>
      </c>
      <c r="F612" t="s">
        <v>32</v>
      </c>
      <c r="G612" t="s">
        <v>89</v>
      </c>
      <c r="H612" s="7">
        <v>7</v>
      </c>
      <c r="I612" s="4">
        <v>43638.84</v>
      </c>
      <c r="J612" s="23">
        <v>0.25</v>
      </c>
      <c r="K612" s="4">
        <v>32729.13</v>
      </c>
      <c r="L612" s="4">
        <v>23947.98</v>
      </c>
      <c r="M612" s="4">
        <v>8781.15</v>
      </c>
      <c r="N612" t="s">
        <v>85</v>
      </c>
      <c r="O612" s="7">
        <v>67</v>
      </c>
      <c r="P612" s="2">
        <v>45942.791666666664</v>
      </c>
      <c r="Q612" t="s">
        <v>116</v>
      </c>
      <c r="R612">
        <v>10</v>
      </c>
      <c r="S612" t="s">
        <v>35</v>
      </c>
      <c r="T612">
        <f>IF(orders[[#This Row],[Status]]="Completed",1,0)</f>
        <v>0</v>
      </c>
      <c r="U612">
        <f>IF(orders[[#This Row],[Status]]="Pending",1,0)</f>
        <v>0</v>
      </c>
      <c r="V612">
        <f>IF(orders[[#This Row],[Status]]="Delayed",1,0)</f>
        <v>1</v>
      </c>
      <c r="W612">
        <f>IF(orders[[#This Row],[Status]]="Cancelled",1,0)</f>
        <v>0</v>
      </c>
    </row>
    <row r="613" spans="1:23" x14ac:dyDescent="0.35">
      <c r="A613" t="s">
        <v>955</v>
      </c>
      <c r="B613" s="1">
        <v>45779</v>
      </c>
      <c r="C613" t="s">
        <v>227</v>
      </c>
      <c r="D613" t="s">
        <v>63</v>
      </c>
      <c r="E613" t="s">
        <v>52</v>
      </c>
      <c r="F613" t="s">
        <v>39</v>
      </c>
      <c r="G613" t="s">
        <v>188</v>
      </c>
      <c r="H613" s="7">
        <v>3</v>
      </c>
      <c r="I613" s="4">
        <v>13678.11</v>
      </c>
      <c r="J613" s="23">
        <v>0</v>
      </c>
      <c r="K613" s="4">
        <v>13678.11</v>
      </c>
      <c r="L613" s="4">
        <v>8654.0300000000007</v>
      </c>
      <c r="M613" s="4">
        <v>5024.08</v>
      </c>
      <c r="N613" t="s">
        <v>48</v>
      </c>
      <c r="O613" s="7">
        <v>9</v>
      </c>
      <c r="P613" s="2">
        <v>45779.375</v>
      </c>
      <c r="Q613" t="s">
        <v>74</v>
      </c>
      <c r="R613">
        <v>5</v>
      </c>
      <c r="S613" t="s">
        <v>27</v>
      </c>
      <c r="T613">
        <f>IF(orders[[#This Row],[Status]]="Completed",1,0)</f>
        <v>0</v>
      </c>
      <c r="U613">
        <f>IF(orders[[#This Row],[Status]]="Pending",1,0)</f>
        <v>0</v>
      </c>
      <c r="V613">
        <f>IF(orders[[#This Row],[Status]]="Delayed",1,0)</f>
        <v>0</v>
      </c>
      <c r="W613">
        <f>IF(orders[[#This Row],[Status]]="Cancelled",1,0)</f>
        <v>1</v>
      </c>
    </row>
    <row r="614" spans="1:23" x14ac:dyDescent="0.35">
      <c r="A614" t="s">
        <v>956</v>
      </c>
      <c r="B614" s="1">
        <v>45851</v>
      </c>
      <c r="C614" t="s">
        <v>254</v>
      </c>
      <c r="D614" t="s">
        <v>77</v>
      </c>
      <c r="E614" t="s">
        <v>52</v>
      </c>
      <c r="F614" t="s">
        <v>72</v>
      </c>
      <c r="G614" t="s">
        <v>104</v>
      </c>
      <c r="H614" s="7">
        <v>5</v>
      </c>
      <c r="I614" s="4">
        <v>9186.9</v>
      </c>
      <c r="J614" s="23">
        <v>0.1</v>
      </c>
      <c r="K614" s="4">
        <v>8268.2099999999991</v>
      </c>
      <c r="L614" s="4">
        <v>5632.72</v>
      </c>
      <c r="M614" s="4">
        <v>2635.49</v>
      </c>
      <c r="N614" t="s">
        <v>48</v>
      </c>
      <c r="O614" s="7">
        <v>5</v>
      </c>
      <c r="P614" s="2">
        <v>45851.208333333336</v>
      </c>
      <c r="Q614" t="s">
        <v>60</v>
      </c>
      <c r="R614">
        <v>7</v>
      </c>
      <c r="S614" t="s">
        <v>42</v>
      </c>
      <c r="T614">
        <f>IF(orders[[#This Row],[Status]]="Completed",1,0)</f>
        <v>0</v>
      </c>
      <c r="U614">
        <f>IF(orders[[#This Row],[Status]]="Pending",1,0)</f>
        <v>0</v>
      </c>
      <c r="V614">
        <f>IF(orders[[#This Row],[Status]]="Delayed",1,0)</f>
        <v>0</v>
      </c>
      <c r="W614">
        <f>IF(orders[[#This Row],[Status]]="Cancelled",1,0)</f>
        <v>1</v>
      </c>
    </row>
    <row r="615" spans="1:23" x14ac:dyDescent="0.35">
      <c r="A615" t="s">
        <v>957</v>
      </c>
      <c r="B615" s="1">
        <v>45662</v>
      </c>
      <c r="C615" t="s">
        <v>154</v>
      </c>
      <c r="D615" t="s">
        <v>68</v>
      </c>
      <c r="E615" t="s">
        <v>52</v>
      </c>
      <c r="F615" t="s">
        <v>23</v>
      </c>
      <c r="G615" t="s">
        <v>122</v>
      </c>
      <c r="H615" s="7">
        <v>3</v>
      </c>
      <c r="I615" s="4">
        <v>3207.36</v>
      </c>
      <c r="J615" s="23">
        <v>0</v>
      </c>
      <c r="K615" s="4">
        <v>3207.36</v>
      </c>
      <c r="L615" s="4">
        <v>2217.1799999999998</v>
      </c>
      <c r="M615" s="4">
        <v>990.18</v>
      </c>
      <c r="N615" t="s">
        <v>25</v>
      </c>
      <c r="O615" s="7">
        <v>31</v>
      </c>
      <c r="P615" s="2">
        <v>45663.291666666664</v>
      </c>
      <c r="Q615" t="s">
        <v>65</v>
      </c>
      <c r="R615">
        <v>1</v>
      </c>
      <c r="S615" t="s">
        <v>55</v>
      </c>
      <c r="T615">
        <f>IF(orders[[#This Row],[Status]]="Completed",1,0)</f>
        <v>1</v>
      </c>
      <c r="U615">
        <f>IF(orders[[#This Row],[Status]]="Pending",1,0)</f>
        <v>0</v>
      </c>
      <c r="V615">
        <f>IF(orders[[#This Row],[Status]]="Delayed",1,0)</f>
        <v>0</v>
      </c>
      <c r="W615">
        <f>IF(orders[[#This Row],[Status]]="Cancelled",1,0)</f>
        <v>0</v>
      </c>
    </row>
    <row r="616" spans="1:23" x14ac:dyDescent="0.35">
      <c r="A616" t="s">
        <v>958</v>
      </c>
      <c r="B616" s="1">
        <v>45686</v>
      </c>
      <c r="C616" t="s">
        <v>959</v>
      </c>
      <c r="D616" t="s">
        <v>68</v>
      </c>
      <c r="E616" t="s">
        <v>46</v>
      </c>
      <c r="F616" t="s">
        <v>72</v>
      </c>
      <c r="G616" t="s">
        <v>129</v>
      </c>
      <c r="H616" s="7">
        <v>7</v>
      </c>
      <c r="I616" s="4">
        <v>23459.03</v>
      </c>
      <c r="J616" s="23">
        <v>0.15</v>
      </c>
      <c r="K616" s="4">
        <v>19940.18</v>
      </c>
      <c r="L616" s="4">
        <v>16759.36</v>
      </c>
      <c r="M616" s="4">
        <v>3180.82</v>
      </c>
      <c r="N616" t="s">
        <v>85</v>
      </c>
      <c r="O616" s="7">
        <v>53</v>
      </c>
      <c r="P616" s="2">
        <v>45688.208333333336</v>
      </c>
      <c r="Q616" t="s">
        <v>65</v>
      </c>
      <c r="R616">
        <v>1</v>
      </c>
      <c r="S616" t="s">
        <v>55</v>
      </c>
      <c r="T616">
        <f>IF(orders[[#This Row],[Status]]="Completed",1,0)</f>
        <v>0</v>
      </c>
      <c r="U616">
        <f>IF(orders[[#This Row],[Status]]="Pending",1,0)</f>
        <v>0</v>
      </c>
      <c r="V616">
        <f>IF(orders[[#This Row],[Status]]="Delayed",1,0)</f>
        <v>1</v>
      </c>
      <c r="W616">
        <f>IF(orders[[#This Row],[Status]]="Cancelled",1,0)</f>
        <v>0</v>
      </c>
    </row>
    <row r="617" spans="1:23" x14ac:dyDescent="0.35">
      <c r="A617" t="s">
        <v>960</v>
      </c>
      <c r="B617" s="1">
        <v>45822</v>
      </c>
      <c r="C617" t="s">
        <v>71</v>
      </c>
      <c r="D617" t="s">
        <v>51</v>
      </c>
      <c r="E617" t="s">
        <v>46</v>
      </c>
      <c r="F617" t="s">
        <v>39</v>
      </c>
      <c r="G617" t="s">
        <v>47</v>
      </c>
      <c r="H617" s="7">
        <v>3</v>
      </c>
      <c r="I617" s="4">
        <v>21420.9</v>
      </c>
      <c r="J617" s="23">
        <v>0.05</v>
      </c>
      <c r="K617" s="4">
        <v>20349.86</v>
      </c>
      <c r="L617" s="4">
        <v>17645.330000000002</v>
      </c>
      <c r="M617" s="4">
        <v>2704.53</v>
      </c>
      <c r="N617" t="s">
        <v>25</v>
      </c>
      <c r="O617" s="7">
        <v>26</v>
      </c>
      <c r="P617" s="2">
        <v>45823.083333333336</v>
      </c>
      <c r="Q617" t="s">
        <v>99</v>
      </c>
      <c r="R617">
        <v>6</v>
      </c>
      <c r="S617" t="s">
        <v>27</v>
      </c>
      <c r="T617">
        <f>IF(orders[[#This Row],[Status]]="Completed",1,0)</f>
        <v>1</v>
      </c>
      <c r="U617">
        <f>IF(orders[[#This Row],[Status]]="Pending",1,0)</f>
        <v>0</v>
      </c>
      <c r="V617">
        <f>IF(orders[[#This Row],[Status]]="Delayed",1,0)</f>
        <v>0</v>
      </c>
      <c r="W617">
        <f>IF(orders[[#This Row],[Status]]="Cancelled",1,0)</f>
        <v>0</v>
      </c>
    </row>
    <row r="618" spans="1:23" x14ac:dyDescent="0.35">
      <c r="A618" t="s">
        <v>961</v>
      </c>
      <c r="B618" s="1">
        <v>45996</v>
      </c>
      <c r="C618" t="s">
        <v>882</v>
      </c>
      <c r="D618" t="s">
        <v>77</v>
      </c>
      <c r="E618" t="s">
        <v>59</v>
      </c>
      <c r="F618" t="s">
        <v>32</v>
      </c>
      <c r="G618" t="s">
        <v>53</v>
      </c>
      <c r="H618" s="7">
        <v>2</v>
      </c>
      <c r="I618" s="4">
        <v>14750.42</v>
      </c>
      <c r="J618" s="23">
        <v>0.1</v>
      </c>
      <c r="K618" s="4">
        <v>13275.38</v>
      </c>
      <c r="L618" s="4">
        <v>11213.59</v>
      </c>
      <c r="M618" s="4">
        <v>2061.79</v>
      </c>
      <c r="N618" t="s">
        <v>25</v>
      </c>
      <c r="O618" s="7">
        <v>35</v>
      </c>
      <c r="P618" s="2">
        <v>45997.458333333336</v>
      </c>
      <c r="Q618" t="s">
        <v>34</v>
      </c>
      <c r="R618">
        <v>12</v>
      </c>
      <c r="S618" t="s">
        <v>35</v>
      </c>
      <c r="T618">
        <f>IF(orders[[#This Row],[Status]]="Completed",1,0)</f>
        <v>1</v>
      </c>
      <c r="U618">
        <f>IF(orders[[#This Row],[Status]]="Pending",1,0)</f>
        <v>0</v>
      </c>
      <c r="V618">
        <f>IF(orders[[#This Row],[Status]]="Delayed",1,0)</f>
        <v>0</v>
      </c>
      <c r="W618">
        <f>IF(orders[[#This Row],[Status]]="Cancelled",1,0)</f>
        <v>0</v>
      </c>
    </row>
    <row r="619" spans="1:23" x14ac:dyDescent="0.35">
      <c r="A619" t="s">
        <v>962</v>
      </c>
      <c r="B619" s="1">
        <v>45793</v>
      </c>
      <c r="C619" t="s">
        <v>426</v>
      </c>
      <c r="D619" t="s">
        <v>58</v>
      </c>
      <c r="E619" t="s">
        <v>46</v>
      </c>
      <c r="F619" t="s">
        <v>39</v>
      </c>
      <c r="G619" t="s">
        <v>40</v>
      </c>
      <c r="H619" s="7">
        <v>5</v>
      </c>
      <c r="I619" s="4">
        <v>25918.85</v>
      </c>
      <c r="J619" s="23">
        <v>0.05</v>
      </c>
      <c r="K619" s="4">
        <v>24622.91</v>
      </c>
      <c r="L619" s="4">
        <v>19386.32</v>
      </c>
      <c r="M619" s="4">
        <v>5236.59</v>
      </c>
      <c r="N619" t="s">
        <v>25</v>
      </c>
      <c r="O619" s="7">
        <v>11</v>
      </c>
      <c r="P619" s="2">
        <v>45793.458333333336</v>
      </c>
      <c r="Q619" t="s">
        <v>74</v>
      </c>
      <c r="R619">
        <v>5</v>
      </c>
      <c r="S619" t="s">
        <v>27</v>
      </c>
      <c r="T619">
        <f>IF(orders[[#This Row],[Status]]="Completed",1,0)</f>
        <v>1</v>
      </c>
      <c r="U619">
        <f>IF(orders[[#This Row],[Status]]="Pending",1,0)</f>
        <v>0</v>
      </c>
      <c r="V619">
        <f>IF(orders[[#This Row],[Status]]="Delayed",1,0)</f>
        <v>0</v>
      </c>
      <c r="W619">
        <f>IF(orders[[#This Row],[Status]]="Cancelled",1,0)</f>
        <v>0</v>
      </c>
    </row>
    <row r="620" spans="1:23" x14ac:dyDescent="0.35">
      <c r="A620" t="s">
        <v>963</v>
      </c>
      <c r="B620" s="1">
        <v>46022</v>
      </c>
      <c r="C620" t="s">
        <v>307</v>
      </c>
      <c r="D620" t="s">
        <v>45</v>
      </c>
      <c r="E620" t="s">
        <v>59</v>
      </c>
      <c r="F620" t="s">
        <v>83</v>
      </c>
      <c r="G620" t="s">
        <v>84</v>
      </c>
      <c r="H620" s="7">
        <v>7</v>
      </c>
      <c r="I620" s="4">
        <v>43574.51</v>
      </c>
      <c r="J620" s="23">
        <v>0</v>
      </c>
      <c r="K620" s="4">
        <v>43574.51</v>
      </c>
      <c r="L620" s="4">
        <v>32377.94</v>
      </c>
      <c r="M620" s="4">
        <v>11196.57</v>
      </c>
      <c r="N620" t="s">
        <v>48</v>
      </c>
      <c r="O620" s="7">
        <v>7</v>
      </c>
      <c r="P620" s="2">
        <v>46022.291666666664</v>
      </c>
      <c r="Q620" t="s">
        <v>34</v>
      </c>
      <c r="R620">
        <v>12</v>
      </c>
      <c r="S620" t="s">
        <v>35</v>
      </c>
      <c r="T620">
        <f>IF(orders[[#This Row],[Status]]="Completed",1,0)</f>
        <v>0</v>
      </c>
      <c r="U620">
        <f>IF(orders[[#This Row],[Status]]="Pending",1,0)</f>
        <v>0</v>
      </c>
      <c r="V620">
        <f>IF(orders[[#This Row],[Status]]="Delayed",1,0)</f>
        <v>0</v>
      </c>
      <c r="W620">
        <f>IF(orders[[#This Row],[Status]]="Cancelled",1,0)</f>
        <v>1</v>
      </c>
    </row>
    <row r="621" spans="1:23" x14ac:dyDescent="0.35">
      <c r="A621" t="s">
        <v>964</v>
      </c>
      <c r="B621" s="1">
        <v>45978</v>
      </c>
      <c r="C621" t="s">
        <v>267</v>
      </c>
      <c r="D621" t="s">
        <v>21</v>
      </c>
      <c r="E621" t="s">
        <v>22</v>
      </c>
      <c r="F621" t="s">
        <v>83</v>
      </c>
      <c r="G621" t="s">
        <v>182</v>
      </c>
      <c r="H621" s="7">
        <v>5</v>
      </c>
      <c r="I621" s="4">
        <v>5557.75</v>
      </c>
      <c r="J621" s="23">
        <v>0.05</v>
      </c>
      <c r="K621" s="4">
        <v>5279.86</v>
      </c>
      <c r="L621" s="4">
        <v>4104.8599999999997</v>
      </c>
      <c r="M621" s="4">
        <v>1175</v>
      </c>
      <c r="N621" t="s">
        <v>48</v>
      </c>
      <c r="O621" s="7">
        <v>8</v>
      </c>
      <c r="P621" s="2">
        <v>45978.333333333336</v>
      </c>
      <c r="Q621" t="s">
        <v>86</v>
      </c>
      <c r="R621">
        <v>11</v>
      </c>
      <c r="S621" t="s">
        <v>35</v>
      </c>
      <c r="T621">
        <f>IF(orders[[#This Row],[Status]]="Completed",1,0)</f>
        <v>0</v>
      </c>
      <c r="U621">
        <f>IF(orders[[#This Row],[Status]]="Pending",1,0)</f>
        <v>0</v>
      </c>
      <c r="V621">
        <f>IF(orders[[#This Row],[Status]]="Delayed",1,0)</f>
        <v>0</v>
      </c>
      <c r="W621">
        <f>IF(orders[[#This Row],[Status]]="Cancelled",1,0)</f>
        <v>1</v>
      </c>
    </row>
    <row r="622" spans="1:23" x14ac:dyDescent="0.35">
      <c r="A622" t="s">
        <v>965</v>
      </c>
      <c r="B622" s="1">
        <v>45999</v>
      </c>
      <c r="C622" t="s">
        <v>167</v>
      </c>
      <c r="D622" t="s">
        <v>68</v>
      </c>
      <c r="E622" t="s">
        <v>31</v>
      </c>
      <c r="F622" t="s">
        <v>23</v>
      </c>
      <c r="G622" t="s">
        <v>69</v>
      </c>
      <c r="H622" s="7">
        <v>5</v>
      </c>
      <c r="I622" s="4">
        <v>25304.25</v>
      </c>
      <c r="J622" s="23">
        <v>0</v>
      </c>
      <c r="K622" s="4">
        <v>25304.25</v>
      </c>
      <c r="L622" s="4">
        <v>21759.279999999999</v>
      </c>
      <c r="M622" s="4">
        <v>3544.97</v>
      </c>
      <c r="N622" t="s">
        <v>25</v>
      </c>
      <c r="O622" s="7">
        <v>19</v>
      </c>
      <c r="P622" s="2">
        <v>45999.791666666664</v>
      </c>
      <c r="Q622" t="s">
        <v>34</v>
      </c>
      <c r="R622">
        <v>12</v>
      </c>
      <c r="S622" t="s">
        <v>35</v>
      </c>
      <c r="T622">
        <f>IF(orders[[#This Row],[Status]]="Completed",1,0)</f>
        <v>1</v>
      </c>
      <c r="U622">
        <f>IF(orders[[#This Row],[Status]]="Pending",1,0)</f>
        <v>0</v>
      </c>
      <c r="V622">
        <f>IF(orders[[#This Row],[Status]]="Delayed",1,0)</f>
        <v>0</v>
      </c>
      <c r="W622">
        <f>IF(orders[[#This Row],[Status]]="Cancelled",1,0)</f>
        <v>0</v>
      </c>
    </row>
    <row r="623" spans="1:23" x14ac:dyDescent="0.35">
      <c r="A623" t="s">
        <v>966</v>
      </c>
      <c r="B623" s="1">
        <v>45802</v>
      </c>
      <c r="C623" t="s">
        <v>967</v>
      </c>
      <c r="D623" t="s">
        <v>30</v>
      </c>
      <c r="E623" t="s">
        <v>31</v>
      </c>
      <c r="F623" t="s">
        <v>39</v>
      </c>
      <c r="G623" t="s">
        <v>114</v>
      </c>
      <c r="H623" s="7">
        <v>1</v>
      </c>
      <c r="I623" s="4">
        <v>5719.16</v>
      </c>
      <c r="J623" s="23">
        <v>0.1</v>
      </c>
      <c r="K623" s="4">
        <v>5147.24</v>
      </c>
      <c r="L623" s="4">
        <v>3255.63</v>
      </c>
      <c r="M623" s="4">
        <v>1891.61</v>
      </c>
      <c r="N623" t="s">
        <v>25</v>
      </c>
      <c r="O623" s="7">
        <v>43</v>
      </c>
      <c r="P623" s="2">
        <v>45803.791666666664</v>
      </c>
      <c r="Q623" t="s">
        <v>74</v>
      </c>
      <c r="R623">
        <v>5</v>
      </c>
      <c r="S623" t="s">
        <v>27</v>
      </c>
      <c r="T623">
        <f>IF(orders[[#This Row],[Status]]="Completed",1,0)</f>
        <v>1</v>
      </c>
      <c r="U623">
        <f>IF(orders[[#This Row],[Status]]="Pending",1,0)</f>
        <v>0</v>
      </c>
      <c r="V623">
        <f>IF(orders[[#This Row],[Status]]="Delayed",1,0)</f>
        <v>0</v>
      </c>
      <c r="W623">
        <f>IF(orders[[#This Row],[Status]]="Cancelled",1,0)</f>
        <v>0</v>
      </c>
    </row>
    <row r="624" spans="1:23" x14ac:dyDescent="0.35">
      <c r="A624" t="s">
        <v>968</v>
      </c>
      <c r="B624" s="1">
        <v>45984</v>
      </c>
      <c r="C624" t="s">
        <v>281</v>
      </c>
      <c r="D624" t="s">
        <v>45</v>
      </c>
      <c r="E624" t="s">
        <v>22</v>
      </c>
      <c r="F624" t="s">
        <v>23</v>
      </c>
      <c r="G624" t="s">
        <v>24</v>
      </c>
      <c r="H624" s="7">
        <v>7</v>
      </c>
      <c r="I624" s="4">
        <v>12781.65</v>
      </c>
      <c r="J624" s="23">
        <v>0</v>
      </c>
      <c r="K624" s="4">
        <v>12781.65</v>
      </c>
      <c r="L624" s="4">
        <v>9287.02</v>
      </c>
      <c r="M624" s="4">
        <v>3494.63</v>
      </c>
      <c r="N624" t="s">
        <v>25</v>
      </c>
      <c r="O624" s="7">
        <v>45</v>
      </c>
      <c r="P624" s="2">
        <v>45985.875</v>
      </c>
      <c r="Q624" t="s">
        <v>86</v>
      </c>
      <c r="R624">
        <v>11</v>
      </c>
      <c r="S624" t="s">
        <v>35</v>
      </c>
      <c r="T624">
        <f>IF(orders[[#This Row],[Status]]="Completed",1,0)</f>
        <v>1</v>
      </c>
      <c r="U624">
        <f>IF(orders[[#This Row],[Status]]="Pending",1,0)</f>
        <v>0</v>
      </c>
      <c r="V624">
        <f>IF(orders[[#This Row],[Status]]="Delayed",1,0)</f>
        <v>0</v>
      </c>
      <c r="W624">
        <f>IF(orders[[#This Row],[Status]]="Cancelled",1,0)</f>
        <v>0</v>
      </c>
    </row>
    <row r="625" spans="1:23" x14ac:dyDescent="0.35">
      <c r="A625" t="s">
        <v>969</v>
      </c>
      <c r="B625" s="1">
        <v>45874</v>
      </c>
      <c r="C625" t="s">
        <v>141</v>
      </c>
      <c r="D625" t="s">
        <v>38</v>
      </c>
      <c r="E625" t="s">
        <v>22</v>
      </c>
      <c r="F625" t="s">
        <v>23</v>
      </c>
      <c r="G625" t="s">
        <v>110</v>
      </c>
      <c r="H625" s="7">
        <v>3</v>
      </c>
      <c r="I625" s="4">
        <v>22497.87</v>
      </c>
      <c r="J625" s="23">
        <v>0.1</v>
      </c>
      <c r="K625" s="4">
        <v>20248.080000000002</v>
      </c>
      <c r="L625" s="4">
        <v>15744.31</v>
      </c>
      <c r="M625" s="4">
        <v>4503.7700000000004</v>
      </c>
      <c r="N625" t="s">
        <v>48</v>
      </c>
      <c r="O625" s="7">
        <v>7</v>
      </c>
      <c r="P625" s="2">
        <v>45874.291666666664</v>
      </c>
      <c r="Q625" t="s">
        <v>80</v>
      </c>
      <c r="R625">
        <v>8</v>
      </c>
      <c r="S625" t="s">
        <v>42</v>
      </c>
      <c r="T625">
        <f>IF(orders[[#This Row],[Status]]="Completed",1,0)</f>
        <v>0</v>
      </c>
      <c r="U625">
        <f>IF(orders[[#This Row],[Status]]="Pending",1,0)</f>
        <v>0</v>
      </c>
      <c r="V625">
        <f>IF(orders[[#This Row],[Status]]="Delayed",1,0)</f>
        <v>0</v>
      </c>
      <c r="W625">
        <f>IF(orders[[#This Row],[Status]]="Cancelled",1,0)</f>
        <v>1</v>
      </c>
    </row>
    <row r="626" spans="1:23" x14ac:dyDescent="0.35">
      <c r="A626" t="s">
        <v>970</v>
      </c>
      <c r="B626" s="1">
        <v>45958</v>
      </c>
      <c r="C626" t="s">
        <v>583</v>
      </c>
      <c r="D626" t="s">
        <v>77</v>
      </c>
      <c r="E626" t="s">
        <v>113</v>
      </c>
      <c r="F626" t="s">
        <v>83</v>
      </c>
      <c r="G626" t="s">
        <v>152</v>
      </c>
      <c r="H626" s="7">
        <v>5</v>
      </c>
      <c r="I626" s="4">
        <v>8891.1</v>
      </c>
      <c r="J626" s="23">
        <v>0.2</v>
      </c>
      <c r="K626" s="4">
        <v>7112.88</v>
      </c>
      <c r="L626" s="4">
        <v>5506.45</v>
      </c>
      <c r="M626" s="4">
        <v>1606.43</v>
      </c>
      <c r="N626" t="s">
        <v>25</v>
      </c>
      <c r="O626" s="7">
        <v>43</v>
      </c>
      <c r="P626" s="2">
        <v>45959.791666666664</v>
      </c>
      <c r="Q626" t="s">
        <v>116</v>
      </c>
      <c r="R626">
        <v>10</v>
      </c>
      <c r="S626" t="s">
        <v>35</v>
      </c>
      <c r="T626">
        <f>IF(orders[[#This Row],[Status]]="Completed",1,0)</f>
        <v>1</v>
      </c>
      <c r="U626">
        <f>IF(orders[[#This Row],[Status]]="Pending",1,0)</f>
        <v>0</v>
      </c>
      <c r="V626">
        <f>IF(orders[[#This Row],[Status]]="Delayed",1,0)</f>
        <v>0</v>
      </c>
      <c r="W626">
        <f>IF(orders[[#This Row],[Status]]="Cancelled",1,0)</f>
        <v>0</v>
      </c>
    </row>
    <row r="627" spans="1:23" x14ac:dyDescent="0.35">
      <c r="A627" t="s">
        <v>971</v>
      </c>
      <c r="B627" s="1">
        <v>45789</v>
      </c>
      <c r="C627" t="s">
        <v>341</v>
      </c>
      <c r="D627" t="s">
        <v>63</v>
      </c>
      <c r="E627" t="s">
        <v>59</v>
      </c>
      <c r="F627" t="s">
        <v>23</v>
      </c>
      <c r="G627" t="s">
        <v>24</v>
      </c>
      <c r="H627" s="7">
        <v>6</v>
      </c>
      <c r="I627" s="4">
        <v>16605.240000000002</v>
      </c>
      <c r="J627" s="23">
        <v>0.15</v>
      </c>
      <c r="K627" s="4">
        <v>14114.45</v>
      </c>
      <c r="L627" s="4">
        <v>8938</v>
      </c>
      <c r="M627" s="4">
        <v>5176.45</v>
      </c>
      <c r="N627" t="s">
        <v>48</v>
      </c>
      <c r="O627" s="7">
        <v>12</v>
      </c>
      <c r="P627" s="2">
        <v>45789.5</v>
      </c>
      <c r="Q627" t="s">
        <v>74</v>
      </c>
      <c r="R627">
        <v>5</v>
      </c>
      <c r="S627" t="s">
        <v>27</v>
      </c>
      <c r="T627">
        <f>IF(orders[[#This Row],[Status]]="Completed",1,0)</f>
        <v>0</v>
      </c>
      <c r="U627">
        <f>IF(orders[[#This Row],[Status]]="Pending",1,0)</f>
        <v>0</v>
      </c>
      <c r="V627">
        <f>IF(orders[[#This Row],[Status]]="Delayed",1,0)</f>
        <v>0</v>
      </c>
      <c r="W627">
        <f>IF(orders[[#This Row],[Status]]="Cancelled",1,0)</f>
        <v>1</v>
      </c>
    </row>
    <row r="628" spans="1:23" x14ac:dyDescent="0.35">
      <c r="A628" t="s">
        <v>972</v>
      </c>
      <c r="B628" s="1">
        <v>45949</v>
      </c>
      <c r="C628" t="s">
        <v>103</v>
      </c>
      <c r="D628" t="s">
        <v>21</v>
      </c>
      <c r="E628" t="s">
        <v>52</v>
      </c>
      <c r="F628" t="s">
        <v>83</v>
      </c>
      <c r="G628" t="s">
        <v>107</v>
      </c>
      <c r="H628" s="7">
        <v>1</v>
      </c>
      <c r="I628" s="4">
        <v>5331.65</v>
      </c>
      <c r="J628" s="23">
        <v>0.2</v>
      </c>
      <c r="K628" s="4">
        <v>4265.32</v>
      </c>
      <c r="L628" s="4">
        <v>3171.78</v>
      </c>
      <c r="M628" s="4">
        <v>1093.54</v>
      </c>
      <c r="N628" t="s">
        <v>25</v>
      </c>
      <c r="O628" s="7">
        <v>21</v>
      </c>
      <c r="P628" s="2">
        <v>45949.875</v>
      </c>
      <c r="Q628" t="s">
        <v>116</v>
      </c>
      <c r="R628">
        <v>10</v>
      </c>
      <c r="S628" t="s">
        <v>35</v>
      </c>
      <c r="T628">
        <f>IF(orders[[#This Row],[Status]]="Completed",1,0)</f>
        <v>1</v>
      </c>
      <c r="U628">
        <f>IF(orders[[#This Row],[Status]]="Pending",1,0)</f>
        <v>0</v>
      </c>
      <c r="V628">
        <f>IF(orders[[#This Row],[Status]]="Delayed",1,0)</f>
        <v>0</v>
      </c>
      <c r="W628">
        <f>IF(orders[[#This Row],[Status]]="Cancelled",1,0)</f>
        <v>0</v>
      </c>
    </row>
    <row r="629" spans="1:23" x14ac:dyDescent="0.35">
      <c r="A629" t="s">
        <v>973</v>
      </c>
      <c r="B629" s="1">
        <v>45727</v>
      </c>
      <c r="C629" t="s">
        <v>141</v>
      </c>
      <c r="D629" t="s">
        <v>30</v>
      </c>
      <c r="E629" t="s">
        <v>78</v>
      </c>
      <c r="F629" t="s">
        <v>32</v>
      </c>
      <c r="G629" t="s">
        <v>79</v>
      </c>
      <c r="H629" s="7">
        <v>2</v>
      </c>
      <c r="I629" s="4">
        <v>10960.44</v>
      </c>
      <c r="J629" s="23">
        <v>0.2</v>
      </c>
      <c r="K629" s="4">
        <v>8768.35</v>
      </c>
      <c r="L629" s="4">
        <v>7125.61</v>
      </c>
      <c r="M629" s="4">
        <v>1642.74</v>
      </c>
      <c r="N629" t="s">
        <v>98</v>
      </c>
      <c r="O629" s="7">
        <v>1</v>
      </c>
      <c r="P629" s="2">
        <v>45727.041666666664</v>
      </c>
      <c r="Q629" t="s">
        <v>54</v>
      </c>
      <c r="R629">
        <v>3</v>
      </c>
      <c r="S629" t="s">
        <v>55</v>
      </c>
      <c r="T629">
        <f>IF(orders[[#This Row],[Status]]="Completed",1,0)</f>
        <v>0</v>
      </c>
      <c r="U629">
        <f>IF(orders[[#This Row],[Status]]="Pending",1,0)</f>
        <v>1</v>
      </c>
      <c r="V629">
        <f>IF(orders[[#This Row],[Status]]="Delayed",1,0)</f>
        <v>0</v>
      </c>
      <c r="W629">
        <f>IF(orders[[#This Row],[Status]]="Cancelled",1,0)</f>
        <v>0</v>
      </c>
    </row>
    <row r="630" spans="1:23" x14ac:dyDescent="0.35">
      <c r="A630" t="s">
        <v>974</v>
      </c>
      <c r="B630" s="1">
        <v>45909</v>
      </c>
      <c r="C630" t="s">
        <v>281</v>
      </c>
      <c r="D630" t="s">
        <v>45</v>
      </c>
      <c r="E630" t="s">
        <v>113</v>
      </c>
      <c r="F630" t="s">
        <v>39</v>
      </c>
      <c r="G630" t="s">
        <v>40</v>
      </c>
      <c r="H630" s="7">
        <v>5</v>
      </c>
      <c r="I630" s="4">
        <v>29949.3</v>
      </c>
      <c r="J630" s="23">
        <v>0</v>
      </c>
      <c r="K630" s="4">
        <v>29949.3</v>
      </c>
      <c r="L630" s="4">
        <v>21167.45</v>
      </c>
      <c r="M630" s="4">
        <v>8781.85</v>
      </c>
      <c r="N630" t="s">
        <v>25</v>
      </c>
      <c r="O630" s="7">
        <v>18</v>
      </c>
      <c r="P630" s="2">
        <v>45909.75</v>
      </c>
      <c r="Q630" t="s">
        <v>41</v>
      </c>
      <c r="R630">
        <v>9</v>
      </c>
      <c r="S630" t="s">
        <v>42</v>
      </c>
      <c r="T630">
        <f>IF(orders[[#This Row],[Status]]="Completed",1,0)</f>
        <v>1</v>
      </c>
      <c r="U630">
        <f>IF(orders[[#This Row],[Status]]="Pending",1,0)</f>
        <v>0</v>
      </c>
      <c r="V630">
        <f>IF(orders[[#This Row],[Status]]="Delayed",1,0)</f>
        <v>0</v>
      </c>
      <c r="W630">
        <f>IF(orders[[#This Row],[Status]]="Cancelled",1,0)</f>
        <v>0</v>
      </c>
    </row>
    <row r="631" spans="1:23" x14ac:dyDescent="0.35">
      <c r="A631" t="s">
        <v>975</v>
      </c>
      <c r="B631" s="1">
        <v>45932</v>
      </c>
      <c r="C631" t="s">
        <v>221</v>
      </c>
      <c r="D631" t="s">
        <v>77</v>
      </c>
      <c r="E631" t="s">
        <v>92</v>
      </c>
      <c r="F631" t="s">
        <v>23</v>
      </c>
      <c r="G631" t="s">
        <v>136</v>
      </c>
      <c r="H631" s="7">
        <v>5</v>
      </c>
      <c r="I631" s="4">
        <v>5426.5</v>
      </c>
      <c r="J631" s="23">
        <v>0</v>
      </c>
      <c r="K631" s="4">
        <v>5426.5</v>
      </c>
      <c r="L631" s="4">
        <v>4405.17</v>
      </c>
      <c r="M631" s="4">
        <v>1021.33</v>
      </c>
      <c r="N631" t="s">
        <v>85</v>
      </c>
      <c r="O631" s="7">
        <v>90</v>
      </c>
      <c r="P631" s="2">
        <v>45935.75</v>
      </c>
      <c r="Q631" t="s">
        <v>116</v>
      </c>
      <c r="R631">
        <v>10</v>
      </c>
      <c r="S631" t="s">
        <v>35</v>
      </c>
      <c r="T631">
        <f>IF(orders[[#This Row],[Status]]="Completed",1,0)</f>
        <v>0</v>
      </c>
      <c r="U631">
        <f>IF(orders[[#This Row],[Status]]="Pending",1,0)</f>
        <v>0</v>
      </c>
      <c r="V631">
        <f>IF(orders[[#This Row],[Status]]="Delayed",1,0)</f>
        <v>1</v>
      </c>
      <c r="W631">
        <f>IF(orders[[#This Row],[Status]]="Cancelled",1,0)</f>
        <v>0</v>
      </c>
    </row>
    <row r="632" spans="1:23" x14ac:dyDescent="0.35">
      <c r="A632" t="s">
        <v>976</v>
      </c>
      <c r="B632" s="1">
        <v>46021</v>
      </c>
      <c r="C632" t="s">
        <v>231</v>
      </c>
      <c r="D632" t="s">
        <v>51</v>
      </c>
      <c r="E632" t="s">
        <v>59</v>
      </c>
      <c r="F632" t="s">
        <v>83</v>
      </c>
      <c r="G632" t="s">
        <v>155</v>
      </c>
      <c r="H632" s="7">
        <v>1</v>
      </c>
      <c r="I632" s="4">
        <v>7243.03</v>
      </c>
      <c r="J632" s="23">
        <v>0.1</v>
      </c>
      <c r="K632" s="4">
        <v>6518.73</v>
      </c>
      <c r="L632" s="4">
        <v>4359.47</v>
      </c>
      <c r="M632" s="4">
        <v>2159.2600000000002</v>
      </c>
      <c r="N632" t="s">
        <v>25</v>
      </c>
      <c r="O632" s="7">
        <v>20</v>
      </c>
      <c r="P632" s="2">
        <v>46021.833333333336</v>
      </c>
      <c r="Q632" t="s">
        <v>34</v>
      </c>
      <c r="R632">
        <v>12</v>
      </c>
      <c r="S632" t="s">
        <v>35</v>
      </c>
      <c r="T632">
        <f>IF(orders[[#This Row],[Status]]="Completed",1,0)</f>
        <v>1</v>
      </c>
      <c r="U632">
        <f>IF(orders[[#This Row],[Status]]="Pending",1,0)</f>
        <v>0</v>
      </c>
      <c r="V632">
        <f>IF(orders[[#This Row],[Status]]="Delayed",1,0)</f>
        <v>0</v>
      </c>
      <c r="W632">
        <f>IF(orders[[#This Row],[Status]]="Cancelled",1,0)</f>
        <v>0</v>
      </c>
    </row>
    <row r="633" spans="1:23" x14ac:dyDescent="0.35">
      <c r="A633" t="s">
        <v>977</v>
      </c>
      <c r="B633" s="1">
        <v>45839</v>
      </c>
      <c r="C633" t="s">
        <v>165</v>
      </c>
      <c r="D633" t="s">
        <v>38</v>
      </c>
      <c r="E633" t="s">
        <v>46</v>
      </c>
      <c r="F633" t="s">
        <v>72</v>
      </c>
      <c r="G633" t="s">
        <v>104</v>
      </c>
      <c r="H633" s="7">
        <v>3</v>
      </c>
      <c r="I633" s="4">
        <v>13797.81</v>
      </c>
      <c r="J633" s="23">
        <v>0.2</v>
      </c>
      <c r="K633" s="4">
        <v>11038.25</v>
      </c>
      <c r="L633" s="4">
        <v>9490.59</v>
      </c>
      <c r="M633" s="4">
        <v>1547.66</v>
      </c>
      <c r="N633" t="s">
        <v>48</v>
      </c>
      <c r="O633" s="7">
        <v>17</v>
      </c>
      <c r="P633" s="2">
        <v>45839.708333333336</v>
      </c>
      <c r="Q633" t="s">
        <v>60</v>
      </c>
      <c r="R633">
        <v>7</v>
      </c>
      <c r="S633" t="s">
        <v>42</v>
      </c>
      <c r="T633">
        <f>IF(orders[[#This Row],[Status]]="Completed",1,0)</f>
        <v>0</v>
      </c>
      <c r="U633">
        <f>IF(orders[[#This Row],[Status]]="Pending",1,0)</f>
        <v>0</v>
      </c>
      <c r="V633">
        <f>IF(orders[[#This Row],[Status]]="Delayed",1,0)</f>
        <v>0</v>
      </c>
      <c r="W633">
        <f>IF(orders[[#This Row],[Status]]="Cancelled",1,0)</f>
        <v>1</v>
      </c>
    </row>
    <row r="634" spans="1:23" x14ac:dyDescent="0.35">
      <c r="A634" t="s">
        <v>978</v>
      </c>
      <c r="B634" s="1">
        <v>45824</v>
      </c>
      <c r="C634" t="s">
        <v>354</v>
      </c>
      <c r="D634" t="s">
        <v>21</v>
      </c>
      <c r="E634" t="s">
        <v>22</v>
      </c>
      <c r="F634" t="s">
        <v>23</v>
      </c>
      <c r="G634" t="s">
        <v>110</v>
      </c>
      <c r="H634" s="7">
        <v>6</v>
      </c>
      <c r="I634" s="4">
        <v>24513.24</v>
      </c>
      <c r="J634" s="23">
        <v>0.25</v>
      </c>
      <c r="K634" s="4">
        <v>18384.93</v>
      </c>
      <c r="L634" s="4">
        <v>13351.07</v>
      </c>
      <c r="M634" s="4">
        <v>5033.8599999999997</v>
      </c>
      <c r="N634" t="s">
        <v>25</v>
      </c>
      <c r="O634" s="7">
        <v>5</v>
      </c>
      <c r="P634" s="2">
        <v>45824.208333333336</v>
      </c>
      <c r="Q634" t="s">
        <v>99</v>
      </c>
      <c r="R634">
        <v>6</v>
      </c>
      <c r="S634" t="s">
        <v>27</v>
      </c>
      <c r="T634">
        <f>IF(orders[[#This Row],[Status]]="Completed",1,0)</f>
        <v>1</v>
      </c>
      <c r="U634">
        <f>IF(orders[[#This Row],[Status]]="Pending",1,0)</f>
        <v>0</v>
      </c>
      <c r="V634">
        <f>IF(orders[[#This Row],[Status]]="Delayed",1,0)</f>
        <v>0</v>
      </c>
      <c r="W634">
        <f>IF(orders[[#This Row],[Status]]="Cancelled",1,0)</f>
        <v>0</v>
      </c>
    </row>
    <row r="635" spans="1:23" x14ac:dyDescent="0.35">
      <c r="A635" t="s">
        <v>979</v>
      </c>
      <c r="B635" s="1">
        <v>45748</v>
      </c>
      <c r="C635" t="s">
        <v>959</v>
      </c>
      <c r="D635" t="s">
        <v>58</v>
      </c>
      <c r="E635" t="s">
        <v>31</v>
      </c>
      <c r="F635" t="s">
        <v>32</v>
      </c>
      <c r="G635" t="s">
        <v>53</v>
      </c>
      <c r="H635" s="7">
        <v>2</v>
      </c>
      <c r="I635" s="4">
        <v>16684.34</v>
      </c>
      <c r="J635" s="23">
        <v>0</v>
      </c>
      <c r="K635" s="4">
        <v>16684.34</v>
      </c>
      <c r="L635" s="4">
        <v>12457.58</v>
      </c>
      <c r="M635" s="4">
        <v>4226.76</v>
      </c>
      <c r="N635" t="s">
        <v>85</v>
      </c>
      <c r="O635" s="7">
        <v>50</v>
      </c>
      <c r="P635" s="2">
        <v>45750.083333333336</v>
      </c>
      <c r="Q635" t="s">
        <v>26</v>
      </c>
      <c r="R635">
        <v>4</v>
      </c>
      <c r="S635" t="s">
        <v>27</v>
      </c>
      <c r="T635">
        <f>IF(orders[[#This Row],[Status]]="Completed",1,0)</f>
        <v>0</v>
      </c>
      <c r="U635">
        <f>IF(orders[[#This Row],[Status]]="Pending",1,0)</f>
        <v>0</v>
      </c>
      <c r="V635">
        <f>IF(orders[[#This Row],[Status]]="Delayed",1,0)</f>
        <v>1</v>
      </c>
      <c r="W635">
        <f>IF(orders[[#This Row],[Status]]="Cancelled",1,0)</f>
        <v>0</v>
      </c>
    </row>
    <row r="636" spans="1:23" x14ac:dyDescent="0.35">
      <c r="A636" t="s">
        <v>980</v>
      </c>
      <c r="B636" s="1">
        <v>45859</v>
      </c>
      <c r="C636" t="s">
        <v>570</v>
      </c>
      <c r="D636" t="s">
        <v>51</v>
      </c>
      <c r="E636" t="s">
        <v>59</v>
      </c>
      <c r="F636" t="s">
        <v>32</v>
      </c>
      <c r="G636" t="s">
        <v>64</v>
      </c>
      <c r="H636" s="7">
        <v>5</v>
      </c>
      <c r="I636" s="4">
        <v>31660.799999999999</v>
      </c>
      <c r="J636" s="23">
        <v>0.05</v>
      </c>
      <c r="K636" s="4">
        <v>30077.759999999998</v>
      </c>
      <c r="L636" s="4">
        <v>16854.05</v>
      </c>
      <c r="M636" s="4">
        <v>13223.71</v>
      </c>
      <c r="N636" t="s">
        <v>85</v>
      </c>
      <c r="O636" s="7">
        <v>67</v>
      </c>
      <c r="P636" s="2">
        <v>45861.791666666664</v>
      </c>
      <c r="Q636" t="s">
        <v>60</v>
      </c>
      <c r="R636">
        <v>7</v>
      </c>
      <c r="S636" t="s">
        <v>42</v>
      </c>
      <c r="T636">
        <f>IF(orders[[#This Row],[Status]]="Completed",1,0)</f>
        <v>0</v>
      </c>
      <c r="U636">
        <f>IF(orders[[#This Row],[Status]]="Pending",1,0)</f>
        <v>0</v>
      </c>
      <c r="V636">
        <f>IF(orders[[#This Row],[Status]]="Delayed",1,0)</f>
        <v>1</v>
      </c>
      <c r="W636">
        <f>IF(orders[[#This Row],[Status]]="Cancelled",1,0)</f>
        <v>0</v>
      </c>
    </row>
    <row r="637" spans="1:23" x14ac:dyDescent="0.35">
      <c r="A637" t="s">
        <v>981</v>
      </c>
      <c r="B637" s="1">
        <v>46003</v>
      </c>
      <c r="C637" t="s">
        <v>205</v>
      </c>
      <c r="D637" t="s">
        <v>30</v>
      </c>
      <c r="E637" t="s">
        <v>22</v>
      </c>
      <c r="F637" t="s">
        <v>72</v>
      </c>
      <c r="G637" t="s">
        <v>104</v>
      </c>
      <c r="H637" s="7">
        <v>3</v>
      </c>
      <c r="I637" s="4">
        <v>3406.05</v>
      </c>
      <c r="J637" s="23">
        <v>0.05</v>
      </c>
      <c r="K637" s="4">
        <v>3235.75</v>
      </c>
      <c r="L637" s="4">
        <v>1961.48</v>
      </c>
      <c r="M637" s="4">
        <v>1274.27</v>
      </c>
      <c r="N637" t="s">
        <v>25</v>
      </c>
      <c r="O637" s="7">
        <v>44</v>
      </c>
      <c r="P637" s="2">
        <v>46004.833333333336</v>
      </c>
      <c r="Q637" t="s">
        <v>34</v>
      </c>
      <c r="R637">
        <v>12</v>
      </c>
      <c r="S637" t="s">
        <v>35</v>
      </c>
      <c r="T637">
        <f>IF(orders[[#This Row],[Status]]="Completed",1,0)</f>
        <v>1</v>
      </c>
      <c r="U637">
        <f>IF(orders[[#This Row],[Status]]="Pending",1,0)</f>
        <v>0</v>
      </c>
      <c r="V637">
        <f>IF(orders[[#This Row],[Status]]="Delayed",1,0)</f>
        <v>0</v>
      </c>
      <c r="W637">
        <f>IF(orders[[#This Row],[Status]]="Cancelled",1,0)</f>
        <v>0</v>
      </c>
    </row>
    <row r="638" spans="1:23" x14ac:dyDescent="0.35">
      <c r="A638" t="s">
        <v>982</v>
      </c>
      <c r="B638" s="1">
        <v>45676</v>
      </c>
      <c r="C638" t="s">
        <v>880</v>
      </c>
      <c r="D638" t="s">
        <v>21</v>
      </c>
      <c r="E638" t="s">
        <v>78</v>
      </c>
      <c r="F638" t="s">
        <v>83</v>
      </c>
      <c r="G638" t="s">
        <v>107</v>
      </c>
      <c r="H638" s="7">
        <v>7</v>
      </c>
      <c r="I638" s="4">
        <v>45269.7</v>
      </c>
      <c r="J638" s="23">
        <v>0.15</v>
      </c>
      <c r="K638" s="4">
        <v>38479.24</v>
      </c>
      <c r="L638" s="4">
        <v>29200.67</v>
      </c>
      <c r="M638" s="4">
        <v>9278.57</v>
      </c>
      <c r="N638" t="s">
        <v>25</v>
      </c>
      <c r="O638" s="7">
        <v>44</v>
      </c>
      <c r="P638" s="2">
        <v>45677.833333333336</v>
      </c>
      <c r="Q638" t="s">
        <v>65</v>
      </c>
      <c r="R638">
        <v>1</v>
      </c>
      <c r="S638" t="s">
        <v>55</v>
      </c>
      <c r="T638">
        <f>IF(orders[[#This Row],[Status]]="Completed",1,0)</f>
        <v>1</v>
      </c>
      <c r="U638">
        <f>IF(orders[[#This Row],[Status]]="Pending",1,0)</f>
        <v>0</v>
      </c>
      <c r="V638">
        <f>IF(orders[[#This Row],[Status]]="Delayed",1,0)</f>
        <v>0</v>
      </c>
      <c r="W638">
        <f>IF(orders[[#This Row],[Status]]="Cancelled",1,0)</f>
        <v>0</v>
      </c>
    </row>
    <row r="639" spans="1:23" x14ac:dyDescent="0.35">
      <c r="A639" t="s">
        <v>983</v>
      </c>
      <c r="B639" s="1">
        <v>45696</v>
      </c>
      <c r="C639" t="s">
        <v>623</v>
      </c>
      <c r="D639" t="s">
        <v>51</v>
      </c>
      <c r="E639" t="s">
        <v>78</v>
      </c>
      <c r="F639" t="s">
        <v>23</v>
      </c>
      <c r="G639" t="s">
        <v>24</v>
      </c>
      <c r="H639" s="7">
        <v>6</v>
      </c>
      <c r="I639" s="4">
        <v>5671.98</v>
      </c>
      <c r="J639" s="23">
        <v>0.1</v>
      </c>
      <c r="K639" s="4">
        <v>5104.78</v>
      </c>
      <c r="L639" s="4">
        <v>3514.93</v>
      </c>
      <c r="M639" s="4">
        <v>1589.85</v>
      </c>
      <c r="N639" t="s">
        <v>25</v>
      </c>
      <c r="O639" s="7">
        <v>37</v>
      </c>
      <c r="P639" s="2">
        <v>45697.541666666664</v>
      </c>
      <c r="Q639" t="s">
        <v>139</v>
      </c>
      <c r="R639">
        <v>2</v>
      </c>
      <c r="S639" t="s">
        <v>55</v>
      </c>
      <c r="T639">
        <f>IF(orders[[#This Row],[Status]]="Completed",1,0)</f>
        <v>1</v>
      </c>
      <c r="U639">
        <f>IF(orders[[#This Row],[Status]]="Pending",1,0)</f>
        <v>0</v>
      </c>
      <c r="V639">
        <f>IF(orders[[#This Row],[Status]]="Delayed",1,0)</f>
        <v>0</v>
      </c>
      <c r="W639">
        <f>IF(orders[[#This Row],[Status]]="Cancelled",1,0)</f>
        <v>0</v>
      </c>
    </row>
    <row r="640" spans="1:23" x14ac:dyDescent="0.35">
      <c r="A640" t="s">
        <v>984</v>
      </c>
      <c r="B640" s="1">
        <v>45783</v>
      </c>
      <c r="C640" t="s">
        <v>446</v>
      </c>
      <c r="D640" t="s">
        <v>38</v>
      </c>
      <c r="E640" t="s">
        <v>59</v>
      </c>
      <c r="F640" t="s">
        <v>83</v>
      </c>
      <c r="G640" t="s">
        <v>152</v>
      </c>
      <c r="H640" s="7">
        <v>7</v>
      </c>
      <c r="I640" s="4">
        <v>2655.66</v>
      </c>
      <c r="J640" s="23">
        <v>0</v>
      </c>
      <c r="K640" s="4">
        <v>2655.66</v>
      </c>
      <c r="L640" s="4">
        <v>1905.95</v>
      </c>
      <c r="M640" s="4">
        <v>749.71</v>
      </c>
      <c r="N640" t="s">
        <v>85</v>
      </c>
      <c r="O640" s="7">
        <v>89</v>
      </c>
      <c r="P640" s="2">
        <v>45786.708333333336</v>
      </c>
      <c r="Q640" t="s">
        <v>74</v>
      </c>
      <c r="R640">
        <v>5</v>
      </c>
      <c r="S640" t="s">
        <v>27</v>
      </c>
      <c r="T640">
        <f>IF(orders[[#This Row],[Status]]="Completed",1,0)</f>
        <v>0</v>
      </c>
      <c r="U640">
        <f>IF(orders[[#This Row],[Status]]="Pending",1,0)</f>
        <v>0</v>
      </c>
      <c r="V640">
        <f>IF(orders[[#This Row],[Status]]="Delayed",1,0)</f>
        <v>1</v>
      </c>
      <c r="W640">
        <f>IF(orders[[#This Row],[Status]]="Cancelled",1,0)</f>
        <v>0</v>
      </c>
    </row>
    <row r="641" spans="1:23" x14ac:dyDescent="0.35">
      <c r="A641" t="s">
        <v>985</v>
      </c>
      <c r="B641" s="1">
        <v>45830</v>
      </c>
      <c r="C641" t="s">
        <v>986</v>
      </c>
      <c r="D641" t="s">
        <v>58</v>
      </c>
      <c r="E641" t="s">
        <v>46</v>
      </c>
      <c r="F641" t="s">
        <v>32</v>
      </c>
      <c r="G641" t="s">
        <v>53</v>
      </c>
      <c r="H641" s="7">
        <v>6</v>
      </c>
      <c r="I641" s="4">
        <v>21121.68</v>
      </c>
      <c r="J641" s="23">
        <v>0.1</v>
      </c>
      <c r="K641" s="4">
        <v>19009.509999999998</v>
      </c>
      <c r="L641" s="4">
        <v>10850.26</v>
      </c>
      <c r="M641" s="4">
        <v>8159.25</v>
      </c>
      <c r="N641" t="s">
        <v>25</v>
      </c>
      <c r="O641" s="7">
        <v>6</v>
      </c>
      <c r="P641" s="2">
        <v>45830.25</v>
      </c>
      <c r="Q641" t="s">
        <v>99</v>
      </c>
      <c r="R641">
        <v>6</v>
      </c>
      <c r="S641" t="s">
        <v>27</v>
      </c>
      <c r="T641">
        <f>IF(orders[[#This Row],[Status]]="Completed",1,0)</f>
        <v>1</v>
      </c>
      <c r="U641">
        <f>IF(orders[[#This Row],[Status]]="Pending",1,0)</f>
        <v>0</v>
      </c>
      <c r="V641">
        <f>IF(orders[[#This Row],[Status]]="Delayed",1,0)</f>
        <v>0</v>
      </c>
      <c r="W641">
        <f>IF(orders[[#This Row],[Status]]="Cancelled",1,0)</f>
        <v>0</v>
      </c>
    </row>
    <row r="642" spans="1:23" x14ac:dyDescent="0.35">
      <c r="A642" t="s">
        <v>987</v>
      </c>
      <c r="B642" s="1">
        <v>45798</v>
      </c>
      <c r="C642" t="s">
        <v>988</v>
      </c>
      <c r="D642" t="s">
        <v>51</v>
      </c>
      <c r="E642" t="s">
        <v>59</v>
      </c>
      <c r="F642" t="s">
        <v>83</v>
      </c>
      <c r="G642" t="s">
        <v>107</v>
      </c>
      <c r="H642" s="7">
        <v>2</v>
      </c>
      <c r="I642" s="4">
        <v>16892.759999999998</v>
      </c>
      <c r="J642" s="23">
        <v>0.1</v>
      </c>
      <c r="K642" s="4">
        <v>15203.48</v>
      </c>
      <c r="L642" s="4">
        <v>12546.89</v>
      </c>
      <c r="M642" s="4">
        <v>2656.59</v>
      </c>
      <c r="N642" t="s">
        <v>48</v>
      </c>
      <c r="O642" s="7">
        <v>19</v>
      </c>
      <c r="P642" s="2">
        <v>45798.791666666664</v>
      </c>
      <c r="Q642" t="s">
        <v>74</v>
      </c>
      <c r="R642">
        <v>5</v>
      </c>
      <c r="S642" t="s">
        <v>27</v>
      </c>
      <c r="T642">
        <f>IF(orders[[#This Row],[Status]]="Completed",1,0)</f>
        <v>0</v>
      </c>
      <c r="U642">
        <f>IF(orders[[#This Row],[Status]]="Pending",1,0)</f>
        <v>0</v>
      </c>
      <c r="V642">
        <f>IF(orders[[#This Row],[Status]]="Delayed",1,0)</f>
        <v>0</v>
      </c>
      <c r="W642">
        <f>IF(orders[[#This Row],[Status]]="Cancelled",1,0)</f>
        <v>1</v>
      </c>
    </row>
    <row r="643" spans="1:23" x14ac:dyDescent="0.35">
      <c r="A643" t="s">
        <v>989</v>
      </c>
      <c r="B643" s="1">
        <v>45899</v>
      </c>
      <c r="C643" t="s">
        <v>644</v>
      </c>
      <c r="D643" t="s">
        <v>149</v>
      </c>
      <c r="E643" t="s">
        <v>46</v>
      </c>
      <c r="F643" t="s">
        <v>32</v>
      </c>
      <c r="G643" t="s">
        <v>33</v>
      </c>
      <c r="H643" s="7">
        <v>4</v>
      </c>
      <c r="I643" s="4">
        <v>6441.12</v>
      </c>
      <c r="J643" s="23">
        <v>0.15</v>
      </c>
      <c r="K643" s="4">
        <v>5474.95</v>
      </c>
      <c r="L643" s="4">
        <v>4428.62</v>
      </c>
      <c r="M643" s="4">
        <v>1046.33</v>
      </c>
      <c r="N643" t="s">
        <v>25</v>
      </c>
      <c r="O643" s="7">
        <v>17</v>
      </c>
      <c r="P643" s="2">
        <v>45899.708333333336</v>
      </c>
      <c r="Q643" t="s">
        <v>80</v>
      </c>
      <c r="R643">
        <v>8</v>
      </c>
      <c r="S643" t="s">
        <v>42</v>
      </c>
      <c r="T643">
        <f>IF(orders[[#This Row],[Status]]="Completed",1,0)</f>
        <v>1</v>
      </c>
      <c r="U643">
        <f>IF(orders[[#This Row],[Status]]="Pending",1,0)</f>
        <v>0</v>
      </c>
      <c r="V643">
        <f>IF(orders[[#This Row],[Status]]="Delayed",1,0)</f>
        <v>0</v>
      </c>
      <c r="W643">
        <f>IF(orders[[#This Row],[Status]]="Cancelled",1,0)</f>
        <v>0</v>
      </c>
    </row>
    <row r="644" spans="1:23" x14ac:dyDescent="0.35">
      <c r="A644" t="s">
        <v>990</v>
      </c>
      <c r="B644" s="1">
        <v>45877</v>
      </c>
      <c r="C644" t="s">
        <v>288</v>
      </c>
      <c r="D644" t="s">
        <v>58</v>
      </c>
      <c r="E644" t="s">
        <v>59</v>
      </c>
      <c r="F644" t="s">
        <v>83</v>
      </c>
      <c r="G644" t="s">
        <v>152</v>
      </c>
      <c r="H644" s="7">
        <v>6</v>
      </c>
      <c r="I644" s="4">
        <v>34599.480000000003</v>
      </c>
      <c r="J644" s="23">
        <v>0</v>
      </c>
      <c r="K644" s="4">
        <v>34599.480000000003</v>
      </c>
      <c r="L644" s="4">
        <v>21146.05</v>
      </c>
      <c r="M644" s="4">
        <v>13453.43</v>
      </c>
      <c r="N644" t="s">
        <v>98</v>
      </c>
      <c r="O644" s="7">
        <v>6</v>
      </c>
      <c r="P644" s="2">
        <v>45877.25</v>
      </c>
      <c r="Q644" t="s">
        <v>80</v>
      </c>
      <c r="R644">
        <v>8</v>
      </c>
      <c r="S644" t="s">
        <v>42</v>
      </c>
      <c r="T644">
        <f>IF(orders[[#This Row],[Status]]="Completed",1,0)</f>
        <v>0</v>
      </c>
      <c r="U644">
        <f>IF(orders[[#This Row],[Status]]="Pending",1,0)</f>
        <v>1</v>
      </c>
      <c r="V644">
        <f>IF(orders[[#This Row],[Status]]="Delayed",1,0)</f>
        <v>0</v>
      </c>
      <c r="W644">
        <f>IF(orders[[#This Row],[Status]]="Cancelled",1,0)</f>
        <v>0</v>
      </c>
    </row>
    <row r="645" spans="1:23" x14ac:dyDescent="0.35">
      <c r="A645" t="s">
        <v>991</v>
      </c>
      <c r="B645" s="1">
        <v>45783</v>
      </c>
      <c r="C645" t="s">
        <v>209</v>
      </c>
      <c r="D645" t="s">
        <v>30</v>
      </c>
      <c r="E645" t="s">
        <v>92</v>
      </c>
      <c r="F645" t="s">
        <v>72</v>
      </c>
      <c r="G645" t="s">
        <v>73</v>
      </c>
      <c r="H645" s="7">
        <v>4</v>
      </c>
      <c r="I645" s="4">
        <v>6391.44</v>
      </c>
      <c r="J645" s="23">
        <v>0.2</v>
      </c>
      <c r="K645" s="4">
        <v>5113.1499999999996</v>
      </c>
      <c r="L645" s="4">
        <v>3882.56</v>
      </c>
      <c r="M645" s="4">
        <v>1230.5899999999999</v>
      </c>
      <c r="N645" t="s">
        <v>25</v>
      </c>
      <c r="O645" s="7">
        <v>41</v>
      </c>
      <c r="P645" s="2">
        <v>45784.708333333336</v>
      </c>
      <c r="Q645" t="s">
        <v>74</v>
      </c>
      <c r="R645">
        <v>5</v>
      </c>
      <c r="S645" t="s">
        <v>27</v>
      </c>
      <c r="T645">
        <f>IF(orders[[#This Row],[Status]]="Completed",1,0)</f>
        <v>1</v>
      </c>
      <c r="U645">
        <f>IF(orders[[#This Row],[Status]]="Pending",1,0)</f>
        <v>0</v>
      </c>
      <c r="V645">
        <f>IF(orders[[#This Row],[Status]]="Delayed",1,0)</f>
        <v>0</v>
      </c>
      <c r="W645">
        <f>IF(orders[[#This Row],[Status]]="Cancelled",1,0)</f>
        <v>0</v>
      </c>
    </row>
    <row r="646" spans="1:23" x14ac:dyDescent="0.35">
      <c r="A646" t="s">
        <v>992</v>
      </c>
      <c r="B646" s="1">
        <v>45715</v>
      </c>
      <c r="C646" t="s">
        <v>882</v>
      </c>
      <c r="D646" t="s">
        <v>38</v>
      </c>
      <c r="E646" t="s">
        <v>31</v>
      </c>
      <c r="F646" t="s">
        <v>39</v>
      </c>
      <c r="G646" t="s">
        <v>93</v>
      </c>
      <c r="H646" s="7">
        <v>7</v>
      </c>
      <c r="I646" s="4">
        <v>43413.79</v>
      </c>
      <c r="J646" s="23">
        <v>0.1</v>
      </c>
      <c r="K646" s="4">
        <v>39072.410000000003</v>
      </c>
      <c r="L646" s="4">
        <v>32041.1</v>
      </c>
      <c r="M646" s="4">
        <v>7031.31</v>
      </c>
      <c r="N646" t="s">
        <v>25</v>
      </c>
      <c r="O646" s="7">
        <v>38</v>
      </c>
      <c r="P646" s="2">
        <v>45716.583333333336</v>
      </c>
      <c r="Q646" t="s">
        <v>139</v>
      </c>
      <c r="R646">
        <v>2</v>
      </c>
      <c r="S646" t="s">
        <v>55</v>
      </c>
      <c r="T646">
        <f>IF(orders[[#This Row],[Status]]="Completed",1,0)</f>
        <v>1</v>
      </c>
      <c r="U646">
        <f>IF(orders[[#This Row],[Status]]="Pending",1,0)</f>
        <v>0</v>
      </c>
      <c r="V646">
        <f>IF(orders[[#This Row],[Status]]="Delayed",1,0)</f>
        <v>0</v>
      </c>
      <c r="W646">
        <f>IF(orders[[#This Row],[Status]]="Cancelled",1,0)</f>
        <v>0</v>
      </c>
    </row>
    <row r="647" spans="1:23" x14ac:dyDescent="0.35">
      <c r="A647" t="s">
        <v>993</v>
      </c>
      <c r="B647" s="1">
        <v>45805</v>
      </c>
      <c r="C647" t="s">
        <v>337</v>
      </c>
      <c r="D647" t="s">
        <v>77</v>
      </c>
      <c r="E647" t="s">
        <v>59</v>
      </c>
      <c r="F647" t="s">
        <v>72</v>
      </c>
      <c r="G647" t="s">
        <v>129</v>
      </c>
      <c r="H647" s="7">
        <v>6</v>
      </c>
      <c r="I647" s="4">
        <v>26218.2</v>
      </c>
      <c r="J647" s="23">
        <v>0.15</v>
      </c>
      <c r="K647" s="4">
        <v>22285.47</v>
      </c>
      <c r="L647" s="4">
        <v>16969.98</v>
      </c>
      <c r="M647" s="4">
        <v>5315.49</v>
      </c>
      <c r="N647" t="s">
        <v>25</v>
      </c>
      <c r="O647" s="7">
        <v>4</v>
      </c>
      <c r="P647" s="2">
        <v>45805.166666666664</v>
      </c>
      <c r="Q647" t="s">
        <v>74</v>
      </c>
      <c r="R647">
        <v>5</v>
      </c>
      <c r="S647" t="s">
        <v>27</v>
      </c>
      <c r="T647">
        <f>IF(orders[[#This Row],[Status]]="Completed",1,0)</f>
        <v>1</v>
      </c>
      <c r="U647">
        <f>IF(orders[[#This Row],[Status]]="Pending",1,0)</f>
        <v>0</v>
      </c>
      <c r="V647">
        <f>IF(orders[[#This Row],[Status]]="Delayed",1,0)</f>
        <v>0</v>
      </c>
      <c r="W647">
        <f>IF(orders[[#This Row],[Status]]="Cancelled",1,0)</f>
        <v>0</v>
      </c>
    </row>
    <row r="648" spans="1:23" x14ac:dyDescent="0.35">
      <c r="A648" t="s">
        <v>994</v>
      </c>
      <c r="B648" s="1">
        <v>45974</v>
      </c>
      <c r="C648" t="s">
        <v>151</v>
      </c>
      <c r="D648" t="s">
        <v>63</v>
      </c>
      <c r="E648" t="s">
        <v>22</v>
      </c>
      <c r="F648" t="s">
        <v>72</v>
      </c>
      <c r="G648" t="s">
        <v>129</v>
      </c>
      <c r="H648" s="7">
        <v>2</v>
      </c>
      <c r="I648" s="4">
        <v>11655.52</v>
      </c>
      <c r="J648" s="23">
        <v>0.15</v>
      </c>
      <c r="K648" s="4">
        <v>9907.19</v>
      </c>
      <c r="L648" s="4">
        <v>6463.76</v>
      </c>
      <c r="M648" s="4">
        <v>3443.43</v>
      </c>
      <c r="N648" t="s">
        <v>25</v>
      </c>
      <c r="O648" s="7">
        <v>32</v>
      </c>
      <c r="P648" s="2">
        <v>45975.333333333336</v>
      </c>
      <c r="Q648" t="s">
        <v>86</v>
      </c>
      <c r="R648">
        <v>11</v>
      </c>
      <c r="S648" t="s">
        <v>35</v>
      </c>
      <c r="T648">
        <f>IF(orders[[#This Row],[Status]]="Completed",1,0)</f>
        <v>1</v>
      </c>
      <c r="U648">
        <f>IF(orders[[#This Row],[Status]]="Pending",1,0)</f>
        <v>0</v>
      </c>
      <c r="V648">
        <f>IF(orders[[#This Row],[Status]]="Delayed",1,0)</f>
        <v>0</v>
      </c>
      <c r="W648">
        <f>IF(orders[[#This Row],[Status]]="Cancelled",1,0)</f>
        <v>0</v>
      </c>
    </row>
    <row r="649" spans="1:23" x14ac:dyDescent="0.35">
      <c r="A649" t="s">
        <v>995</v>
      </c>
      <c r="B649" s="1">
        <v>46018</v>
      </c>
      <c r="C649" t="s">
        <v>530</v>
      </c>
      <c r="D649" t="s">
        <v>63</v>
      </c>
      <c r="E649" t="s">
        <v>92</v>
      </c>
      <c r="F649" t="s">
        <v>39</v>
      </c>
      <c r="G649" t="s">
        <v>40</v>
      </c>
      <c r="H649" s="7">
        <v>1</v>
      </c>
      <c r="I649" s="4">
        <v>1843.99</v>
      </c>
      <c r="J649" s="23">
        <v>0</v>
      </c>
      <c r="K649" s="4">
        <v>1843.99</v>
      </c>
      <c r="L649" s="4">
        <v>1413.45</v>
      </c>
      <c r="M649" s="4">
        <v>430.54</v>
      </c>
      <c r="N649" t="s">
        <v>25</v>
      </c>
      <c r="O649" s="7">
        <v>7</v>
      </c>
      <c r="P649" s="2">
        <v>46018.291666666664</v>
      </c>
      <c r="Q649" t="s">
        <v>34</v>
      </c>
      <c r="R649">
        <v>12</v>
      </c>
      <c r="S649" t="s">
        <v>35</v>
      </c>
      <c r="T649">
        <f>IF(orders[[#This Row],[Status]]="Completed",1,0)</f>
        <v>1</v>
      </c>
      <c r="U649">
        <f>IF(orders[[#This Row],[Status]]="Pending",1,0)</f>
        <v>0</v>
      </c>
      <c r="V649">
        <f>IF(orders[[#This Row],[Status]]="Delayed",1,0)</f>
        <v>0</v>
      </c>
      <c r="W649">
        <f>IF(orders[[#This Row],[Status]]="Cancelled",1,0)</f>
        <v>0</v>
      </c>
    </row>
    <row r="650" spans="1:23" x14ac:dyDescent="0.35">
      <c r="A650" t="s">
        <v>996</v>
      </c>
      <c r="B650" s="1">
        <v>45658</v>
      </c>
      <c r="C650" t="s">
        <v>375</v>
      </c>
      <c r="D650" t="s">
        <v>63</v>
      </c>
      <c r="E650" t="s">
        <v>78</v>
      </c>
      <c r="F650" t="s">
        <v>39</v>
      </c>
      <c r="G650" t="s">
        <v>40</v>
      </c>
      <c r="H650" s="7">
        <v>2</v>
      </c>
      <c r="I650" s="4">
        <v>12752</v>
      </c>
      <c r="J650" s="23">
        <v>0</v>
      </c>
      <c r="K650" s="4">
        <v>12752</v>
      </c>
      <c r="L650" s="4">
        <v>7899.26</v>
      </c>
      <c r="M650" s="4">
        <v>4852.74</v>
      </c>
      <c r="N650" t="s">
        <v>25</v>
      </c>
      <c r="O650" s="7">
        <v>36</v>
      </c>
      <c r="P650" s="2">
        <v>45659.5</v>
      </c>
      <c r="Q650" t="s">
        <v>65</v>
      </c>
      <c r="R650">
        <v>1</v>
      </c>
      <c r="S650" t="s">
        <v>55</v>
      </c>
      <c r="T650">
        <f>IF(orders[[#This Row],[Status]]="Completed",1,0)</f>
        <v>1</v>
      </c>
      <c r="U650">
        <f>IF(orders[[#This Row],[Status]]="Pending",1,0)</f>
        <v>0</v>
      </c>
      <c r="V650">
        <f>IF(orders[[#This Row],[Status]]="Delayed",1,0)</f>
        <v>0</v>
      </c>
      <c r="W650">
        <f>IF(orders[[#This Row],[Status]]="Cancelled",1,0)</f>
        <v>0</v>
      </c>
    </row>
    <row r="651" spans="1:23" x14ac:dyDescent="0.35">
      <c r="A651" t="s">
        <v>997</v>
      </c>
      <c r="B651" s="1">
        <v>46005</v>
      </c>
      <c r="C651" t="s">
        <v>349</v>
      </c>
      <c r="D651" t="s">
        <v>21</v>
      </c>
      <c r="E651" t="s">
        <v>113</v>
      </c>
      <c r="F651" t="s">
        <v>23</v>
      </c>
      <c r="G651" t="s">
        <v>136</v>
      </c>
      <c r="H651" s="7">
        <v>2</v>
      </c>
      <c r="I651" s="4">
        <v>16926.84</v>
      </c>
      <c r="J651" s="23">
        <v>0.15</v>
      </c>
      <c r="K651" s="4">
        <v>14387.81</v>
      </c>
      <c r="L651" s="4">
        <v>9424.36</v>
      </c>
      <c r="M651" s="4">
        <v>4963.45</v>
      </c>
      <c r="N651" t="s">
        <v>25</v>
      </c>
      <c r="O651" s="7">
        <v>20</v>
      </c>
      <c r="P651" s="2">
        <v>46005.833333333336</v>
      </c>
      <c r="Q651" t="s">
        <v>34</v>
      </c>
      <c r="R651">
        <v>12</v>
      </c>
      <c r="S651" t="s">
        <v>35</v>
      </c>
      <c r="T651">
        <f>IF(orders[[#This Row],[Status]]="Completed",1,0)</f>
        <v>1</v>
      </c>
      <c r="U651">
        <f>IF(orders[[#This Row],[Status]]="Pending",1,0)</f>
        <v>0</v>
      </c>
      <c r="V651">
        <f>IF(orders[[#This Row],[Status]]="Delayed",1,0)</f>
        <v>0</v>
      </c>
      <c r="W651">
        <f>IF(orders[[#This Row],[Status]]="Cancelled",1,0)</f>
        <v>0</v>
      </c>
    </row>
    <row r="652" spans="1:23" x14ac:dyDescent="0.35">
      <c r="A652" t="s">
        <v>998</v>
      </c>
      <c r="B652" s="1">
        <v>45847</v>
      </c>
      <c r="C652" t="s">
        <v>415</v>
      </c>
      <c r="D652" t="s">
        <v>30</v>
      </c>
      <c r="E652" t="s">
        <v>59</v>
      </c>
      <c r="F652" t="s">
        <v>23</v>
      </c>
      <c r="G652" t="s">
        <v>122</v>
      </c>
      <c r="H652" s="7">
        <v>1</v>
      </c>
      <c r="I652" s="4">
        <v>5708.18</v>
      </c>
      <c r="J652" s="23">
        <v>0</v>
      </c>
      <c r="K652" s="4">
        <v>5708.18</v>
      </c>
      <c r="L652" s="4">
        <v>3591.72</v>
      </c>
      <c r="M652" s="4">
        <v>2116.46</v>
      </c>
      <c r="N652" t="s">
        <v>25</v>
      </c>
      <c r="O652" s="7">
        <v>31</v>
      </c>
      <c r="P652" s="2">
        <v>45848.291666666664</v>
      </c>
      <c r="Q652" t="s">
        <v>60</v>
      </c>
      <c r="R652">
        <v>7</v>
      </c>
      <c r="S652" t="s">
        <v>42</v>
      </c>
      <c r="T652">
        <f>IF(orders[[#This Row],[Status]]="Completed",1,0)</f>
        <v>1</v>
      </c>
      <c r="U652">
        <f>IF(orders[[#This Row],[Status]]="Pending",1,0)</f>
        <v>0</v>
      </c>
      <c r="V652">
        <f>IF(orders[[#This Row],[Status]]="Delayed",1,0)</f>
        <v>0</v>
      </c>
      <c r="W652">
        <f>IF(orders[[#This Row],[Status]]="Cancelled",1,0)</f>
        <v>0</v>
      </c>
    </row>
    <row r="653" spans="1:23" x14ac:dyDescent="0.35">
      <c r="A653" t="s">
        <v>999</v>
      </c>
      <c r="B653" s="1">
        <v>45848</v>
      </c>
      <c r="C653" t="s">
        <v>925</v>
      </c>
      <c r="D653" t="s">
        <v>38</v>
      </c>
      <c r="E653" t="s">
        <v>46</v>
      </c>
      <c r="F653" t="s">
        <v>72</v>
      </c>
      <c r="G653" t="s">
        <v>146</v>
      </c>
      <c r="H653" s="7">
        <v>1</v>
      </c>
      <c r="I653" s="4">
        <v>4270.5600000000004</v>
      </c>
      <c r="J653" s="23">
        <v>0.15</v>
      </c>
      <c r="K653" s="4">
        <v>3629.98</v>
      </c>
      <c r="L653" s="4">
        <v>2663.63</v>
      </c>
      <c r="M653" s="4">
        <v>966.35</v>
      </c>
      <c r="N653" t="s">
        <v>48</v>
      </c>
      <c r="O653" s="7">
        <v>19</v>
      </c>
      <c r="P653" s="2">
        <v>45848.791666666664</v>
      </c>
      <c r="Q653" t="s">
        <v>60</v>
      </c>
      <c r="R653">
        <v>7</v>
      </c>
      <c r="S653" t="s">
        <v>42</v>
      </c>
      <c r="T653">
        <f>IF(orders[[#This Row],[Status]]="Completed",1,0)</f>
        <v>0</v>
      </c>
      <c r="U653">
        <f>IF(orders[[#This Row],[Status]]="Pending",1,0)</f>
        <v>0</v>
      </c>
      <c r="V653">
        <f>IF(orders[[#This Row],[Status]]="Delayed",1,0)</f>
        <v>0</v>
      </c>
      <c r="W653">
        <f>IF(orders[[#This Row],[Status]]="Cancelled",1,0)</f>
        <v>1</v>
      </c>
    </row>
    <row r="654" spans="1:23" x14ac:dyDescent="0.35">
      <c r="A654" t="s">
        <v>1000</v>
      </c>
      <c r="B654" s="1">
        <v>45969</v>
      </c>
      <c r="C654" t="s">
        <v>126</v>
      </c>
      <c r="D654" t="s">
        <v>58</v>
      </c>
      <c r="E654" t="s">
        <v>92</v>
      </c>
      <c r="F654" t="s">
        <v>72</v>
      </c>
      <c r="G654" t="s">
        <v>73</v>
      </c>
      <c r="H654" s="7">
        <v>3</v>
      </c>
      <c r="I654" s="4">
        <v>23575.5</v>
      </c>
      <c r="J654" s="23">
        <v>0.15</v>
      </c>
      <c r="K654" s="4">
        <v>20039.18</v>
      </c>
      <c r="L654" s="4">
        <v>11737.24</v>
      </c>
      <c r="M654" s="4">
        <v>8301.94</v>
      </c>
      <c r="N654" t="s">
        <v>25</v>
      </c>
      <c r="O654" s="7">
        <v>11</v>
      </c>
      <c r="P654" s="2">
        <v>45969.458333333336</v>
      </c>
      <c r="Q654" t="s">
        <v>86</v>
      </c>
      <c r="R654">
        <v>11</v>
      </c>
      <c r="S654" t="s">
        <v>35</v>
      </c>
      <c r="T654">
        <f>IF(orders[[#This Row],[Status]]="Completed",1,0)</f>
        <v>1</v>
      </c>
      <c r="U654">
        <f>IF(orders[[#This Row],[Status]]="Pending",1,0)</f>
        <v>0</v>
      </c>
      <c r="V654">
        <f>IF(orders[[#This Row],[Status]]="Delayed",1,0)</f>
        <v>0</v>
      </c>
      <c r="W654">
        <f>IF(orders[[#This Row],[Status]]="Cancelled",1,0)</f>
        <v>0</v>
      </c>
    </row>
    <row r="655" spans="1:23" x14ac:dyDescent="0.35">
      <c r="A655" t="s">
        <v>1001</v>
      </c>
      <c r="B655" s="1">
        <v>45774</v>
      </c>
      <c r="C655" t="s">
        <v>62</v>
      </c>
      <c r="D655" t="s">
        <v>21</v>
      </c>
      <c r="E655" t="s">
        <v>52</v>
      </c>
      <c r="F655" t="s">
        <v>32</v>
      </c>
      <c r="G655" t="s">
        <v>53</v>
      </c>
      <c r="H655" s="7">
        <v>6</v>
      </c>
      <c r="I655" s="4">
        <v>1694.16</v>
      </c>
      <c r="J655" s="23">
        <v>0.15</v>
      </c>
      <c r="K655" s="4">
        <v>1440.04</v>
      </c>
      <c r="L655" s="4">
        <v>1235.54</v>
      </c>
      <c r="M655" s="4">
        <v>204.5</v>
      </c>
      <c r="N655" t="s">
        <v>25</v>
      </c>
      <c r="O655" s="7">
        <v>37</v>
      </c>
      <c r="P655" s="2">
        <v>45775.541666666664</v>
      </c>
      <c r="Q655" t="s">
        <v>26</v>
      </c>
      <c r="R655">
        <v>4</v>
      </c>
      <c r="S655" t="s">
        <v>27</v>
      </c>
      <c r="T655">
        <f>IF(orders[[#This Row],[Status]]="Completed",1,0)</f>
        <v>1</v>
      </c>
      <c r="U655">
        <f>IF(orders[[#This Row],[Status]]="Pending",1,0)</f>
        <v>0</v>
      </c>
      <c r="V655">
        <f>IF(orders[[#This Row],[Status]]="Delayed",1,0)</f>
        <v>0</v>
      </c>
      <c r="W655">
        <f>IF(orders[[#This Row],[Status]]="Cancelled",1,0)</f>
        <v>0</v>
      </c>
    </row>
    <row r="656" spans="1:23" x14ac:dyDescent="0.35">
      <c r="A656" t="s">
        <v>1002</v>
      </c>
      <c r="B656" s="1">
        <v>45791</v>
      </c>
      <c r="C656" t="s">
        <v>337</v>
      </c>
      <c r="D656" t="s">
        <v>30</v>
      </c>
      <c r="E656" t="s">
        <v>113</v>
      </c>
      <c r="F656" t="s">
        <v>32</v>
      </c>
      <c r="G656" t="s">
        <v>89</v>
      </c>
      <c r="H656" s="7">
        <v>7</v>
      </c>
      <c r="I656" s="4">
        <v>43714.02</v>
      </c>
      <c r="J656" s="23">
        <v>0.05</v>
      </c>
      <c r="K656" s="4">
        <v>41528.32</v>
      </c>
      <c r="L656" s="4">
        <v>27411.14</v>
      </c>
      <c r="M656" s="4">
        <v>14117.18</v>
      </c>
      <c r="N656" t="s">
        <v>98</v>
      </c>
      <c r="O656" s="7">
        <v>23</v>
      </c>
      <c r="P656" s="2">
        <v>45791.958333333336</v>
      </c>
      <c r="Q656" t="s">
        <v>74</v>
      </c>
      <c r="R656">
        <v>5</v>
      </c>
      <c r="S656" t="s">
        <v>27</v>
      </c>
      <c r="T656">
        <f>IF(orders[[#This Row],[Status]]="Completed",1,0)</f>
        <v>0</v>
      </c>
      <c r="U656">
        <f>IF(orders[[#This Row],[Status]]="Pending",1,0)</f>
        <v>1</v>
      </c>
      <c r="V656">
        <f>IF(orders[[#This Row],[Status]]="Delayed",1,0)</f>
        <v>0</v>
      </c>
      <c r="W656">
        <f>IF(orders[[#This Row],[Status]]="Cancelled",1,0)</f>
        <v>0</v>
      </c>
    </row>
    <row r="657" spans="1:23" x14ac:dyDescent="0.35">
      <c r="A657" t="s">
        <v>1003</v>
      </c>
      <c r="B657" s="1">
        <v>45715</v>
      </c>
      <c r="C657" t="s">
        <v>813</v>
      </c>
      <c r="D657" t="s">
        <v>77</v>
      </c>
      <c r="E657" t="s">
        <v>31</v>
      </c>
      <c r="F657" t="s">
        <v>23</v>
      </c>
      <c r="G657" t="s">
        <v>69</v>
      </c>
      <c r="H657" s="7">
        <v>3</v>
      </c>
      <c r="I657" s="4">
        <v>22713.09</v>
      </c>
      <c r="J657" s="23">
        <v>0.05</v>
      </c>
      <c r="K657" s="4">
        <v>21577.439999999999</v>
      </c>
      <c r="L657" s="4">
        <v>13426.78</v>
      </c>
      <c r="M657" s="4">
        <v>8150.66</v>
      </c>
      <c r="N657" t="s">
        <v>85</v>
      </c>
      <c r="O657" s="7">
        <v>88</v>
      </c>
      <c r="P657" s="2">
        <v>45718.666666666664</v>
      </c>
      <c r="Q657" t="s">
        <v>139</v>
      </c>
      <c r="R657">
        <v>2</v>
      </c>
      <c r="S657" t="s">
        <v>55</v>
      </c>
      <c r="T657">
        <f>IF(orders[[#This Row],[Status]]="Completed",1,0)</f>
        <v>0</v>
      </c>
      <c r="U657">
        <f>IF(orders[[#This Row],[Status]]="Pending",1,0)</f>
        <v>0</v>
      </c>
      <c r="V657">
        <f>IF(orders[[#This Row],[Status]]="Delayed",1,0)</f>
        <v>1</v>
      </c>
      <c r="W657">
        <f>IF(orders[[#This Row],[Status]]="Cancelled",1,0)</f>
        <v>0</v>
      </c>
    </row>
    <row r="658" spans="1:23" x14ac:dyDescent="0.35">
      <c r="A658" t="s">
        <v>1004</v>
      </c>
      <c r="B658" s="1">
        <v>45701</v>
      </c>
      <c r="C658" t="s">
        <v>265</v>
      </c>
      <c r="D658" t="s">
        <v>149</v>
      </c>
      <c r="E658" t="s">
        <v>59</v>
      </c>
      <c r="F658" t="s">
        <v>23</v>
      </c>
      <c r="G658" t="s">
        <v>24</v>
      </c>
      <c r="H658" s="7">
        <v>1</v>
      </c>
      <c r="I658" s="4">
        <v>664.98</v>
      </c>
      <c r="J658" s="23">
        <v>0.1</v>
      </c>
      <c r="K658" s="4">
        <v>598.48</v>
      </c>
      <c r="L658" s="4">
        <v>427.23</v>
      </c>
      <c r="M658" s="4">
        <v>171.25</v>
      </c>
      <c r="N658" t="s">
        <v>25</v>
      </c>
      <c r="O658" s="7">
        <v>30</v>
      </c>
      <c r="P658" s="2">
        <v>45702.25</v>
      </c>
      <c r="Q658" t="s">
        <v>139</v>
      </c>
      <c r="R658">
        <v>2</v>
      </c>
      <c r="S658" t="s">
        <v>55</v>
      </c>
      <c r="T658">
        <f>IF(orders[[#This Row],[Status]]="Completed",1,0)</f>
        <v>1</v>
      </c>
      <c r="U658">
        <f>IF(orders[[#This Row],[Status]]="Pending",1,0)</f>
        <v>0</v>
      </c>
      <c r="V658">
        <f>IF(orders[[#This Row],[Status]]="Delayed",1,0)</f>
        <v>0</v>
      </c>
      <c r="W658">
        <f>IF(orders[[#This Row],[Status]]="Cancelled",1,0)</f>
        <v>0</v>
      </c>
    </row>
    <row r="659" spans="1:23" x14ac:dyDescent="0.35">
      <c r="A659" t="s">
        <v>1005</v>
      </c>
      <c r="B659" s="1">
        <v>45830</v>
      </c>
      <c r="C659" t="s">
        <v>1006</v>
      </c>
      <c r="D659" t="s">
        <v>38</v>
      </c>
      <c r="E659" t="s">
        <v>59</v>
      </c>
      <c r="F659" t="s">
        <v>32</v>
      </c>
      <c r="G659" t="s">
        <v>33</v>
      </c>
      <c r="H659" s="7">
        <v>4</v>
      </c>
      <c r="I659" s="4">
        <v>15632.16</v>
      </c>
      <c r="J659" s="23">
        <v>0</v>
      </c>
      <c r="K659" s="4">
        <v>15632.16</v>
      </c>
      <c r="L659" s="4">
        <v>10026.61</v>
      </c>
      <c r="M659" s="4">
        <v>5605.55</v>
      </c>
      <c r="N659" t="s">
        <v>48</v>
      </c>
      <c r="O659" s="7">
        <v>7</v>
      </c>
      <c r="P659" s="2">
        <v>45830.291666666664</v>
      </c>
      <c r="Q659" t="s">
        <v>99</v>
      </c>
      <c r="R659">
        <v>6</v>
      </c>
      <c r="S659" t="s">
        <v>27</v>
      </c>
      <c r="T659">
        <f>IF(orders[[#This Row],[Status]]="Completed",1,0)</f>
        <v>0</v>
      </c>
      <c r="U659">
        <f>IF(orders[[#This Row],[Status]]="Pending",1,0)</f>
        <v>0</v>
      </c>
      <c r="V659">
        <f>IF(orders[[#This Row],[Status]]="Delayed",1,0)</f>
        <v>0</v>
      </c>
      <c r="W659">
        <f>IF(orders[[#This Row],[Status]]="Cancelled",1,0)</f>
        <v>1</v>
      </c>
    </row>
    <row r="660" spans="1:23" x14ac:dyDescent="0.35">
      <c r="A660" t="s">
        <v>1007</v>
      </c>
      <c r="B660" s="1">
        <v>45817</v>
      </c>
      <c r="C660" t="s">
        <v>263</v>
      </c>
      <c r="D660" t="s">
        <v>63</v>
      </c>
      <c r="E660" t="s">
        <v>92</v>
      </c>
      <c r="F660" t="s">
        <v>32</v>
      </c>
      <c r="G660" t="s">
        <v>64</v>
      </c>
      <c r="H660" s="7">
        <v>7</v>
      </c>
      <c r="I660" s="4">
        <v>13015.87</v>
      </c>
      <c r="J660" s="23">
        <v>0.15</v>
      </c>
      <c r="K660" s="4">
        <v>11063.49</v>
      </c>
      <c r="L660" s="4">
        <v>8037.83</v>
      </c>
      <c r="M660" s="4">
        <v>3025.66</v>
      </c>
      <c r="N660" t="s">
        <v>98</v>
      </c>
      <c r="O660" s="7">
        <v>15</v>
      </c>
      <c r="P660" s="2">
        <v>45817.625</v>
      </c>
      <c r="Q660" t="s">
        <v>99</v>
      </c>
      <c r="R660">
        <v>6</v>
      </c>
      <c r="S660" t="s">
        <v>27</v>
      </c>
      <c r="T660">
        <f>IF(orders[[#This Row],[Status]]="Completed",1,0)</f>
        <v>0</v>
      </c>
      <c r="U660">
        <f>IF(orders[[#This Row],[Status]]="Pending",1,0)</f>
        <v>1</v>
      </c>
      <c r="V660">
        <f>IF(orders[[#This Row],[Status]]="Delayed",1,0)</f>
        <v>0</v>
      </c>
      <c r="W660">
        <f>IF(orders[[#This Row],[Status]]="Cancelled",1,0)</f>
        <v>0</v>
      </c>
    </row>
    <row r="661" spans="1:23" x14ac:dyDescent="0.35">
      <c r="A661" t="s">
        <v>1008</v>
      </c>
      <c r="B661" s="1">
        <v>45830</v>
      </c>
      <c r="C661" t="s">
        <v>246</v>
      </c>
      <c r="D661" t="s">
        <v>51</v>
      </c>
      <c r="E661" t="s">
        <v>78</v>
      </c>
      <c r="F661" t="s">
        <v>83</v>
      </c>
      <c r="G661" t="s">
        <v>182</v>
      </c>
      <c r="H661" s="7">
        <v>4</v>
      </c>
      <c r="I661" s="4">
        <v>19521.72</v>
      </c>
      <c r="J661" s="23">
        <v>0.15</v>
      </c>
      <c r="K661" s="4">
        <v>16593.46</v>
      </c>
      <c r="L661" s="4">
        <v>11034.78</v>
      </c>
      <c r="M661" s="4">
        <v>5558.68</v>
      </c>
      <c r="N661" t="s">
        <v>98</v>
      </c>
      <c r="O661" s="7">
        <v>12</v>
      </c>
      <c r="P661" s="2">
        <v>45830.5</v>
      </c>
      <c r="Q661" t="s">
        <v>99</v>
      </c>
      <c r="R661">
        <v>6</v>
      </c>
      <c r="S661" t="s">
        <v>27</v>
      </c>
      <c r="T661">
        <f>IF(orders[[#This Row],[Status]]="Completed",1,0)</f>
        <v>0</v>
      </c>
      <c r="U661">
        <f>IF(orders[[#This Row],[Status]]="Pending",1,0)</f>
        <v>1</v>
      </c>
      <c r="V661">
        <f>IF(orders[[#This Row],[Status]]="Delayed",1,0)</f>
        <v>0</v>
      </c>
      <c r="W661">
        <f>IF(orders[[#This Row],[Status]]="Cancelled",1,0)</f>
        <v>0</v>
      </c>
    </row>
    <row r="662" spans="1:23" x14ac:dyDescent="0.35">
      <c r="A662" t="s">
        <v>1009</v>
      </c>
      <c r="B662" s="1">
        <v>45974</v>
      </c>
      <c r="C662" t="s">
        <v>192</v>
      </c>
      <c r="D662" t="s">
        <v>38</v>
      </c>
      <c r="E662" t="s">
        <v>31</v>
      </c>
      <c r="F662" t="s">
        <v>83</v>
      </c>
      <c r="G662" t="s">
        <v>107</v>
      </c>
      <c r="H662" s="7">
        <v>2</v>
      </c>
      <c r="I662" s="4">
        <v>11147.36</v>
      </c>
      <c r="J662" s="23">
        <v>0.05</v>
      </c>
      <c r="K662" s="4">
        <v>10589.99</v>
      </c>
      <c r="L662" s="4">
        <v>6286.03</v>
      </c>
      <c r="M662" s="4">
        <v>4303.96</v>
      </c>
      <c r="N662" t="s">
        <v>98</v>
      </c>
      <c r="O662" s="7">
        <v>22</v>
      </c>
      <c r="P662" s="2">
        <v>45974.916666666664</v>
      </c>
      <c r="Q662" t="s">
        <v>86</v>
      </c>
      <c r="R662">
        <v>11</v>
      </c>
      <c r="S662" t="s">
        <v>35</v>
      </c>
      <c r="T662">
        <f>IF(orders[[#This Row],[Status]]="Completed",1,0)</f>
        <v>0</v>
      </c>
      <c r="U662">
        <f>IF(orders[[#This Row],[Status]]="Pending",1,0)</f>
        <v>1</v>
      </c>
      <c r="V662">
        <f>IF(orders[[#This Row],[Status]]="Delayed",1,0)</f>
        <v>0</v>
      </c>
      <c r="W662">
        <f>IF(orders[[#This Row],[Status]]="Cancelled",1,0)</f>
        <v>0</v>
      </c>
    </row>
    <row r="663" spans="1:23" x14ac:dyDescent="0.35">
      <c r="A663" t="s">
        <v>1010</v>
      </c>
      <c r="B663" s="1">
        <v>45960</v>
      </c>
      <c r="C663" t="s">
        <v>1011</v>
      </c>
      <c r="D663" t="s">
        <v>68</v>
      </c>
      <c r="E663" t="s">
        <v>52</v>
      </c>
      <c r="F663" t="s">
        <v>32</v>
      </c>
      <c r="G663" t="s">
        <v>33</v>
      </c>
      <c r="H663" s="7">
        <v>5</v>
      </c>
      <c r="I663" s="4">
        <v>13384.5</v>
      </c>
      <c r="J663" s="23">
        <v>0.15</v>
      </c>
      <c r="K663" s="4">
        <v>11376.82</v>
      </c>
      <c r="L663" s="4">
        <v>7255.51</v>
      </c>
      <c r="M663" s="4">
        <v>4121.3100000000004</v>
      </c>
      <c r="N663" t="s">
        <v>25</v>
      </c>
      <c r="O663" s="7">
        <v>25</v>
      </c>
      <c r="P663" s="2">
        <v>45961.041666666664</v>
      </c>
      <c r="Q663" t="s">
        <v>116</v>
      </c>
      <c r="R663">
        <v>10</v>
      </c>
      <c r="S663" t="s">
        <v>35</v>
      </c>
      <c r="T663">
        <f>IF(orders[[#This Row],[Status]]="Completed",1,0)</f>
        <v>1</v>
      </c>
      <c r="U663">
        <f>IF(orders[[#This Row],[Status]]="Pending",1,0)</f>
        <v>0</v>
      </c>
      <c r="V663">
        <f>IF(orders[[#This Row],[Status]]="Delayed",1,0)</f>
        <v>0</v>
      </c>
      <c r="W663">
        <f>IF(orders[[#This Row],[Status]]="Cancelled",1,0)</f>
        <v>0</v>
      </c>
    </row>
    <row r="664" spans="1:23" x14ac:dyDescent="0.35">
      <c r="A664" t="s">
        <v>1012</v>
      </c>
      <c r="B664" s="1">
        <v>45806</v>
      </c>
      <c r="C664" t="s">
        <v>556</v>
      </c>
      <c r="D664" t="s">
        <v>30</v>
      </c>
      <c r="E664" t="s">
        <v>113</v>
      </c>
      <c r="F664" t="s">
        <v>83</v>
      </c>
      <c r="G664" t="s">
        <v>152</v>
      </c>
      <c r="H664" s="7">
        <v>2</v>
      </c>
      <c r="I664" s="4">
        <v>7981.7</v>
      </c>
      <c r="J664" s="23">
        <v>0</v>
      </c>
      <c r="K664" s="4">
        <v>7981.7</v>
      </c>
      <c r="L664" s="4">
        <v>5544.77</v>
      </c>
      <c r="M664" s="4">
        <v>2436.9299999999998</v>
      </c>
      <c r="N664" t="s">
        <v>25</v>
      </c>
      <c r="O664" s="7">
        <v>19</v>
      </c>
      <c r="P664" s="2">
        <v>45806.791666666664</v>
      </c>
      <c r="Q664" t="s">
        <v>74</v>
      </c>
      <c r="R664">
        <v>5</v>
      </c>
      <c r="S664" t="s">
        <v>27</v>
      </c>
      <c r="T664">
        <f>IF(orders[[#This Row],[Status]]="Completed",1,0)</f>
        <v>1</v>
      </c>
      <c r="U664">
        <f>IF(orders[[#This Row],[Status]]="Pending",1,0)</f>
        <v>0</v>
      </c>
      <c r="V664">
        <f>IF(orders[[#This Row],[Status]]="Delayed",1,0)</f>
        <v>0</v>
      </c>
      <c r="W664">
        <f>IF(orders[[#This Row],[Status]]="Cancelled",1,0)</f>
        <v>0</v>
      </c>
    </row>
    <row r="665" spans="1:23" x14ac:dyDescent="0.35">
      <c r="A665" t="s">
        <v>1013</v>
      </c>
      <c r="B665" s="1">
        <v>45737</v>
      </c>
      <c r="C665" t="s">
        <v>270</v>
      </c>
      <c r="D665" t="s">
        <v>45</v>
      </c>
      <c r="E665" t="s">
        <v>22</v>
      </c>
      <c r="F665" t="s">
        <v>39</v>
      </c>
      <c r="G665" t="s">
        <v>114</v>
      </c>
      <c r="H665" s="7">
        <v>2</v>
      </c>
      <c r="I665" s="4">
        <v>4964.96</v>
      </c>
      <c r="J665" s="23">
        <v>0.05</v>
      </c>
      <c r="K665" s="4">
        <v>4716.71</v>
      </c>
      <c r="L665" s="4">
        <v>2641.34</v>
      </c>
      <c r="M665" s="4">
        <v>2075.37</v>
      </c>
      <c r="N665" t="s">
        <v>85</v>
      </c>
      <c r="O665" s="7">
        <v>64</v>
      </c>
      <c r="P665" s="2">
        <v>45739.666666666664</v>
      </c>
      <c r="Q665" t="s">
        <v>54</v>
      </c>
      <c r="R665">
        <v>3</v>
      </c>
      <c r="S665" t="s">
        <v>55</v>
      </c>
      <c r="T665">
        <f>IF(orders[[#This Row],[Status]]="Completed",1,0)</f>
        <v>0</v>
      </c>
      <c r="U665">
        <f>IF(orders[[#This Row],[Status]]="Pending",1,0)</f>
        <v>0</v>
      </c>
      <c r="V665">
        <f>IF(orders[[#This Row],[Status]]="Delayed",1,0)</f>
        <v>1</v>
      </c>
      <c r="W665">
        <f>IF(orders[[#This Row],[Status]]="Cancelled",1,0)</f>
        <v>0</v>
      </c>
    </row>
    <row r="666" spans="1:23" x14ac:dyDescent="0.35">
      <c r="A666" t="s">
        <v>1014</v>
      </c>
      <c r="B666" s="1">
        <v>45870</v>
      </c>
      <c r="C666" t="s">
        <v>332</v>
      </c>
      <c r="D666" t="s">
        <v>77</v>
      </c>
      <c r="E666" t="s">
        <v>31</v>
      </c>
      <c r="F666" t="s">
        <v>23</v>
      </c>
      <c r="G666" t="s">
        <v>122</v>
      </c>
      <c r="H666" s="7">
        <v>5</v>
      </c>
      <c r="I666" s="4">
        <v>16172.1</v>
      </c>
      <c r="J666" s="23">
        <v>0.25</v>
      </c>
      <c r="K666" s="4">
        <v>12129.08</v>
      </c>
      <c r="L666" s="4">
        <v>9755.57</v>
      </c>
      <c r="M666" s="4">
        <v>2373.5100000000002</v>
      </c>
      <c r="N666" t="s">
        <v>98</v>
      </c>
      <c r="O666" s="7">
        <v>17</v>
      </c>
      <c r="P666" s="2">
        <v>45870.708333333336</v>
      </c>
      <c r="Q666" t="s">
        <v>80</v>
      </c>
      <c r="R666">
        <v>8</v>
      </c>
      <c r="S666" t="s">
        <v>42</v>
      </c>
      <c r="T666">
        <f>IF(orders[[#This Row],[Status]]="Completed",1,0)</f>
        <v>0</v>
      </c>
      <c r="U666">
        <f>IF(orders[[#This Row],[Status]]="Pending",1,0)</f>
        <v>1</v>
      </c>
      <c r="V666">
        <f>IF(orders[[#This Row],[Status]]="Delayed",1,0)</f>
        <v>0</v>
      </c>
      <c r="W666">
        <f>IF(orders[[#This Row],[Status]]="Cancelled",1,0)</f>
        <v>0</v>
      </c>
    </row>
    <row r="667" spans="1:23" x14ac:dyDescent="0.35">
      <c r="A667" t="s">
        <v>1015</v>
      </c>
      <c r="B667" s="1">
        <v>45860</v>
      </c>
      <c r="C667" t="s">
        <v>1016</v>
      </c>
      <c r="D667" t="s">
        <v>149</v>
      </c>
      <c r="E667" t="s">
        <v>59</v>
      </c>
      <c r="F667" t="s">
        <v>23</v>
      </c>
      <c r="G667" t="s">
        <v>69</v>
      </c>
      <c r="H667" s="7">
        <v>6</v>
      </c>
      <c r="I667" s="4">
        <v>8892.9599999999991</v>
      </c>
      <c r="J667" s="23">
        <v>0.25</v>
      </c>
      <c r="K667" s="4">
        <v>6669.72</v>
      </c>
      <c r="L667" s="4">
        <v>5036.99</v>
      </c>
      <c r="M667" s="4">
        <v>1632.73</v>
      </c>
      <c r="N667" t="s">
        <v>85</v>
      </c>
      <c r="O667" s="7">
        <v>74</v>
      </c>
      <c r="P667" s="2">
        <v>45863.083333333336</v>
      </c>
      <c r="Q667" t="s">
        <v>60</v>
      </c>
      <c r="R667">
        <v>7</v>
      </c>
      <c r="S667" t="s">
        <v>42</v>
      </c>
      <c r="T667">
        <f>IF(orders[[#This Row],[Status]]="Completed",1,0)</f>
        <v>0</v>
      </c>
      <c r="U667">
        <f>IF(orders[[#This Row],[Status]]="Pending",1,0)</f>
        <v>0</v>
      </c>
      <c r="V667">
        <f>IF(orders[[#This Row],[Status]]="Delayed",1,0)</f>
        <v>1</v>
      </c>
      <c r="W667">
        <f>IF(orders[[#This Row],[Status]]="Cancelled",1,0)</f>
        <v>0</v>
      </c>
    </row>
    <row r="668" spans="1:23" x14ac:dyDescent="0.35">
      <c r="A668" t="s">
        <v>1017</v>
      </c>
      <c r="B668" s="1">
        <v>45909</v>
      </c>
      <c r="C668" t="s">
        <v>523</v>
      </c>
      <c r="D668" t="s">
        <v>77</v>
      </c>
      <c r="E668" t="s">
        <v>92</v>
      </c>
      <c r="F668" t="s">
        <v>32</v>
      </c>
      <c r="G668" t="s">
        <v>79</v>
      </c>
      <c r="H668" s="7">
        <v>1</v>
      </c>
      <c r="I668" s="4">
        <v>7544.42</v>
      </c>
      <c r="J668" s="23">
        <v>0.1</v>
      </c>
      <c r="K668" s="4">
        <v>6789.98</v>
      </c>
      <c r="L668" s="4">
        <v>5081.95</v>
      </c>
      <c r="M668" s="4">
        <v>1708.03</v>
      </c>
      <c r="N668" t="s">
        <v>25</v>
      </c>
      <c r="O668" s="7">
        <v>4</v>
      </c>
      <c r="P668" s="2">
        <v>45909.166666666664</v>
      </c>
      <c r="Q668" t="s">
        <v>41</v>
      </c>
      <c r="R668">
        <v>9</v>
      </c>
      <c r="S668" t="s">
        <v>42</v>
      </c>
      <c r="T668">
        <f>IF(orders[[#This Row],[Status]]="Completed",1,0)</f>
        <v>1</v>
      </c>
      <c r="U668">
        <f>IF(orders[[#This Row],[Status]]="Pending",1,0)</f>
        <v>0</v>
      </c>
      <c r="V668">
        <f>IF(orders[[#This Row],[Status]]="Delayed",1,0)</f>
        <v>0</v>
      </c>
      <c r="W668">
        <f>IF(orders[[#This Row],[Status]]="Cancelled",1,0)</f>
        <v>0</v>
      </c>
    </row>
    <row r="669" spans="1:23" x14ac:dyDescent="0.35">
      <c r="A669" t="s">
        <v>1018</v>
      </c>
      <c r="B669" s="1">
        <v>45886</v>
      </c>
      <c r="C669" t="s">
        <v>97</v>
      </c>
      <c r="D669" t="s">
        <v>38</v>
      </c>
      <c r="E669" t="s">
        <v>52</v>
      </c>
      <c r="F669" t="s">
        <v>72</v>
      </c>
      <c r="G669" t="s">
        <v>73</v>
      </c>
      <c r="H669" s="7">
        <v>4</v>
      </c>
      <c r="I669" s="4">
        <v>934.36</v>
      </c>
      <c r="J669" s="23">
        <v>0.2</v>
      </c>
      <c r="K669" s="4">
        <v>747.49</v>
      </c>
      <c r="L669" s="4">
        <v>545.80999999999995</v>
      </c>
      <c r="M669" s="4">
        <v>201.68</v>
      </c>
      <c r="N669" t="s">
        <v>98</v>
      </c>
      <c r="O669" s="7">
        <v>14</v>
      </c>
      <c r="P669" s="2">
        <v>45886.583333333336</v>
      </c>
      <c r="Q669" t="s">
        <v>80</v>
      </c>
      <c r="R669">
        <v>8</v>
      </c>
      <c r="S669" t="s">
        <v>42</v>
      </c>
      <c r="T669">
        <f>IF(orders[[#This Row],[Status]]="Completed",1,0)</f>
        <v>0</v>
      </c>
      <c r="U669">
        <f>IF(orders[[#This Row],[Status]]="Pending",1,0)</f>
        <v>1</v>
      </c>
      <c r="V669">
        <f>IF(orders[[#This Row],[Status]]="Delayed",1,0)</f>
        <v>0</v>
      </c>
      <c r="W669">
        <f>IF(orders[[#This Row],[Status]]="Cancelled",1,0)</f>
        <v>0</v>
      </c>
    </row>
    <row r="670" spans="1:23" x14ac:dyDescent="0.35">
      <c r="A670" t="s">
        <v>1019</v>
      </c>
      <c r="B670" s="1">
        <v>45821</v>
      </c>
      <c r="C670" t="s">
        <v>1011</v>
      </c>
      <c r="D670" t="s">
        <v>45</v>
      </c>
      <c r="E670" t="s">
        <v>92</v>
      </c>
      <c r="F670" t="s">
        <v>32</v>
      </c>
      <c r="G670" t="s">
        <v>33</v>
      </c>
      <c r="H670" s="7">
        <v>2</v>
      </c>
      <c r="I670" s="4">
        <v>15036.24</v>
      </c>
      <c r="J670" s="23">
        <v>0.1</v>
      </c>
      <c r="K670" s="4">
        <v>13532.62</v>
      </c>
      <c r="L670" s="4">
        <v>10079.14</v>
      </c>
      <c r="M670" s="4">
        <v>3453.48</v>
      </c>
      <c r="N670" t="s">
        <v>25</v>
      </c>
      <c r="O670" s="7">
        <v>6</v>
      </c>
      <c r="P670" s="2">
        <v>45821.25</v>
      </c>
      <c r="Q670" t="s">
        <v>99</v>
      </c>
      <c r="R670">
        <v>6</v>
      </c>
      <c r="S670" t="s">
        <v>27</v>
      </c>
      <c r="T670">
        <f>IF(orders[[#This Row],[Status]]="Completed",1,0)</f>
        <v>1</v>
      </c>
      <c r="U670">
        <f>IF(orders[[#This Row],[Status]]="Pending",1,0)</f>
        <v>0</v>
      </c>
      <c r="V670">
        <f>IF(orders[[#This Row],[Status]]="Delayed",1,0)</f>
        <v>0</v>
      </c>
      <c r="W670">
        <f>IF(orders[[#This Row],[Status]]="Cancelled",1,0)</f>
        <v>0</v>
      </c>
    </row>
    <row r="671" spans="1:23" x14ac:dyDescent="0.35">
      <c r="A671" t="s">
        <v>1020</v>
      </c>
      <c r="B671" s="1">
        <v>45884</v>
      </c>
      <c r="C671" t="s">
        <v>770</v>
      </c>
      <c r="D671" t="s">
        <v>68</v>
      </c>
      <c r="E671" t="s">
        <v>113</v>
      </c>
      <c r="F671" t="s">
        <v>83</v>
      </c>
      <c r="G671" t="s">
        <v>152</v>
      </c>
      <c r="H671" s="7">
        <v>5</v>
      </c>
      <c r="I671" s="4">
        <v>24617.599999999999</v>
      </c>
      <c r="J671" s="23">
        <v>0.05</v>
      </c>
      <c r="K671" s="4">
        <v>23386.720000000001</v>
      </c>
      <c r="L671" s="4">
        <v>20075.98</v>
      </c>
      <c r="M671" s="4">
        <v>3310.74</v>
      </c>
      <c r="N671" t="s">
        <v>98</v>
      </c>
      <c r="O671" s="7">
        <v>16</v>
      </c>
      <c r="P671" s="2">
        <v>45884.666666666664</v>
      </c>
      <c r="Q671" t="s">
        <v>80</v>
      </c>
      <c r="R671">
        <v>8</v>
      </c>
      <c r="S671" t="s">
        <v>42</v>
      </c>
      <c r="T671">
        <f>IF(orders[[#This Row],[Status]]="Completed",1,0)</f>
        <v>0</v>
      </c>
      <c r="U671">
        <f>IF(orders[[#This Row],[Status]]="Pending",1,0)</f>
        <v>1</v>
      </c>
      <c r="V671">
        <f>IF(orders[[#This Row],[Status]]="Delayed",1,0)</f>
        <v>0</v>
      </c>
      <c r="W671">
        <f>IF(orders[[#This Row],[Status]]="Cancelled",1,0)</f>
        <v>0</v>
      </c>
    </row>
    <row r="672" spans="1:23" x14ac:dyDescent="0.35">
      <c r="A672" t="s">
        <v>1021</v>
      </c>
      <c r="B672" s="1">
        <v>45804</v>
      </c>
      <c r="C672" t="s">
        <v>1022</v>
      </c>
      <c r="D672" t="s">
        <v>58</v>
      </c>
      <c r="E672" t="s">
        <v>46</v>
      </c>
      <c r="F672" t="s">
        <v>72</v>
      </c>
      <c r="G672" t="s">
        <v>73</v>
      </c>
      <c r="H672" s="7">
        <v>3</v>
      </c>
      <c r="I672" s="4">
        <v>8758.02</v>
      </c>
      <c r="J672" s="23">
        <v>0.05</v>
      </c>
      <c r="K672" s="4">
        <v>8320.1200000000008</v>
      </c>
      <c r="L672" s="4">
        <v>4599.59</v>
      </c>
      <c r="M672" s="4">
        <v>3720.53</v>
      </c>
      <c r="N672" t="s">
        <v>25</v>
      </c>
      <c r="O672" s="7">
        <v>33</v>
      </c>
      <c r="P672" s="2">
        <v>45805.375</v>
      </c>
      <c r="Q672" t="s">
        <v>74</v>
      </c>
      <c r="R672">
        <v>5</v>
      </c>
      <c r="S672" t="s">
        <v>27</v>
      </c>
      <c r="T672">
        <f>IF(orders[[#This Row],[Status]]="Completed",1,0)</f>
        <v>1</v>
      </c>
      <c r="U672">
        <f>IF(orders[[#This Row],[Status]]="Pending",1,0)</f>
        <v>0</v>
      </c>
      <c r="V672">
        <f>IF(orders[[#This Row],[Status]]="Delayed",1,0)</f>
        <v>0</v>
      </c>
      <c r="W672">
        <f>IF(orders[[#This Row],[Status]]="Cancelled",1,0)</f>
        <v>0</v>
      </c>
    </row>
    <row r="673" spans="1:23" x14ac:dyDescent="0.35">
      <c r="A673" t="s">
        <v>1023</v>
      </c>
      <c r="B673" s="1">
        <v>45677</v>
      </c>
      <c r="C673" t="s">
        <v>388</v>
      </c>
      <c r="D673" t="s">
        <v>51</v>
      </c>
      <c r="E673" t="s">
        <v>46</v>
      </c>
      <c r="F673" t="s">
        <v>83</v>
      </c>
      <c r="G673" t="s">
        <v>182</v>
      </c>
      <c r="H673" s="7">
        <v>2</v>
      </c>
      <c r="I673" s="4">
        <v>12375.06</v>
      </c>
      <c r="J673" s="23">
        <v>0.2</v>
      </c>
      <c r="K673" s="4">
        <v>9900.0499999999993</v>
      </c>
      <c r="L673" s="4">
        <v>5601.19</v>
      </c>
      <c r="M673" s="4">
        <v>4298.8599999999997</v>
      </c>
      <c r="N673" t="s">
        <v>25</v>
      </c>
      <c r="O673" s="7">
        <v>12</v>
      </c>
      <c r="P673" s="2">
        <v>45677.5</v>
      </c>
      <c r="Q673" t="s">
        <v>65</v>
      </c>
      <c r="R673">
        <v>1</v>
      </c>
      <c r="S673" t="s">
        <v>55</v>
      </c>
      <c r="T673">
        <f>IF(orders[[#This Row],[Status]]="Completed",1,0)</f>
        <v>1</v>
      </c>
      <c r="U673">
        <f>IF(orders[[#This Row],[Status]]="Pending",1,0)</f>
        <v>0</v>
      </c>
      <c r="V673">
        <f>IF(orders[[#This Row],[Status]]="Delayed",1,0)</f>
        <v>0</v>
      </c>
      <c r="W673">
        <f>IF(orders[[#This Row],[Status]]="Cancelled",1,0)</f>
        <v>0</v>
      </c>
    </row>
    <row r="674" spans="1:23" x14ac:dyDescent="0.35">
      <c r="A674" t="s">
        <v>1024</v>
      </c>
      <c r="B674" s="1">
        <v>45704</v>
      </c>
      <c r="C674" t="s">
        <v>515</v>
      </c>
      <c r="D674" t="s">
        <v>45</v>
      </c>
      <c r="E674" t="s">
        <v>31</v>
      </c>
      <c r="F674" t="s">
        <v>39</v>
      </c>
      <c r="G674" t="s">
        <v>114</v>
      </c>
      <c r="H674" s="7">
        <v>4</v>
      </c>
      <c r="I674" s="4">
        <v>17558.919999999998</v>
      </c>
      <c r="J674" s="23">
        <v>0</v>
      </c>
      <c r="K674" s="4">
        <v>17558.919999999998</v>
      </c>
      <c r="L674" s="4">
        <v>10767</v>
      </c>
      <c r="M674" s="4">
        <v>6791.92</v>
      </c>
      <c r="N674" t="s">
        <v>25</v>
      </c>
      <c r="O674" s="7">
        <v>40</v>
      </c>
      <c r="P674" s="2">
        <v>45705.666666666664</v>
      </c>
      <c r="Q674" t="s">
        <v>139</v>
      </c>
      <c r="R674">
        <v>2</v>
      </c>
      <c r="S674" t="s">
        <v>55</v>
      </c>
      <c r="T674">
        <f>IF(orders[[#This Row],[Status]]="Completed",1,0)</f>
        <v>1</v>
      </c>
      <c r="U674">
        <f>IF(orders[[#This Row],[Status]]="Pending",1,0)</f>
        <v>0</v>
      </c>
      <c r="V674">
        <f>IF(orders[[#This Row],[Status]]="Delayed",1,0)</f>
        <v>0</v>
      </c>
      <c r="W674">
        <f>IF(orders[[#This Row],[Status]]="Cancelled",1,0)</f>
        <v>0</v>
      </c>
    </row>
    <row r="675" spans="1:23" x14ac:dyDescent="0.35">
      <c r="A675" t="s">
        <v>1025</v>
      </c>
      <c r="B675" s="1">
        <v>45890</v>
      </c>
      <c r="C675" t="s">
        <v>873</v>
      </c>
      <c r="D675" t="s">
        <v>30</v>
      </c>
      <c r="E675" t="s">
        <v>92</v>
      </c>
      <c r="F675" t="s">
        <v>83</v>
      </c>
      <c r="G675" t="s">
        <v>84</v>
      </c>
      <c r="H675" s="7">
        <v>1</v>
      </c>
      <c r="I675" s="4">
        <v>4317.5600000000004</v>
      </c>
      <c r="J675" s="23">
        <v>0.1</v>
      </c>
      <c r="K675" s="4">
        <v>3885.8</v>
      </c>
      <c r="L675" s="4">
        <v>2351.7199999999998</v>
      </c>
      <c r="M675" s="4">
        <v>1534.08</v>
      </c>
      <c r="N675" t="s">
        <v>25</v>
      </c>
      <c r="O675" s="7">
        <v>4</v>
      </c>
      <c r="P675" s="2">
        <v>45890.166666666664</v>
      </c>
      <c r="Q675" t="s">
        <v>80</v>
      </c>
      <c r="R675">
        <v>8</v>
      </c>
      <c r="S675" t="s">
        <v>42</v>
      </c>
      <c r="T675">
        <f>IF(orders[[#This Row],[Status]]="Completed",1,0)</f>
        <v>1</v>
      </c>
      <c r="U675">
        <f>IF(orders[[#This Row],[Status]]="Pending",1,0)</f>
        <v>0</v>
      </c>
      <c r="V675">
        <f>IF(orders[[#This Row],[Status]]="Delayed",1,0)</f>
        <v>0</v>
      </c>
      <c r="W675">
        <f>IF(orders[[#This Row],[Status]]="Cancelled",1,0)</f>
        <v>0</v>
      </c>
    </row>
    <row r="676" spans="1:23" x14ac:dyDescent="0.35">
      <c r="A676" t="s">
        <v>1026</v>
      </c>
      <c r="B676" s="1">
        <v>45962</v>
      </c>
      <c r="C676" t="s">
        <v>207</v>
      </c>
      <c r="D676" t="s">
        <v>63</v>
      </c>
      <c r="E676" t="s">
        <v>22</v>
      </c>
      <c r="F676" t="s">
        <v>39</v>
      </c>
      <c r="G676" t="s">
        <v>93</v>
      </c>
      <c r="H676" s="7">
        <v>2</v>
      </c>
      <c r="I676" s="4">
        <v>2139.38</v>
      </c>
      <c r="J676" s="23">
        <v>0.1</v>
      </c>
      <c r="K676" s="4">
        <v>1925.44</v>
      </c>
      <c r="L676" s="4">
        <v>1174.1199999999999</v>
      </c>
      <c r="M676" s="4">
        <v>751.32</v>
      </c>
      <c r="N676" t="s">
        <v>25</v>
      </c>
      <c r="O676" s="7">
        <v>45</v>
      </c>
      <c r="P676" s="2">
        <v>45963.875</v>
      </c>
      <c r="Q676" t="s">
        <v>86</v>
      </c>
      <c r="R676">
        <v>11</v>
      </c>
      <c r="S676" t="s">
        <v>35</v>
      </c>
      <c r="T676">
        <f>IF(orders[[#This Row],[Status]]="Completed",1,0)</f>
        <v>1</v>
      </c>
      <c r="U676">
        <f>IF(orders[[#This Row],[Status]]="Pending",1,0)</f>
        <v>0</v>
      </c>
      <c r="V676">
        <f>IF(orders[[#This Row],[Status]]="Delayed",1,0)</f>
        <v>0</v>
      </c>
      <c r="W676">
        <f>IF(orders[[#This Row],[Status]]="Cancelled",1,0)</f>
        <v>0</v>
      </c>
    </row>
    <row r="677" spans="1:23" x14ac:dyDescent="0.35">
      <c r="A677" t="s">
        <v>1027</v>
      </c>
      <c r="B677" s="1">
        <v>45671</v>
      </c>
      <c r="C677" t="s">
        <v>159</v>
      </c>
      <c r="D677" t="s">
        <v>68</v>
      </c>
      <c r="E677" t="s">
        <v>22</v>
      </c>
      <c r="F677" t="s">
        <v>39</v>
      </c>
      <c r="G677" t="s">
        <v>93</v>
      </c>
      <c r="H677" s="7">
        <v>2</v>
      </c>
      <c r="I677" s="4">
        <v>6804.92</v>
      </c>
      <c r="J677" s="23">
        <v>0.15</v>
      </c>
      <c r="K677" s="4">
        <v>5784.18</v>
      </c>
      <c r="L677" s="4">
        <v>4463.8900000000003</v>
      </c>
      <c r="M677" s="4">
        <v>1320.29</v>
      </c>
      <c r="N677" t="s">
        <v>25</v>
      </c>
      <c r="O677" s="7">
        <v>7</v>
      </c>
      <c r="P677" s="2">
        <v>45671.291666666664</v>
      </c>
      <c r="Q677" t="s">
        <v>65</v>
      </c>
      <c r="R677">
        <v>1</v>
      </c>
      <c r="S677" t="s">
        <v>55</v>
      </c>
      <c r="T677">
        <f>IF(orders[[#This Row],[Status]]="Completed",1,0)</f>
        <v>1</v>
      </c>
      <c r="U677">
        <f>IF(orders[[#This Row],[Status]]="Pending",1,0)</f>
        <v>0</v>
      </c>
      <c r="V677">
        <f>IF(orders[[#This Row],[Status]]="Delayed",1,0)</f>
        <v>0</v>
      </c>
      <c r="W677">
        <f>IF(orders[[#This Row],[Status]]="Cancelled",1,0)</f>
        <v>0</v>
      </c>
    </row>
    <row r="678" spans="1:23" x14ac:dyDescent="0.35">
      <c r="A678" t="s">
        <v>1028</v>
      </c>
      <c r="B678" s="1">
        <v>45800</v>
      </c>
      <c r="C678" t="s">
        <v>299</v>
      </c>
      <c r="D678" t="s">
        <v>51</v>
      </c>
      <c r="E678" t="s">
        <v>46</v>
      </c>
      <c r="F678" t="s">
        <v>83</v>
      </c>
      <c r="G678" t="s">
        <v>84</v>
      </c>
      <c r="H678" s="7">
        <v>6</v>
      </c>
      <c r="I678" s="4">
        <v>12977.34</v>
      </c>
      <c r="J678" s="23">
        <v>0.1</v>
      </c>
      <c r="K678" s="4">
        <v>11679.61</v>
      </c>
      <c r="L678" s="4">
        <v>8194.76</v>
      </c>
      <c r="M678" s="4">
        <v>3484.85</v>
      </c>
      <c r="N678" t="s">
        <v>25</v>
      </c>
      <c r="O678" s="7">
        <v>18</v>
      </c>
      <c r="P678" s="2">
        <v>45800.75</v>
      </c>
      <c r="Q678" t="s">
        <v>74</v>
      </c>
      <c r="R678">
        <v>5</v>
      </c>
      <c r="S678" t="s">
        <v>27</v>
      </c>
      <c r="T678">
        <f>IF(orders[[#This Row],[Status]]="Completed",1,0)</f>
        <v>1</v>
      </c>
      <c r="U678">
        <f>IF(orders[[#This Row],[Status]]="Pending",1,0)</f>
        <v>0</v>
      </c>
      <c r="V678">
        <f>IF(orders[[#This Row],[Status]]="Delayed",1,0)</f>
        <v>0</v>
      </c>
      <c r="W678">
        <f>IF(orders[[#This Row],[Status]]="Cancelled",1,0)</f>
        <v>0</v>
      </c>
    </row>
    <row r="679" spans="1:23" x14ac:dyDescent="0.35">
      <c r="A679" t="s">
        <v>1029</v>
      </c>
      <c r="B679" s="1">
        <v>45658</v>
      </c>
      <c r="C679" t="s">
        <v>708</v>
      </c>
      <c r="D679" t="s">
        <v>149</v>
      </c>
      <c r="E679" t="s">
        <v>46</v>
      </c>
      <c r="F679" t="s">
        <v>83</v>
      </c>
      <c r="G679" t="s">
        <v>182</v>
      </c>
      <c r="H679" s="7">
        <v>5</v>
      </c>
      <c r="I679" s="4">
        <v>1405.3</v>
      </c>
      <c r="J679" s="23">
        <v>0.05</v>
      </c>
      <c r="K679" s="4">
        <v>1335.04</v>
      </c>
      <c r="L679" s="4">
        <v>1171.21</v>
      </c>
      <c r="M679" s="4">
        <v>163.83000000000001</v>
      </c>
      <c r="N679" t="s">
        <v>25</v>
      </c>
      <c r="O679" s="7">
        <v>30</v>
      </c>
      <c r="P679" s="2">
        <v>45659.25</v>
      </c>
      <c r="Q679" t="s">
        <v>65</v>
      </c>
      <c r="R679">
        <v>1</v>
      </c>
      <c r="S679" t="s">
        <v>55</v>
      </c>
      <c r="T679">
        <f>IF(orders[[#This Row],[Status]]="Completed",1,0)</f>
        <v>1</v>
      </c>
      <c r="U679">
        <f>IF(orders[[#This Row],[Status]]="Pending",1,0)</f>
        <v>0</v>
      </c>
      <c r="V679">
        <f>IF(orders[[#This Row],[Status]]="Delayed",1,0)</f>
        <v>0</v>
      </c>
      <c r="W679">
        <f>IF(orders[[#This Row],[Status]]="Cancelled",1,0)</f>
        <v>0</v>
      </c>
    </row>
    <row r="680" spans="1:23" x14ac:dyDescent="0.35">
      <c r="A680" t="s">
        <v>1030</v>
      </c>
      <c r="B680" s="1">
        <v>45711</v>
      </c>
      <c r="C680" t="s">
        <v>1031</v>
      </c>
      <c r="D680" t="s">
        <v>63</v>
      </c>
      <c r="E680" t="s">
        <v>92</v>
      </c>
      <c r="F680" t="s">
        <v>39</v>
      </c>
      <c r="G680" t="s">
        <v>47</v>
      </c>
      <c r="H680" s="7">
        <v>3</v>
      </c>
      <c r="I680" s="4">
        <v>9470.49</v>
      </c>
      <c r="J680" s="23">
        <v>0</v>
      </c>
      <c r="K680" s="4">
        <v>9470.49</v>
      </c>
      <c r="L680" s="4">
        <v>5917.85</v>
      </c>
      <c r="M680" s="4">
        <v>3552.64</v>
      </c>
      <c r="N680" t="s">
        <v>48</v>
      </c>
      <c r="O680" s="7">
        <v>9</v>
      </c>
      <c r="P680" s="2">
        <v>45711.375</v>
      </c>
      <c r="Q680" t="s">
        <v>139</v>
      </c>
      <c r="R680">
        <v>2</v>
      </c>
      <c r="S680" t="s">
        <v>55</v>
      </c>
      <c r="T680">
        <f>IF(orders[[#This Row],[Status]]="Completed",1,0)</f>
        <v>0</v>
      </c>
      <c r="U680">
        <f>IF(orders[[#This Row],[Status]]="Pending",1,0)</f>
        <v>0</v>
      </c>
      <c r="V680">
        <f>IF(orders[[#This Row],[Status]]="Delayed",1,0)</f>
        <v>0</v>
      </c>
      <c r="W680">
        <f>IF(orders[[#This Row],[Status]]="Cancelled",1,0)</f>
        <v>1</v>
      </c>
    </row>
    <row r="681" spans="1:23" x14ac:dyDescent="0.35">
      <c r="A681" t="s">
        <v>1032</v>
      </c>
      <c r="B681" s="1">
        <v>45916</v>
      </c>
      <c r="C681" t="s">
        <v>515</v>
      </c>
      <c r="D681" t="s">
        <v>38</v>
      </c>
      <c r="E681" t="s">
        <v>78</v>
      </c>
      <c r="F681" t="s">
        <v>72</v>
      </c>
      <c r="G681" t="s">
        <v>73</v>
      </c>
      <c r="H681" s="7">
        <v>3</v>
      </c>
      <c r="I681" s="4">
        <v>2700.03</v>
      </c>
      <c r="J681" s="23">
        <v>0.1</v>
      </c>
      <c r="K681" s="4">
        <v>2430.0300000000002</v>
      </c>
      <c r="L681" s="4">
        <v>1585.77</v>
      </c>
      <c r="M681" s="4">
        <v>844.26</v>
      </c>
      <c r="N681" t="s">
        <v>25</v>
      </c>
      <c r="O681" s="7">
        <v>26</v>
      </c>
      <c r="P681" s="2">
        <v>45917.083333333336</v>
      </c>
      <c r="Q681" t="s">
        <v>41</v>
      </c>
      <c r="R681">
        <v>9</v>
      </c>
      <c r="S681" t="s">
        <v>42</v>
      </c>
      <c r="T681">
        <f>IF(orders[[#This Row],[Status]]="Completed",1,0)</f>
        <v>1</v>
      </c>
      <c r="U681">
        <f>IF(orders[[#This Row],[Status]]="Pending",1,0)</f>
        <v>0</v>
      </c>
      <c r="V681">
        <f>IF(orders[[#This Row],[Status]]="Delayed",1,0)</f>
        <v>0</v>
      </c>
      <c r="W681">
        <f>IF(orders[[#This Row],[Status]]="Cancelled",1,0)</f>
        <v>0</v>
      </c>
    </row>
    <row r="682" spans="1:23" x14ac:dyDescent="0.35">
      <c r="A682" t="s">
        <v>1033</v>
      </c>
      <c r="B682" s="1">
        <v>45801</v>
      </c>
      <c r="C682" t="s">
        <v>138</v>
      </c>
      <c r="D682" t="s">
        <v>45</v>
      </c>
      <c r="E682" t="s">
        <v>59</v>
      </c>
      <c r="F682" t="s">
        <v>39</v>
      </c>
      <c r="G682" t="s">
        <v>114</v>
      </c>
      <c r="H682" s="7">
        <v>7</v>
      </c>
      <c r="I682" s="4">
        <v>16061.71</v>
      </c>
      <c r="J682" s="23">
        <v>0.15</v>
      </c>
      <c r="K682" s="4">
        <v>13652.45</v>
      </c>
      <c r="L682" s="4">
        <v>11943.16</v>
      </c>
      <c r="M682" s="4">
        <v>1709.29</v>
      </c>
      <c r="N682" t="s">
        <v>25</v>
      </c>
      <c r="O682" s="7">
        <v>18</v>
      </c>
      <c r="P682" s="2">
        <v>45801.75</v>
      </c>
      <c r="Q682" t="s">
        <v>74</v>
      </c>
      <c r="R682">
        <v>5</v>
      </c>
      <c r="S682" t="s">
        <v>27</v>
      </c>
      <c r="T682">
        <f>IF(orders[[#This Row],[Status]]="Completed",1,0)</f>
        <v>1</v>
      </c>
      <c r="U682">
        <f>IF(orders[[#This Row],[Status]]="Pending",1,0)</f>
        <v>0</v>
      </c>
      <c r="V682">
        <f>IF(orders[[#This Row],[Status]]="Delayed",1,0)</f>
        <v>0</v>
      </c>
      <c r="W682">
        <f>IF(orders[[#This Row],[Status]]="Cancelled",1,0)</f>
        <v>0</v>
      </c>
    </row>
    <row r="683" spans="1:23" x14ac:dyDescent="0.35">
      <c r="A683" t="s">
        <v>1034</v>
      </c>
      <c r="B683" s="1">
        <v>45669</v>
      </c>
      <c r="C683" t="s">
        <v>209</v>
      </c>
      <c r="D683" t="s">
        <v>51</v>
      </c>
      <c r="E683" t="s">
        <v>92</v>
      </c>
      <c r="F683" t="s">
        <v>23</v>
      </c>
      <c r="G683" t="s">
        <v>136</v>
      </c>
      <c r="H683" s="7">
        <v>1</v>
      </c>
      <c r="I683" s="4">
        <v>922.51</v>
      </c>
      <c r="J683" s="23">
        <v>0.1</v>
      </c>
      <c r="K683" s="4">
        <v>830.26</v>
      </c>
      <c r="L683" s="4">
        <v>684.53</v>
      </c>
      <c r="M683" s="4">
        <v>145.72999999999999</v>
      </c>
      <c r="N683" t="s">
        <v>25</v>
      </c>
      <c r="O683" s="7">
        <v>30</v>
      </c>
      <c r="P683" s="2">
        <v>45670.25</v>
      </c>
      <c r="Q683" t="s">
        <v>65</v>
      </c>
      <c r="R683">
        <v>1</v>
      </c>
      <c r="S683" t="s">
        <v>55</v>
      </c>
      <c r="T683">
        <f>IF(orders[[#This Row],[Status]]="Completed",1,0)</f>
        <v>1</v>
      </c>
      <c r="U683">
        <f>IF(orders[[#This Row],[Status]]="Pending",1,0)</f>
        <v>0</v>
      </c>
      <c r="V683">
        <f>IF(orders[[#This Row],[Status]]="Delayed",1,0)</f>
        <v>0</v>
      </c>
      <c r="W683">
        <f>IF(orders[[#This Row],[Status]]="Cancelled",1,0)</f>
        <v>0</v>
      </c>
    </row>
    <row r="684" spans="1:23" x14ac:dyDescent="0.35">
      <c r="A684" t="s">
        <v>1035</v>
      </c>
      <c r="B684" s="1">
        <v>45987</v>
      </c>
      <c r="C684" t="s">
        <v>1011</v>
      </c>
      <c r="D684" t="s">
        <v>21</v>
      </c>
      <c r="E684" t="s">
        <v>52</v>
      </c>
      <c r="F684" t="s">
        <v>39</v>
      </c>
      <c r="G684" t="s">
        <v>93</v>
      </c>
      <c r="H684" s="7">
        <v>7</v>
      </c>
      <c r="I684" s="4">
        <v>6950.02</v>
      </c>
      <c r="J684" s="23">
        <v>0.15</v>
      </c>
      <c r="K684" s="4">
        <v>5907.52</v>
      </c>
      <c r="L684" s="4">
        <v>4165</v>
      </c>
      <c r="M684" s="4">
        <v>1742.52</v>
      </c>
      <c r="N684" t="s">
        <v>25</v>
      </c>
      <c r="O684" s="7">
        <v>34</v>
      </c>
      <c r="P684" s="2">
        <v>45988.416666666664</v>
      </c>
      <c r="Q684" t="s">
        <v>86</v>
      </c>
      <c r="R684">
        <v>11</v>
      </c>
      <c r="S684" t="s">
        <v>35</v>
      </c>
      <c r="T684">
        <f>IF(orders[[#This Row],[Status]]="Completed",1,0)</f>
        <v>1</v>
      </c>
      <c r="U684">
        <f>IF(orders[[#This Row],[Status]]="Pending",1,0)</f>
        <v>0</v>
      </c>
      <c r="V684">
        <f>IF(orders[[#This Row],[Status]]="Delayed",1,0)</f>
        <v>0</v>
      </c>
      <c r="W684">
        <f>IF(orders[[#This Row],[Status]]="Cancelled",1,0)</f>
        <v>0</v>
      </c>
    </row>
    <row r="685" spans="1:23" x14ac:dyDescent="0.35">
      <c r="A685" t="s">
        <v>1036</v>
      </c>
      <c r="B685" s="1">
        <v>45881</v>
      </c>
      <c r="C685" t="s">
        <v>82</v>
      </c>
      <c r="D685" t="s">
        <v>58</v>
      </c>
      <c r="E685" t="s">
        <v>31</v>
      </c>
      <c r="F685" t="s">
        <v>72</v>
      </c>
      <c r="G685" t="s">
        <v>73</v>
      </c>
      <c r="H685" s="7">
        <v>4</v>
      </c>
      <c r="I685" s="4">
        <v>7246.96</v>
      </c>
      <c r="J685" s="23">
        <v>0</v>
      </c>
      <c r="K685" s="4">
        <v>7246.96</v>
      </c>
      <c r="L685" s="4">
        <v>5312.14</v>
      </c>
      <c r="M685" s="4">
        <v>1934.82</v>
      </c>
      <c r="N685" t="s">
        <v>25</v>
      </c>
      <c r="O685" s="7">
        <v>42</v>
      </c>
      <c r="P685" s="2">
        <v>45882.75</v>
      </c>
      <c r="Q685" t="s">
        <v>80</v>
      </c>
      <c r="R685">
        <v>8</v>
      </c>
      <c r="S685" t="s">
        <v>42</v>
      </c>
      <c r="T685">
        <f>IF(orders[[#This Row],[Status]]="Completed",1,0)</f>
        <v>1</v>
      </c>
      <c r="U685">
        <f>IF(orders[[#This Row],[Status]]="Pending",1,0)</f>
        <v>0</v>
      </c>
      <c r="V685">
        <f>IF(orders[[#This Row],[Status]]="Delayed",1,0)</f>
        <v>0</v>
      </c>
      <c r="W685">
        <f>IF(orders[[#This Row],[Status]]="Cancelled",1,0)</f>
        <v>0</v>
      </c>
    </row>
    <row r="686" spans="1:23" x14ac:dyDescent="0.35">
      <c r="A686" t="s">
        <v>1037</v>
      </c>
      <c r="B686" s="1">
        <v>45929</v>
      </c>
      <c r="C686" t="s">
        <v>565</v>
      </c>
      <c r="D686" t="s">
        <v>58</v>
      </c>
      <c r="E686" t="s">
        <v>113</v>
      </c>
      <c r="F686" t="s">
        <v>23</v>
      </c>
      <c r="G686" t="s">
        <v>122</v>
      </c>
      <c r="H686" s="7">
        <v>1</v>
      </c>
      <c r="I686" s="4">
        <v>8498.74</v>
      </c>
      <c r="J686" s="23">
        <v>0.2</v>
      </c>
      <c r="K686" s="4">
        <v>6798.99</v>
      </c>
      <c r="L686" s="4">
        <v>5631.25</v>
      </c>
      <c r="M686" s="4">
        <v>1167.74</v>
      </c>
      <c r="N686" t="s">
        <v>25</v>
      </c>
      <c r="O686" s="7">
        <v>11</v>
      </c>
      <c r="P686" s="2">
        <v>45929.458333333336</v>
      </c>
      <c r="Q686" t="s">
        <v>41</v>
      </c>
      <c r="R686">
        <v>9</v>
      </c>
      <c r="S686" t="s">
        <v>42</v>
      </c>
      <c r="T686">
        <f>IF(orders[[#This Row],[Status]]="Completed",1,0)</f>
        <v>1</v>
      </c>
      <c r="U686">
        <f>IF(orders[[#This Row],[Status]]="Pending",1,0)</f>
        <v>0</v>
      </c>
      <c r="V686">
        <f>IF(orders[[#This Row],[Status]]="Delayed",1,0)</f>
        <v>0</v>
      </c>
      <c r="W686">
        <f>IF(orders[[#This Row],[Status]]="Cancelled",1,0)</f>
        <v>0</v>
      </c>
    </row>
    <row r="687" spans="1:23" x14ac:dyDescent="0.35">
      <c r="A687" t="s">
        <v>1038</v>
      </c>
      <c r="B687" s="1">
        <v>46015</v>
      </c>
      <c r="C687" t="s">
        <v>483</v>
      </c>
      <c r="D687" t="s">
        <v>68</v>
      </c>
      <c r="E687" t="s">
        <v>78</v>
      </c>
      <c r="F687" t="s">
        <v>32</v>
      </c>
      <c r="G687" t="s">
        <v>89</v>
      </c>
      <c r="H687" s="7">
        <v>2</v>
      </c>
      <c r="I687" s="4">
        <v>336.48</v>
      </c>
      <c r="J687" s="23">
        <v>0.1</v>
      </c>
      <c r="K687" s="4">
        <v>302.83</v>
      </c>
      <c r="L687" s="4">
        <v>214.62</v>
      </c>
      <c r="M687" s="4">
        <v>88.21</v>
      </c>
      <c r="N687" t="s">
        <v>25</v>
      </c>
      <c r="O687" s="7">
        <v>33</v>
      </c>
      <c r="P687" s="2">
        <v>46016.375</v>
      </c>
      <c r="Q687" t="s">
        <v>34</v>
      </c>
      <c r="R687">
        <v>12</v>
      </c>
      <c r="S687" t="s">
        <v>35</v>
      </c>
      <c r="T687">
        <f>IF(orders[[#This Row],[Status]]="Completed",1,0)</f>
        <v>1</v>
      </c>
      <c r="U687">
        <f>IF(orders[[#This Row],[Status]]="Pending",1,0)</f>
        <v>0</v>
      </c>
      <c r="V687">
        <f>IF(orders[[#This Row],[Status]]="Delayed",1,0)</f>
        <v>0</v>
      </c>
      <c r="W687">
        <f>IF(orders[[#This Row],[Status]]="Cancelled",1,0)</f>
        <v>0</v>
      </c>
    </row>
    <row r="688" spans="1:23" x14ac:dyDescent="0.35">
      <c r="A688" t="s">
        <v>1039</v>
      </c>
      <c r="B688" s="1">
        <v>45813</v>
      </c>
      <c r="C688" t="s">
        <v>1040</v>
      </c>
      <c r="D688" t="s">
        <v>149</v>
      </c>
      <c r="E688" t="s">
        <v>22</v>
      </c>
      <c r="F688" t="s">
        <v>32</v>
      </c>
      <c r="G688" t="s">
        <v>33</v>
      </c>
      <c r="H688" s="7">
        <v>2</v>
      </c>
      <c r="I688" s="4">
        <v>10965.84</v>
      </c>
      <c r="J688" s="23">
        <v>0</v>
      </c>
      <c r="K688" s="4">
        <v>10965.84</v>
      </c>
      <c r="L688" s="4">
        <v>6776.76</v>
      </c>
      <c r="M688" s="4">
        <v>4189.08</v>
      </c>
      <c r="N688" t="s">
        <v>85</v>
      </c>
      <c r="O688" s="7">
        <v>56</v>
      </c>
      <c r="P688" s="2">
        <v>45815.333333333336</v>
      </c>
      <c r="Q688" t="s">
        <v>99</v>
      </c>
      <c r="R688">
        <v>6</v>
      </c>
      <c r="S688" t="s">
        <v>27</v>
      </c>
      <c r="T688">
        <f>IF(orders[[#This Row],[Status]]="Completed",1,0)</f>
        <v>0</v>
      </c>
      <c r="U688">
        <f>IF(orders[[#This Row],[Status]]="Pending",1,0)</f>
        <v>0</v>
      </c>
      <c r="V688">
        <f>IF(orders[[#This Row],[Status]]="Delayed",1,0)</f>
        <v>1</v>
      </c>
      <c r="W688">
        <f>IF(orders[[#This Row],[Status]]="Cancelled",1,0)</f>
        <v>0</v>
      </c>
    </row>
    <row r="689" spans="1:23" x14ac:dyDescent="0.35">
      <c r="A689" t="s">
        <v>1041</v>
      </c>
      <c r="B689" s="1">
        <v>45665</v>
      </c>
      <c r="C689" t="s">
        <v>71</v>
      </c>
      <c r="D689" t="s">
        <v>68</v>
      </c>
      <c r="E689" t="s">
        <v>78</v>
      </c>
      <c r="F689" t="s">
        <v>72</v>
      </c>
      <c r="G689" t="s">
        <v>129</v>
      </c>
      <c r="H689" s="7">
        <v>3</v>
      </c>
      <c r="I689" s="4">
        <v>3988.14</v>
      </c>
      <c r="J689" s="23">
        <v>0.1</v>
      </c>
      <c r="K689" s="4">
        <v>3589.33</v>
      </c>
      <c r="L689" s="4">
        <v>2955.41</v>
      </c>
      <c r="M689" s="4">
        <v>633.91999999999996</v>
      </c>
      <c r="N689" t="s">
        <v>25</v>
      </c>
      <c r="O689" s="7">
        <v>21</v>
      </c>
      <c r="P689" s="2">
        <v>45665.875</v>
      </c>
      <c r="Q689" t="s">
        <v>65</v>
      </c>
      <c r="R689">
        <v>1</v>
      </c>
      <c r="S689" t="s">
        <v>55</v>
      </c>
      <c r="T689">
        <f>IF(orders[[#This Row],[Status]]="Completed",1,0)</f>
        <v>1</v>
      </c>
      <c r="U689">
        <f>IF(orders[[#This Row],[Status]]="Pending",1,0)</f>
        <v>0</v>
      </c>
      <c r="V689">
        <f>IF(orders[[#This Row],[Status]]="Delayed",1,0)</f>
        <v>0</v>
      </c>
      <c r="W689">
        <f>IF(orders[[#This Row],[Status]]="Cancelled",1,0)</f>
        <v>0</v>
      </c>
    </row>
    <row r="690" spans="1:23" x14ac:dyDescent="0.35">
      <c r="A690" t="s">
        <v>1042</v>
      </c>
      <c r="B690" s="1">
        <v>45779</v>
      </c>
      <c r="C690" t="s">
        <v>148</v>
      </c>
      <c r="D690" t="s">
        <v>21</v>
      </c>
      <c r="E690" t="s">
        <v>92</v>
      </c>
      <c r="F690" t="s">
        <v>39</v>
      </c>
      <c r="G690" t="s">
        <v>47</v>
      </c>
      <c r="H690" s="7">
        <v>4</v>
      </c>
      <c r="I690" s="4">
        <v>31348.959999999999</v>
      </c>
      <c r="J690" s="23">
        <v>0.15</v>
      </c>
      <c r="K690" s="4">
        <v>26646.62</v>
      </c>
      <c r="L690" s="4">
        <v>19384.48</v>
      </c>
      <c r="M690" s="4">
        <v>7262.14</v>
      </c>
      <c r="N690" t="s">
        <v>85</v>
      </c>
      <c r="O690" s="7">
        <v>74</v>
      </c>
      <c r="P690" s="2">
        <v>45782.083333333336</v>
      </c>
      <c r="Q690" t="s">
        <v>74</v>
      </c>
      <c r="R690">
        <v>5</v>
      </c>
      <c r="S690" t="s">
        <v>27</v>
      </c>
      <c r="T690">
        <f>IF(orders[[#This Row],[Status]]="Completed",1,0)</f>
        <v>0</v>
      </c>
      <c r="U690">
        <f>IF(orders[[#This Row],[Status]]="Pending",1,0)</f>
        <v>0</v>
      </c>
      <c r="V690">
        <f>IF(orders[[#This Row],[Status]]="Delayed",1,0)</f>
        <v>1</v>
      </c>
      <c r="W690">
        <f>IF(orders[[#This Row],[Status]]="Cancelled",1,0)</f>
        <v>0</v>
      </c>
    </row>
    <row r="691" spans="1:23" x14ac:dyDescent="0.35">
      <c r="A691" t="s">
        <v>1043</v>
      </c>
      <c r="B691" s="1">
        <v>46005</v>
      </c>
      <c r="C691" t="s">
        <v>20</v>
      </c>
      <c r="D691" t="s">
        <v>30</v>
      </c>
      <c r="E691" t="s">
        <v>52</v>
      </c>
      <c r="F691" t="s">
        <v>83</v>
      </c>
      <c r="G691" t="s">
        <v>182</v>
      </c>
      <c r="H691" s="7">
        <v>5</v>
      </c>
      <c r="I691" s="4">
        <v>4659.1499999999996</v>
      </c>
      <c r="J691" s="23">
        <v>0.2</v>
      </c>
      <c r="K691" s="4">
        <v>3727.32</v>
      </c>
      <c r="L691" s="4">
        <v>2238.27</v>
      </c>
      <c r="M691" s="4">
        <v>1489.05</v>
      </c>
      <c r="N691" t="s">
        <v>25</v>
      </c>
      <c r="O691" s="7">
        <v>46</v>
      </c>
      <c r="P691" s="2">
        <v>46006.916666666664</v>
      </c>
      <c r="Q691" t="s">
        <v>34</v>
      </c>
      <c r="R691">
        <v>12</v>
      </c>
      <c r="S691" t="s">
        <v>35</v>
      </c>
      <c r="T691">
        <f>IF(orders[[#This Row],[Status]]="Completed",1,0)</f>
        <v>1</v>
      </c>
      <c r="U691">
        <f>IF(orders[[#This Row],[Status]]="Pending",1,0)</f>
        <v>0</v>
      </c>
      <c r="V691">
        <f>IF(orders[[#This Row],[Status]]="Delayed",1,0)</f>
        <v>0</v>
      </c>
      <c r="W691">
        <f>IF(orders[[#This Row],[Status]]="Cancelled",1,0)</f>
        <v>0</v>
      </c>
    </row>
    <row r="692" spans="1:23" x14ac:dyDescent="0.35">
      <c r="A692" t="s">
        <v>1044</v>
      </c>
      <c r="B692" s="1">
        <v>45821</v>
      </c>
      <c r="C692" t="s">
        <v>780</v>
      </c>
      <c r="D692" t="s">
        <v>149</v>
      </c>
      <c r="E692" t="s">
        <v>78</v>
      </c>
      <c r="F692" t="s">
        <v>72</v>
      </c>
      <c r="G692" t="s">
        <v>146</v>
      </c>
      <c r="H692" s="7">
        <v>4</v>
      </c>
      <c r="I692" s="4">
        <v>32499.119999999999</v>
      </c>
      <c r="J692" s="23">
        <v>0.05</v>
      </c>
      <c r="K692" s="4">
        <v>30874.16</v>
      </c>
      <c r="L692" s="4">
        <v>22131.94</v>
      </c>
      <c r="M692" s="4">
        <v>8742.2199999999993</v>
      </c>
      <c r="N692" t="s">
        <v>48</v>
      </c>
      <c r="O692" s="7">
        <v>6</v>
      </c>
      <c r="P692" s="2">
        <v>45821.25</v>
      </c>
      <c r="Q692" t="s">
        <v>99</v>
      </c>
      <c r="R692">
        <v>6</v>
      </c>
      <c r="S692" t="s">
        <v>27</v>
      </c>
      <c r="T692">
        <f>IF(orders[[#This Row],[Status]]="Completed",1,0)</f>
        <v>0</v>
      </c>
      <c r="U692">
        <f>IF(orders[[#This Row],[Status]]="Pending",1,0)</f>
        <v>0</v>
      </c>
      <c r="V692">
        <f>IF(orders[[#This Row],[Status]]="Delayed",1,0)</f>
        <v>0</v>
      </c>
      <c r="W692">
        <f>IF(orders[[#This Row],[Status]]="Cancelled",1,0)</f>
        <v>1</v>
      </c>
    </row>
    <row r="693" spans="1:23" x14ac:dyDescent="0.35">
      <c r="A693" t="s">
        <v>1045</v>
      </c>
      <c r="B693" s="1">
        <v>45747</v>
      </c>
      <c r="C693" t="s">
        <v>570</v>
      </c>
      <c r="D693" t="s">
        <v>77</v>
      </c>
      <c r="E693" t="s">
        <v>46</v>
      </c>
      <c r="F693" t="s">
        <v>23</v>
      </c>
      <c r="G693" t="s">
        <v>69</v>
      </c>
      <c r="H693" s="7">
        <v>2</v>
      </c>
      <c r="I693" s="4">
        <v>10502.48</v>
      </c>
      <c r="J693" s="23">
        <v>0.15</v>
      </c>
      <c r="K693" s="4">
        <v>8927.11</v>
      </c>
      <c r="L693" s="4">
        <v>6127.19</v>
      </c>
      <c r="M693" s="4">
        <v>2799.92</v>
      </c>
      <c r="N693" t="s">
        <v>25</v>
      </c>
      <c r="O693" s="7">
        <v>6</v>
      </c>
      <c r="P693" s="2">
        <v>45747.25</v>
      </c>
      <c r="Q693" t="s">
        <v>54</v>
      </c>
      <c r="R693">
        <v>3</v>
      </c>
      <c r="S693" t="s">
        <v>55</v>
      </c>
      <c r="T693">
        <f>IF(orders[[#This Row],[Status]]="Completed",1,0)</f>
        <v>1</v>
      </c>
      <c r="U693">
        <f>IF(orders[[#This Row],[Status]]="Pending",1,0)</f>
        <v>0</v>
      </c>
      <c r="V693">
        <f>IF(orders[[#This Row],[Status]]="Delayed",1,0)</f>
        <v>0</v>
      </c>
      <c r="W693">
        <f>IF(orders[[#This Row],[Status]]="Cancelled",1,0)</f>
        <v>0</v>
      </c>
    </row>
    <row r="694" spans="1:23" x14ac:dyDescent="0.35">
      <c r="A694" t="s">
        <v>1046</v>
      </c>
      <c r="B694" s="1">
        <v>45793</v>
      </c>
      <c r="C694" t="s">
        <v>187</v>
      </c>
      <c r="D694" t="s">
        <v>30</v>
      </c>
      <c r="E694" t="s">
        <v>22</v>
      </c>
      <c r="F694" t="s">
        <v>23</v>
      </c>
      <c r="G694" t="s">
        <v>136</v>
      </c>
      <c r="H694" s="7">
        <v>5</v>
      </c>
      <c r="I694" s="4">
        <v>802.95</v>
      </c>
      <c r="J694" s="23">
        <v>0</v>
      </c>
      <c r="K694" s="4">
        <v>802.95</v>
      </c>
      <c r="L694" s="4">
        <v>673.96</v>
      </c>
      <c r="M694" s="4">
        <v>128.99</v>
      </c>
      <c r="N694" t="s">
        <v>25</v>
      </c>
      <c r="O694" s="7">
        <v>18</v>
      </c>
      <c r="P694" s="2">
        <v>45793.75</v>
      </c>
      <c r="Q694" t="s">
        <v>74</v>
      </c>
      <c r="R694">
        <v>5</v>
      </c>
      <c r="S694" t="s">
        <v>27</v>
      </c>
      <c r="T694">
        <f>IF(orders[[#This Row],[Status]]="Completed",1,0)</f>
        <v>1</v>
      </c>
      <c r="U694">
        <f>IF(orders[[#This Row],[Status]]="Pending",1,0)</f>
        <v>0</v>
      </c>
      <c r="V694">
        <f>IF(orders[[#This Row],[Status]]="Delayed",1,0)</f>
        <v>0</v>
      </c>
      <c r="W694">
        <f>IF(orders[[#This Row],[Status]]="Cancelled",1,0)</f>
        <v>0</v>
      </c>
    </row>
    <row r="695" spans="1:23" x14ac:dyDescent="0.35">
      <c r="A695" t="s">
        <v>1047</v>
      </c>
      <c r="B695" s="1">
        <v>45843</v>
      </c>
      <c r="C695" t="s">
        <v>481</v>
      </c>
      <c r="D695" t="s">
        <v>149</v>
      </c>
      <c r="E695" t="s">
        <v>78</v>
      </c>
      <c r="F695" t="s">
        <v>32</v>
      </c>
      <c r="G695" t="s">
        <v>79</v>
      </c>
      <c r="H695" s="7">
        <v>4</v>
      </c>
      <c r="I695" s="4">
        <v>30459.84</v>
      </c>
      <c r="J695" s="23">
        <v>0</v>
      </c>
      <c r="K695" s="4">
        <v>30459.84</v>
      </c>
      <c r="L695" s="4">
        <v>18019.990000000002</v>
      </c>
      <c r="M695" s="4">
        <v>12439.85</v>
      </c>
      <c r="N695" t="s">
        <v>85</v>
      </c>
      <c r="O695" s="7">
        <v>89</v>
      </c>
      <c r="P695" s="2">
        <v>45846.708333333336</v>
      </c>
      <c r="Q695" t="s">
        <v>60</v>
      </c>
      <c r="R695">
        <v>7</v>
      </c>
      <c r="S695" t="s">
        <v>42</v>
      </c>
      <c r="T695">
        <f>IF(orders[[#This Row],[Status]]="Completed",1,0)</f>
        <v>0</v>
      </c>
      <c r="U695">
        <f>IF(orders[[#This Row],[Status]]="Pending",1,0)</f>
        <v>0</v>
      </c>
      <c r="V695">
        <f>IF(orders[[#This Row],[Status]]="Delayed",1,0)</f>
        <v>1</v>
      </c>
      <c r="W695">
        <f>IF(orders[[#This Row],[Status]]="Cancelled",1,0)</f>
        <v>0</v>
      </c>
    </row>
    <row r="696" spans="1:23" x14ac:dyDescent="0.35">
      <c r="A696" t="s">
        <v>1048</v>
      </c>
      <c r="B696" s="1">
        <v>45973</v>
      </c>
      <c r="C696" t="s">
        <v>708</v>
      </c>
      <c r="D696" t="s">
        <v>149</v>
      </c>
      <c r="E696" t="s">
        <v>22</v>
      </c>
      <c r="F696" t="s">
        <v>23</v>
      </c>
      <c r="G696" t="s">
        <v>69</v>
      </c>
      <c r="H696" s="7">
        <v>4</v>
      </c>
      <c r="I696" s="4">
        <v>18025.16</v>
      </c>
      <c r="J696" s="23">
        <v>0.1</v>
      </c>
      <c r="K696" s="4">
        <v>16222.64</v>
      </c>
      <c r="L696" s="4">
        <v>13607.86</v>
      </c>
      <c r="M696" s="4">
        <v>2614.7800000000002</v>
      </c>
      <c r="N696" t="s">
        <v>25</v>
      </c>
      <c r="O696" s="7">
        <v>41</v>
      </c>
      <c r="P696" s="2">
        <v>45974.708333333336</v>
      </c>
      <c r="Q696" t="s">
        <v>86</v>
      </c>
      <c r="R696">
        <v>11</v>
      </c>
      <c r="S696" t="s">
        <v>35</v>
      </c>
      <c r="T696">
        <f>IF(orders[[#This Row],[Status]]="Completed",1,0)</f>
        <v>1</v>
      </c>
      <c r="U696">
        <f>IF(orders[[#This Row],[Status]]="Pending",1,0)</f>
        <v>0</v>
      </c>
      <c r="V696">
        <f>IF(orders[[#This Row],[Status]]="Delayed",1,0)</f>
        <v>0</v>
      </c>
      <c r="W696">
        <f>IF(orders[[#This Row],[Status]]="Cancelled",1,0)</f>
        <v>0</v>
      </c>
    </row>
    <row r="697" spans="1:23" x14ac:dyDescent="0.35">
      <c r="A697" t="s">
        <v>1049</v>
      </c>
      <c r="B697" s="1">
        <v>45835</v>
      </c>
      <c r="C697" t="s">
        <v>1050</v>
      </c>
      <c r="D697" t="s">
        <v>21</v>
      </c>
      <c r="E697" t="s">
        <v>113</v>
      </c>
      <c r="F697" t="s">
        <v>72</v>
      </c>
      <c r="G697" t="s">
        <v>104</v>
      </c>
      <c r="H697" s="7">
        <v>5</v>
      </c>
      <c r="I697" s="4">
        <v>11716.45</v>
      </c>
      <c r="J697" s="23">
        <v>0.1</v>
      </c>
      <c r="K697" s="4">
        <v>10544.8</v>
      </c>
      <c r="L697" s="4">
        <v>7582.02</v>
      </c>
      <c r="M697" s="4">
        <v>2962.78</v>
      </c>
      <c r="N697" t="s">
        <v>85</v>
      </c>
      <c r="O697" s="7">
        <v>60</v>
      </c>
      <c r="P697" s="2">
        <v>45837.5</v>
      </c>
      <c r="Q697" t="s">
        <v>99</v>
      </c>
      <c r="R697">
        <v>6</v>
      </c>
      <c r="S697" t="s">
        <v>27</v>
      </c>
      <c r="T697">
        <f>IF(orders[[#This Row],[Status]]="Completed",1,0)</f>
        <v>0</v>
      </c>
      <c r="U697">
        <f>IF(orders[[#This Row],[Status]]="Pending",1,0)</f>
        <v>0</v>
      </c>
      <c r="V697">
        <f>IF(orders[[#This Row],[Status]]="Delayed",1,0)</f>
        <v>1</v>
      </c>
      <c r="W697">
        <f>IF(orders[[#This Row],[Status]]="Cancelled",1,0)</f>
        <v>0</v>
      </c>
    </row>
    <row r="698" spans="1:23" x14ac:dyDescent="0.35">
      <c r="A698" t="s">
        <v>1051</v>
      </c>
      <c r="B698" s="1">
        <v>45685</v>
      </c>
      <c r="C698" t="s">
        <v>472</v>
      </c>
      <c r="D698" t="s">
        <v>38</v>
      </c>
      <c r="E698" t="s">
        <v>22</v>
      </c>
      <c r="F698" t="s">
        <v>23</v>
      </c>
      <c r="G698" t="s">
        <v>69</v>
      </c>
      <c r="H698" s="7">
        <v>2</v>
      </c>
      <c r="I698" s="4">
        <v>13113.56</v>
      </c>
      <c r="J698" s="23">
        <v>0.15</v>
      </c>
      <c r="K698" s="4">
        <v>11146.53</v>
      </c>
      <c r="L698" s="4">
        <v>7617.99</v>
      </c>
      <c r="M698" s="4">
        <v>3528.54</v>
      </c>
      <c r="N698" t="s">
        <v>85</v>
      </c>
      <c r="O698" s="7">
        <v>95</v>
      </c>
      <c r="P698" s="2">
        <v>45688.958333333336</v>
      </c>
      <c r="Q698" t="s">
        <v>65</v>
      </c>
      <c r="R698">
        <v>1</v>
      </c>
      <c r="S698" t="s">
        <v>55</v>
      </c>
      <c r="T698">
        <f>IF(orders[[#This Row],[Status]]="Completed",1,0)</f>
        <v>0</v>
      </c>
      <c r="U698">
        <f>IF(orders[[#This Row],[Status]]="Pending",1,0)</f>
        <v>0</v>
      </c>
      <c r="V698">
        <f>IF(orders[[#This Row],[Status]]="Delayed",1,0)</f>
        <v>1</v>
      </c>
      <c r="W698">
        <f>IF(orders[[#This Row],[Status]]="Cancelled",1,0)</f>
        <v>0</v>
      </c>
    </row>
    <row r="699" spans="1:23" x14ac:dyDescent="0.35">
      <c r="A699" t="s">
        <v>1052</v>
      </c>
      <c r="B699" s="1">
        <v>45877</v>
      </c>
      <c r="C699" t="s">
        <v>853</v>
      </c>
      <c r="D699" t="s">
        <v>21</v>
      </c>
      <c r="E699" t="s">
        <v>78</v>
      </c>
      <c r="F699" t="s">
        <v>72</v>
      </c>
      <c r="G699" t="s">
        <v>146</v>
      </c>
      <c r="H699" s="7">
        <v>4</v>
      </c>
      <c r="I699" s="4">
        <v>31550.639999999999</v>
      </c>
      <c r="J699" s="23">
        <v>0.05</v>
      </c>
      <c r="K699" s="4">
        <v>29973.11</v>
      </c>
      <c r="L699" s="4">
        <v>18087.25</v>
      </c>
      <c r="M699" s="4">
        <v>11885.86</v>
      </c>
      <c r="N699" t="s">
        <v>25</v>
      </c>
      <c r="O699" s="7">
        <v>4</v>
      </c>
      <c r="P699" s="2">
        <v>45877.166666666664</v>
      </c>
      <c r="Q699" t="s">
        <v>80</v>
      </c>
      <c r="R699">
        <v>8</v>
      </c>
      <c r="S699" t="s">
        <v>42</v>
      </c>
      <c r="T699">
        <f>IF(orders[[#This Row],[Status]]="Completed",1,0)</f>
        <v>1</v>
      </c>
      <c r="U699">
        <f>IF(orders[[#This Row],[Status]]="Pending",1,0)</f>
        <v>0</v>
      </c>
      <c r="V699">
        <f>IF(orders[[#This Row],[Status]]="Delayed",1,0)</f>
        <v>0</v>
      </c>
      <c r="W699">
        <f>IF(orders[[#This Row],[Status]]="Cancelled",1,0)</f>
        <v>0</v>
      </c>
    </row>
    <row r="700" spans="1:23" x14ac:dyDescent="0.35">
      <c r="A700" t="s">
        <v>1053</v>
      </c>
      <c r="B700" s="1">
        <v>46014</v>
      </c>
      <c r="C700" t="s">
        <v>612</v>
      </c>
      <c r="D700" t="s">
        <v>149</v>
      </c>
      <c r="E700" t="s">
        <v>52</v>
      </c>
      <c r="F700" t="s">
        <v>83</v>
      </c>
      <c r="G700" t="s">
        <v>152</v>
      </c>
      <c r="H700" s="7">
        <v>5</v>
      </c>
      <c r="I700" s="4">
        <v>20944.099999999999</v>
      </c>
      <c r="J700" s="23">
        <v>0</v>
      </c>
      <c r="K700" s="4">
        <v>20944.099999999999</v>
      </c>
      <c r="L700" s="4">
        <v>16363</v>
      </c>
      <c r="M700" s="4">
        <v>4581.1000000000004</v>
      </c>
      <c r="N700" t="s">
        <v>98</v>
      </c>
      <c r="O700" s="7">
        <v>9</v>
      </c>
      <c r="P700" s="2">
        <v>46014.375</v>
      </c>
      <c r="Q700" t="s">
        <v>34</v>
      </c>
      <c r="R700">
        <v>12</v>
      </c>
      <c r="S700" t="s">
        <v>35</v>
      </c>
      <c r="T700">
        <f>IF(orders[[#This Row],[Status]]="Completed",1,0)</f>
        <v>0</v>
      </c>
      <c r="U700">
        <f>IF(orders[[#This Row],[Status]]="Pending",1,0)</f>
        <v>1</v>
      </c>
      <c r="V700">
        <f>IF(orders[[#This Row],[Status]]="Delayed",1,0)</f>
        <v>0</v>
      </c>
      <c r="W700">
        <f>IF(orders[[#This Row],[Status]]="Cancelled",1,0)</f>
        <v>0</v>
      </c>
    </row>
    <row r="701" spans="1:23" x14ac:dyDescent="0.35">
      <c r="A701" t="s">
        <v>1054</v>
      </c>
      <c r="B701" s="1">
        <v>45698</v>
      </c>
      <c r="C701" t="s">
        <v>390</v>
      </c>
      <c r="D701" t="s">
        <v>51</v>
      </c>
      <c r="E701" t="s">
        <v>22</v>
      </c>
      <c r="F701" t="s">
        <v>32</v>
      </c>
      <c r="G701" t="s">
        <v>33</v>
      </c>
      <c r="H701" s="7">
        <v>6</v>
      </c>
      <c r="I701" s="4">
        <v>16709.22</v>
      </c>
      <c r="J701" s="23">
        <v>0.1</v>
      </c>
      <c r="K701" s="4">
        <v>15038.3</v>
      </c>
      <c r="L701" s="4">
        <v>12870.47</v>
      </c>
      <c r="M701" s="4">
        <v>2167.83</v>
      </c>
      <c r="N701" t="s">
        <v>98</v>
      </c>
      <c r="O701" s="7">
        <v>16</v>
      </c>
      <c r="P701" s="2">
        <v>45698.666666666664</v>
      </c>
      <c r="Q701" t="s">
        <v>139</v>
      </c>
      <c r="R701">
        <v>2</v>
      </c>
      <c r="S701" t="s">
        <v>55</v>
      </c>
      <c r="T701">
        <f>IF(orders[[#This Row],[Status]]="Completed",1,0)</f>
        <v>0</v>
      </c>
      <c r="U701">
        <f>IF(orders[[#This Row],[Status]]="Pending",1,0)</f>
        <v>1</v>
      </c>
      <c r="V701">
        <f>IF(orders[[#This Row],[Status]]="Delayed",1,0)</f>
        <v>0</v>
      </c>
      <c r="W701">
        <f>IF(orders[[#This Row],[Status]]="Cancelled",1,0)</f>
        <v>0</v>
      </c>
    </row>
    <row r="702" spans="1:23" x14ac:dyDescent="0.35">
      <c r="A702" t="s">
        <v>1055</v>
      </c>
      <c r="B702" s="1">
        <v>45885</v>
      </c>
      <c r="C702" t="s">
        <v>565</v>
      </c>
      <c r="D702" t="s">
        <v>30</v>
      </c>
      <c r="E702" t="s">
        <v>22</v>
      </c>
      <c r="F702" t="s">
        <v>23</v>
      </c>
      <c r="G702" t="s">
        <v>122</v>
      </c>
      <c r="H702" s="7">
        <v>6</v>
      </c>
      <c r="I702" s="4">
        <v>40426.14</v>
      </c>
      <c r="J702" s="23">
        <v>0</v>
      </c>
      <c r="K702" s="4">
        <v>40426.14</v>
      </c>
      <c r="L702" s="4">
        <v>27242.15</v>
      </c>
      <c r="M702" s="4">
        <v>13183.99</v>
      </c>
      <c r="N702" t="s">
        <v>25</v>
      </c>
      <c r="O702" s="7">
        <v>19</v>
      </c>
      <c r="P702" s="2">
        <v>45885.791666666664</v>
      </c>
      <c r="Q702" t="s">
        <v>80</v>
      </c>
      <c r="R702">
        <v>8</v>
      </c>
      <c r="S702" t="s">
        <v>42</v>
      </c>
      <c r="T702">
        <f>IF(orders[[#This Row],[Status]]="Completed",1,0)</f>
        <v>1</v>
      </c>
      <c r="U702">
        <f>IF(orders[[#This Row],[Status]]="Pending",1,0)</f>
        <v>0</v>
      </c>
      <c r="V702">
        <f>IF(orders[[#This Row],[Status]]="Delayed",1,0)</f>
        <v>0</v>
      </c>
      <c r="W702">
        <f>IF(orders[[#This Row],[Status]]="Cancelled",1,0)</f>
        <v>0</v>
      </c>
    </row>
    <row r="703" spans="1:23" x14ac:dyDescent="0.35">
      <c r="A703" t="s">
        <v>1056</v>
      </c>
      <c r="B703" s="1">
        <v>45849</v>
      </c>
      <c r="C703" t="s">
        <v>91</v>
      </c>
      <c r="D703" t="s">
        <v>21</v>
      </c>
      <c r="E703" t="s">
        <v>92</v>
      </c>
      <c r="F703" t="s">
        <v>72</v>
      </c>
      <c r="G703" t="s">
        <v>119</v>
      </c>
      <c r="H703" s="7">
        <v>2</v>
      </c>
      <c r="I703" s="4">
        <v>11685.82</v>
      </c>
      <c r="J703" s="23">
        <v>0</v>
      </c>
      <c r="K703" s="4">
        <v>11685.82</v>
      </c>
      <c r="L703" s="4">
        <v>7358.83</v>
      </c>
      <c r="M703" s="4">
        <v>4326.99</v>
      </c>
      <c r="N703" t="s">
        <v>25</v>
      </c>
      <c r="O703" s="7">
        <v>41</v>
      </c>
      <c r="P703" s="2">
        <v>45850.708333333336</v>
      </c>
      <c r="Q703" t="s">
        <v>60</v>
      </c>
      <c r="R703">
        <v>7</v>
      </c>
      <c r="S703" t="s">
        <v>42</v>
      </c>
      <c r="T703">
        <f>IF(orders[[#This Row],[Status]]="Completed",1,0)</f>
        <v>1</v>
      </c>
      <c r="U703">
        <f>IF(orders[[#This Row],[Status]]="Pending",1,0)</f>
        <v>0</v>
      </c>
      <c r="V703">
        <f>IF(orders[[#This Row],[Status]]="Delayed",1,0)</f>
        <v>0</v>
      </c>
      <c r="W703">
        <f>IF(orders[[#This Row],[Status]]="Cancelled",1,0)</f>
        <v>0</v>
      </c>
    </row>
    <row r="704" spans="1:23" x14ac:dyDescent="0.35">
      <c r="A704" t="s">
        <v>1057</v>
      </c>
      <c r="B704" s="1">
        <v>45802</v>
      </c>
      <c r="C704" t="s">
        <v>623</v>
      </c>
      <c r="D704" t="s">
        <v>38</v>
      </c>
      <c r="E704" t="s">
        <v>92</v>
      </c>
      <c r="F704" t="s">
        <v>39</v>
      </c>
      <c r="G704" t="s">
        <v>40</v>
      </c>
      <c r="H704" s="7">
        <v>5</v>
      </c>
      <c r="I704" s="4">
        <v>37855.4</v>
      </c>
      <c r="J704" s="23">
        <v>0.05</v>
      </c>
      <c r="K704" s="4">
        <v>35962.629999999997</v>
      </c>
      <c r="L704" s="4">
        <v>26364.42</v>
      </c>
      <c r="M704" s="4">
        <v>9598.2099999999991</v>
      </c>
      <c r="N704" t="s">
        <v>25</v>
      </c>
      <c r="O704" s="7">
        <v>13</v>
      </c>
      <c r="P704" s="2">
        <v>45802.541666666664</v>
      </c>
      <c r="Q704" t="s">
        <v>74</v>
      </c>
      <c r="R704">
        <v>5</v>
      </c>
      <c r="S704" t="s">
        <v>27</v>
      </c>
      <c r="T704">
        <f>IF(orders[[#This Row],[Status]]="Completed",1,0)</f>
        <v>1</v>
      </c>
      <c r="U704">
        <f>IF(orders[[#This Row],[Status]]="Pending",1,0)</f>
        <v>0</v>
      </c>
      <c r="V704">
        <f>IF(orders[[#This Row],[Status]]="Delayed",1,0)</f>
        <v>0</v>
      </c>
      <c r="W704">
        <f>IF(orders[[#This Row],[Status]]="Cancelled",1,0)</f>
        <v>0</v>
      </c>
    </row>
    <row r="705" spans="1:23" x14ac:dyDescent="0.35">
      <c r="A705" t="s">
        <v>1058</v>
      </c>
      <c r="B705" s="1">
        <v>45858</v>
      </c>
      <c r="C705" t="s">
        <v>324</v>
      </c>
      <c r="D705" t="s">
        <v>45</v>
      </c>
      <c r="E705" t="s">
        <v>46</v>
      </c>
      <c r="F705" t="s">
        <v>32</v>
      </c>
      <c r="G705" t="s">
        <v>53</v>
      </c>
      <c r="H705" s="7">
        <v>6</v>
      </c>
      <c r="I705" s="4">
        <v>35594.94</v>
      </c>
      <c r="J705" s="23">
        <v>0.05</v>
      </c>
      <c r="K705" s="4">
        <v>33815.19</v>
      </c>
      <c r="L705" s="4">
        <v>27483</v>
      </c>
      <c r="M705" s="4">
        <v>6332.19</v>
      </c>
      <c r="N705" t="s">
        <v>25</v>
      </c>
      <c r="O705" s="7">
        <v>45</v>
      </c>
      <c r="P705" s="2">
        <v>45859.875</v>
      </c>
      <c r="Q705" t="s">
        <v>60</v>
      </c>
      <c r="R705">
        <v>7</v>
      </c>
      <c r="S705" t="s">
        <v>42</v>
      </c>
      <c r="T705">
        <f>IF(orders[[#This Row],[Status]]="Completed",1,0)</f>
        <v>1</v>
      </c>
      <c r="U705">
        <f>IF(orders[[#This Row],[Status]]="Pending",1,0)</f>
        <v>0</v>
      </c>
      <c r="V705">
        <f>IF(orders[[#This Row],[Status]]="Delayed",1,0)</f>
        <v>0</v>
      </c>
      <c r="W705">
        <f>IF(orders[[#This Row],[Status]]="Cancelled",1,0)</f>
        <v>0</v>
      </c>
    </row>
    <row r="706" spans="1:23" x14ac:dyDescent="0.35">
      <c r="A706" t="s">
        <v>1059</v>
      </c>
      <c r="B706" s="1">
        <v>45869</v>
      </c>
      <c r="C706" t="s">
        <v>203</v>
      </c>
      <c r="D706" t="s">
        <v>68</v>
      </c>
      <c r="E706" t="s">
        <v>31</v>
      </c>
      <c r="F706" t="s">
        <v>83</v>
      </c>
      <c r="G706" t="s">
        <v>152</v>
      </c>
      <c r="H706" s="7">
        <v>5</v>
      </c>
      <c r="I706" s="4">
        <v>10917.3</v>
      </c>
      <c r="J706" s="23">
        <v>0.05</v>
      </c>
      <c r="K706" s="4">
        <v>10371.44</v>
      </c>
      <c r="L706" s="4">
        <v>5717.19</v>
      </c>
      <c r="M706" s="4">
        <v>4654.25</v>
      </c>
      <c r="N706" t="s">
        <v>25</v>
      </c>
      <c r="O706" s="7">
        <v>40</v>
      </c>
      <c r="P706" s="2">
        <v>45870.666666666664</v>
      </c>
      <c r="Q706" t="s">
        <v>60</v>
      </c>
      <c r="R706">
        <v>7</v>
      </c>
      <c r="S706" t="s">
        <v>42</v>
      </c>
      <c r="T706">
        <f>IF(orders[[#This Row],[Status]]="Completed",1,0)</f>
        <v>1</v>
      </c>
      <c r="U706">
        <f>IF(orders[[#This Row],[Status]]="Pending",1,0)</f>
        <v>0</v>
      </c>
      <c r="V706">
        <f>IF(orders[[#This Row],[Status]]="Delayed",1,0)</f>
        <v>0</v>
      </c>
      <c r="W706">
        <f>IF(orders[[#This Row],[Status]]="Cancelled",1,0)</f>
        <v>0</v>
      </c>
    </row>
    <row r="707" spans="1:23" x14ac:dyDescent="0.35">
      <c r="A707" t="s">
        <v>1060</v>
      </c>
      <c r="B707" s="1">
        <v>45877</v>
      </c>
      <c r="C707" t="s">
        <v>647</v>
      </c>
      <c r="D707" t="s">
        <v>149</v>
      </c>
      <c r="E707" t="s">
        <v>59</v>
      </c>
      <c r="F707" t="s">
        <v>72</v>
      </c>
      <c r="G707" t="s">
        <v>119</v>
      </c>
      <c r="H707" s="7">
        <v>4</v>
      </c>
      <c r="I707" s="4">
        <v>31717.4</v>
      </c>
      <c r="J707" s="23">
        <v>0.1</v>
      </c>
      <c r="K707" s="4">
        <v>28545.66</v>
      </c>
      <c r="L707" s="4">
        <v>21647.73</v>
      </c>
      <c r="M707" s="4">
        <v>6897.93</v>
      </c>
      <c r="N707" t="s">
        <v>98</v>
      </c>
      <c r="O707" s="7">
        <v>11</v>
      </c>
      <c r="P707" s="2">
        <v>45877.458333333336</v>
      </c>
      <c r="Q707" t="s">
        <v>80</v>
      </c>
      <c r="R707">
        <v>8</v>
      </c>
      <c r="S707" t="s">
        <v>42</v>
      </c>
      <c r="T707">
        <f>IF(orders[[#This Row],[Status]]="Completed",1,0)</f>
        <v>0</v>
      </c>
      <c r="U707">
        <f>IF(orders[[#This Row],[Status]]="Pending",1,0)</f>
        <v>1</v>
      </c>
      <c r="V707">
        <f>IF(orders[[#This Row],[Status]]="Delayed",1,0)</f>
        <v>0</v>
      </c>
      <c r="W707">
        <f>IF(orders[[#This Row],[Status]]="Cancelled",1,0)</f>
        <v>0</v>
      </c>
    </row>
    <row r="708" spans="1:23" x14ac:dyDescent="0.35">
      <c r="A708" t="s">
        <v>1061</v>
      </c>
      <c r="B708" s="1">
        <v>45897</v>
      </c>
      <c r="C708" t="s">
        <v>1022</v>
      </c>
      <c r="D708" t="s">
        <v>77</v>
      </c>
      <c r="E708" t="s">
        <v>52</v>
      </c>
      <c r="F708" t="s">
        <v>83</v>
      </c>
      <c r="G708" t="s">
        <v>152</v>
      </c>
      <c r="H708" s="7">
        <v>2</v>
      </c>
      <c r="I708" s="4">
        <v>2050.7600000000002</v>
      </c>
      <c r="J708" s="23">
        <v>0</v>
      </c>
      <c r="K708" s="4">
        <v>2050.7600000000002</v>
      </c>
      <c r="L708" s="4">
        <v>1531.61</v>
      </c>
      <c r="M708" s="4">
        <v>519.15</v>
      </c>
      <c r="N708" t="s">
        <v>25</v>
      </c>
      <c r="O708" s="7">
        <v>31</v>
      </c>
      <c r="P708" s="2">
        <v>45898.291666666664</v>
      </c>
      <c r="Q708" t="s">
        <v>80</v>
      </c>
      <c r="R708">
        <v>8</v>
      </c>
      <c r="S708" t="s">
        <v>42</v>
      </c>
      <c r="T708">
        <f>IF(orders[[#This Row],[Status]]="Completed",1,0)</f>
        <v>1</v>
      </c>
      <c r="U708">
        <f>IF(orders[[#This Row],[Status]]="Pending",1,0)</f>
        <v>0</v>
      </c>
      <c r="V708">
        <f>IF(orders[[#This Row],[Status]]="Delayed",1,0)</f>
        <v>0</v>
      </c>
      <c r="W708">
        <f>IF(orders[[#This Row],[Status]]="Cancelled",1,0)</f>
        <v>0</v>
      </c>
    </row>
    <row r="709" spans="1:23" x14ac:dyDescent="0.35">
      <c r="A709" t="s">
        <v>1062</v>
      </c>
      <c r="B709" s="1">
        <v>45703</v>
      </c>
      <c r="C709" t="s">
        <v>1063</v>
      </c>
      <c r="D709" t="s">
        <v>45</v>
      </c>
      <c r="E709" t="s">
        <v>59</v>
      </c>
      <c r="F709" t="s">
        <v>83</v>
      </c>
      <c r="G709" t="s">
        <v>155</v>
      </c>
      <c r="H709" s="7">
        <v>6</v>
      </c>
      <c r="I709" s="4">
        <v>14323.92</v>
      </c>
      <c r="J709" s="23">
        <v>0</v>
      </c>
      <c r="K709" s="4">
        <v>14323.92</v>
      </c>
      <c r="L709" s="4">
        <v>9382.0300000000007</v>
      </c>
      <c r="M709" s="4">
        <v>4941.8900000000003</v>
      </c>
      <c r="N709" t="s">
        <v>25</v>
      </c>
      <c r="O709" s="7">
        <v>15</v>
      </c>
      <c r="P709" s="2">
        <v>45703.625</v>
      </c>
      <c r="Q709" t="s">
        <v>139</v>
      </c>
      <c r="R709">
        <v>2</v>
      </c>
      <c r="S709" t="s">
        <v>55</v>
      </c>
      <c r="T709">
        <f>IF(orders[[#This Row],[Status]]="Completed",1,0)</f>
        <v>1</v>
      </c>
      <c r="U709">
        <f>IF(orders[[#This Row],[Status]]="Pending",1,0)</f>
        <v>0</v>
      </c>
      <c r="V709">
        <f>IF(orders[[#This Row],[Status]]="Delayed",1,0)</f>
        <v>0</v>
      </c>
      <c r="W709">
        <f>IF(orders[[#This Row],[Status]]="Cancelled",1,0)</f>
        <v>0</v>
      </c>
    </row>
    <row r="710" spans="1:23" x14ac:dyDescent="0.35">
      <c r="A710" t="s">
        <v>1064</v>
      </c>
      <c r="B710" s="1">
        <v>45692</v>
      </c>
      <c r="C710" t="s">
        <v>231</v>
      </c>
      <c r="D710" t="s">
        <v>58</v>
      </c>
      <c r="E710" t="s">
        <v>59</v>
      </c>
      <c r="F710" t="s">
        <v>23</v>
      </c>
      <c r="G710" t="s">
        <v>122</v>
      </c>
      <c r="H710" s="7">
        <v>7</v>
      </c>
      <c r="I710" s="4">
        <v>31455.34</v>
      </c>
      <c r="J710" s="23">
        <v>0.1</v>
      </c>
      <c r="K710" s="4">
        <v>28309.81</v>
      </c>
      <c r="L710" s="4">
        <v>19787.7</v>
      </c>
      <c r="M710" s="4">
        <v>8522.11</v>
      </c>
      <c r="N710" t="s">
        <v>25</v>
      </c>
      <c r="O710" s="7">
        <v>23</v>
      </c>
      <c r="P710" s="2">
        <v>45692.958333333336</v>
      </c>
      <c r="Q710" t="s">
        <v>139</v>
      </c>
      <c r="R710">
        <v>2</v>
      </c>
      <c r="S710" t="s">
        <v>55</v>
      </c>
      <c r="T710">
        <f>IF(orders[[#This Row],[Status]]="Completed",1,0)</f>
        <v>1</v>
      </c>
      <c r="U710">
        <f>IF(orders[[#This Row],[Status]]="Pending",1,0)</f>
        <v>0</v>
      </c>
      <c r="V710">
        <f>IF(orders[[#This Row],[Status]]="Delayed",1,0)</f>
        <v>0</v>
      </c>
      <c r="W710">
        <f>IF(orders[[#This Row],[Status]]="Cancelled",1,0)</f>
        <v>0</v>
      </c>
    </row>
    <row r="711" spans="1:23" x14ac:dyDescent="0.35">
      <c r="A711" t="s">
        <v>1065</v>
      </c>
      <c r="B711" s="1">
        <v>45910</v>
      </c>
      <c r="C711" t="s">
        <v>789</v>
      </c>
      <c r="D711" t="s">
        <v>63</v>
      </c>
      <c r="E711" t="s">
        <v>22</v>
      </c>
      <c r="F711" t="s">
        <v>23</v>
      </c>
      <c r="G711" t="s">
        <v>110</v>
      </c>
      <c r="H711" s="7">
        <v>4</v>
      </c>
      <c r="I711" s="4">
        <v>19495.8</v>
      </c>
      <c r="J711" s="23">
        <v>0</v>
      </c>
      <c r="K711" s="4">
        <v>19495.8</v>
      </c>
      <c r="L711" s="4">
        <v>12311.56</v>
      </c>
      <c r="M711" s="4">
        <v>7184.24</v>
      </c>
      <c r="N711" t="s">
        <v>85</v>
      </c>
      <c r="O711" s="7">
        <v>90</v>
      </c>
      <c r="P711" s="2">
        <v>45913.75</v>
      </c>
      <c r="Q711" t="s">
        <v>41</v>
      </c>
      <c r="R711">
        <v>9</v>
      </c>
      <c r="S711" t="s">
        <v>42</v>
      </c>
      <c r="T711">
        <f>IF(orders[[#This Row],[Status]]="Completed",1,0)</f>
        <v>0</v>
      </c>
      <c r="U711">
        <f>IF(orders[[#This Row],[Status]]="Pending",1,0)</f>
        <v>0</v>
      </c>
      <c r="V711">
        <f>IF(orders[[#This Row],[Status]]="Delayed",1,0)</f>
        <v>1</v>
      </c>
      <c r="W711">
        <f>IF(orders[[#This Row],[Status]]="Cancelled",1,0)</f>
        <v>0</v>
      </c>
    </row>
    <row r="712" spans="1:23" x14ac:dyDescent="0.35">
      <c r="A712" t="s">
        <v>1066</v>
      </c>
      <c r="B712" s="1">
        <v>45739</v>
      </c>
      <c r="C712" t="s">
        <v>483</v>
      </c>
      <c r="D712" t="s">
        <v>38</v>
      </c>
      <c r="E712" t="s">
        <v>78</v>
      </c>
      <c r="F712" t="s">
        <v>72</v>
      </c>
      <c r="G712" t="s">
        <v>129</v>
      </c>
      <c r="H712" s="7">
        <v>7</v>
      </c>
      <c r="I712" s="4">
        <v>1944.88</v>
      </c>
      <c r="J712" s="23">
        <v>0.1</v>
      </c>
      <c r="K712" s="4">
        <v>1750.39</v>
      </c>
      <c r="L712" s="4">
        <v>1418.98</v>
      </c>
      <c r="M712" s="4">
        <v>331.41</v>
      </c>
      <c r="N712" t="s">
        <v>85</v>
      </c>
      <c r="O712" s="7">
        <v>53</v>
      </c>
      <c r="P712" s="2">
        <v>45741.208333333336</v>
      </c>
      <c r="Q712" t="s">
        <v>54</v>
      </c>
      <c r="R712">
        <v>3</v>
      </c>
      <c r="S712" t="s">
        <v>55</v>
      </c>
      <c r="T712">
        <f>IF(orders[[#This Row],[Status]]="Completed",1,0)</f>
        <v>0</v>
      </c>
      <c r="U712">
        <f>IF(orders[[#This Row],[Status]]="Pending",1,0)</f>
        <v>0</v>
      </c>
      <c r="V712">
        <f>IF(orders[[#This Row],[Status]]="Delayed",1,0)</f>
        <v>1</v>
      </c>
      <c r="W712">
        <f>IF(orders[[#This Row],[Status]]="Cancelled",1,0)</f>
        <v>0</v>
      </c>
    </row>
    <row r="713" spans="1:23" x14ac:dyDescent="0.35">
      <c r="A713" t="s">
        <v>1067</v>
      </c>
      <c r="B713" s="1">
        <v>45913</v>
      </c>
      <c r="C713" t="s">
        <v>29</v>
      </c>
      <c r="D713" t="s">
        <v>77</v>
      </c>
      <c r="E713" t="s">
        <v>46</v>
      </c>
      <c r="F713" t="s">
        <v>39</v>
      </c>
      <c r="G713" t="s">
        <v>114</v>
      </c>
      <c r="H713" s="7">
        <v>7</v>
      </c>
      <c r="I713" s="4">
        <v>46674.46</v>
      </c>
      <c r="J713" s="23">
        <v>0</v>
      </c>
      <c r="K713" s="4">
        <v>46674.46</v>
      </c>
      <c r="L713" s="4">
        <v>35444.42</v>
      </c>
      <c r="M713" s="4">
        <v>11230.04</v>
      </c>
      <c r="N713" t="s">
        <v>25</v>
      </c>
      <c r="O713" s="7">
        <v>32</v>
      </c>
      <c r="P713" s="2">
        <v>45914.333333333336</v>
      </c>
      <c r="Q713" t="s">
        <v>41</v>
      </c>
      <c r="R713">
        <v>9</v>
      </c>
      <c r="S713" t="s">
        <v>42</v>
      </c>
      <c r="T713">
        <f>IF(orders[[#This Row],[Status]]="Completed",1,0)</f>
        <v>1</v>
      </c>
      <c r="U713">
        <f>IF(orders[[#This Row],[Status]]="Pending",1,0)</f>
        <v>0</v>
      </c>
      <c r="V713">
        <f>IF(orders[[#This Row],[Status]]="Delayed",1,0)</f>
        <v>0</v>
      </c>
      <c r="W713">
        <f>IF(orders[[#This Row],[Status]]="Cancelled",1,0)</f>
        <v>0</v>
      </c>
    </row>
    <row r="714" spans="1:23" x14ac:dyDescent="0.35">
      <c r="A714" t="s">
        <v>1068</v>
      </c>
      <c r="B714" s="1">
        <v>45854</v>
      </c>
      <c r="C714" t="s">
        <v>88</v>
      </c>
      <c r="D714" t="s">
        <v>63</v>
      </c>
      <c r="E714" t="s">
        <v>113</v>
      </c>
      <c r="F714" t="s">
        <v>72</v>
      </c>
      <c r="G714" t="s">
        <v>146</v>
      </c>
      <c r="H714" s="7">
        <v>1</v>
      </c>
      <c r="I714" s="4">
        <v>3169.42</v>
      </c>
      <c r="J714" s="23">
        <v>0.05</v>
      </c>
      <c r="K714" s="4">
        <v>3010.95</v>
      </c>
      <c r="L714" s="4">
        <v>2185.33</v>
      </c>
      <c r="M714" s="4">
        <v>825.62</v>
      </c>
      <c r="N714" t="s">
        <v>25</v>
      </c>
      <c r="O714" s="7">
        <v>15</v>
      </c>
      <c r="P714" s="2">
        <v>45854.625</v>
      </c>
      <c r="Q714" t="s">
        <v>60</v>
      </c>
      <c r="R714">
        <v>7</v>
      </c>
      <c r="S714" t="s">
        <v>42</v>
      </c>
      <c r="T714">
        <f>IF(orders[[#This Row],[Status]]="Completed",1,0)</f>
        <v>1</v>
      </c>
      <c r="U714">
        <f>IF(orders[[#This Row],[Status]]="Pending",1,0)</f>
        <v>0</v>
      </c>
      <c r="V714">
        <f>IF(orders[[#This Row],[Status]]="Delayed",1,0)</f>
        <v>0</v>
      </c>
      <c r="W714">
        <f>IF(orders[[#This Row],[Status]]="Cancelled",1,0)</f>
        <v>0</v>
      </c>
    </row>
    <row r="715" spans="1:23" x14ac:dyDescent="0.35">
      <c r="A715" t="s">
        <v>1069</v>
      </c>
      <c r="B715" s="1">
        <v>45960</v>
      </c>
      <c r="C715" t="s">
        <v>290</v>
      </c>
      <c r="D715" t="s">
        <v>38</v>
      </c>
      <c r="E715" t="s">
        <v>78</v>
      </c>
      <c r="F715" t="s">
        <v>39</v>
      </c>
      <c r="G715" t="s">
        <v>40</v>
      </c>
      <c r="H715" s="7">
        <v>1</v>
      </c>
      <c r="I715" s="4">
        <v>3543.59</v>
      </c>
      <c r="J715" s="23">
        <v>0</v>
      </c>
      <c r="K715" s="4">
        <v>3543.59</v>
      </c>
      <c r="L715" s="4">
        <v>2407.9899999999998</v>
      </c>
      <c r="M715" s="4">
        <v>1135.5999999999999</v>
      </c>
      <c r="N715" t="s">
        <v>48</v>
      </c>
      <c r="O715" s="7">
        <v>24</v>
      </c>
      <c r="P715" s="2">
        <v>45961</v>
      </c>
      <c r="Q715" t="s">
        <v>116</v>
      </c>
      <c r="R715">
        <v>10</v>
      </c>
      <c r="S715" t="s">
        <v>35</v>
      </c>
      <c r="T715">
        <f>IF(orders[[#This Row],[Status]]="Completed",1,0)</f>
        <v>0</v>
      </c>
      <c r="U715">
        <f>IF(orders[[#This Row],[Status]]="Pending",1,0)</f>
        <v>0</v>
      </c>
      <c r="V715">
        <f>IF(orders[[#This Row],[Status]]="Delayed",1,0)</f>
        <v>0</v>
      </c>
      <c r="W715">
        <f>IF(orders[[#This Row],[Status]]="Cancelled",1,0)</f>
        <v>1</v>
      </c>
    </row>
    <row r="716" spans="1:23" x14ac:dyDescent="0.35">
      <c r="A716" t="s">
        <v>1070</v>
      </c>
      <c r="B716" s="1">
        <v>45667</v>
      </c>
      <c r="C716" t="s">
        <v>681</v>
      </c>
      <c r="D716" t="s">
        <v>51</v>
      </c>
      <c r="E716" t="s">
        <v>78</v>
      </c>
      <c r="F716" t="s">
        <v>83</v>
      </c>
      <c r="G716" t="s">
        <v>182</v>
      </c>
      <c r="H716" s="7">
        <v>2</v>
      </c>
      <c r="I716" s="4">
        <v>13816.48</v>
      </c>
      <c r="J716" s="23">
        <v>0</v>
      </c>
      <c r="K716" s="4">
        <v>13816.48</v>
      </c>
      <c r="L716" s="4">
        <v>8927.61</v>
      </c>
      <c r="M716" s="4">
        <v>4888.87</v>
      </c>
      <c r="N716" t="s">
        <v>25</v>
      </c>
      <c r="O716" s="7">
        <v>47</v>
      </c>
      <c r="P716" s="2">
        <v>45668.958333333336</v>
      </c>
      <c r="Q716" t="s">
        <v>65</v>
      </c>
      <c r="R716">
        <v>1</v>
      </c>
      <c r="S716" t="s">
        <v>55</v>
      </c>
      <c r="T716">
        <f>IF(orders[[#This Row],[Status]]="Completed",1,0)</f>
        <v>1</v>
      </c>
      <c r="U716">
        <f>IF(orders[[#This Row],[Status]]="Pending",1,0)</f>
        <v>0</v>
      </c>
      <c r="V716">
        <f>IF(orders[[#This Row],[Status]]="Delayed",1,0)</f>
        <v>0</v>
      </c>
      <c r="W716">
        <f>IF(orders[[#This Row],[Status]]="Cancelled",1,0)</f>
        <v>0</v>
      </c>
    </row>
    <row r="717" spans="1:23" x14ac:dyDescent="0.35">
      <c r="A717" t="s">
        <v>1071</v>
      </c>
      <c r="B717" s="1">
        <v>45969</v>
      </c>
      <c r="C717" t="s">
        <v>698</v>
      </c>
      <c r="D717" t="s">
        <v>68</v>
      </c>
      <c r="E717" t="s">
        <v>113</v>
      </c>
      <c r="F717" t="s">
        <v>32</v>
      </c>
      <c r="G717" t="s">
        <v>79</v>
      </c>
      <c r="H717" s="7">
        <v>6</v>
      </c>
      <c r="I717" s="4">
        <v>19902.12</v>
      </c>
      <c r="J717" s="23">
        <v>0.1</v>
      </c>
      <c r="K717" s="4">
        <v>17911.91</v>
      </c>
      <c r="L717" s="4">
        <v>14714.69</v>
      </c>
      <c r="M717" s="4">
        <v>3197.22</v>
      </c>
      <c r="N717" t="s">
        <v>85</v>
      </c>
      <c r="O717" s="7">
        <v>60</v>
      </c>
      <c r="P717" s="2">
        <v>45971.5</v>
      </c>
      <c r="Q717" t="s">
        <v>86</v>
      </c>
      <c r="R717">
        <v>11</v>
      </c>
      <c r="S717" t="s">
        <v>35</v>
      </c>
      <c r="T717">
        <f>IF(orders[[#This Row],[Status]]="Completed",1,0)</f>
        <v>0</v>
      </c>
      <c r="U717">
        <f>IF(orders[[#This Row],[Status]]="Pending",1,0)</f>
        <v>0</v>
      </c>
      <c r="V717">
        <f>IF(orders[[#This Row],[Status]]="Delayed",1,0)</f>
        <v>1</v>
      </c>
      <c r="W717">
        <f>IF(orders[[#This Row],[Status]]="Cancelled",1,0)</f>
        <v>0</v>
      </c>
    </row>
    <row r="718" spans="1:23" x14ac:dyDescent="0.35">
      <c r="A718" t="s">
        <v>1072</v>
      </c>
      <c r="B718" s="1">
        <v>45943</v>
      </c>
      <c r="C718" t="s">
        <v>469</v>
      </c>
      <c r="D718" t="s">
        <v>45</v>
      </c>
      <c r="E718" t="s">
        <v>22</v>
      </c>
      <c r="F718" t="s">
        <v>72</v>
      </c>
      <c r="G718" t="s">
        <v>146</v>
      </c>
      <c r="H718" s="7">
        <v>6</v>
      </c>
      <c r="I718" s="4">
        <v>3265.98</v>
      </c>
      <c r="J718" s="23">
        <v>0.2</v>
      </c>
      <c r="K718" s="4">
        <v>2612.7800000000002</v>
      </c>
      <c r="L718" s="4">
        <v>1826.24</v>
      </c>
      <c r="M718" s="4">
        <v>786.54</v>
      </c>
      <c r="N718" t="s">
        <v>48</v>
      </c>
      <c r="O718" s="7">
        <v>16</v>
      </c>
      <c r="P718" s="2">
        <v>45943.666666666664</v>
      </c>
      <c r="Q718" t="s">
        <v>116</v>
      </c>
      <c r="R718">
        <v>10</v>
      </c>
      <c r="S718" t="s">
        <v>35</v>
      </c>
      <c r="T718">
        <f>IF(orders[[#This Row],[Status]]="Completed",1,0)</f>
        <v>0</v>
      </c>
      <c r="U718">
        <f>IF(orders[[#This Row],[Status]]="Pending",1,0)</f>
        <v>0</v>
      </c>
      <c r="V718">
        <f>IF(orders[[#This Row],[Status]]="Delayed",1,0)</f>
        <v>0</v>
      </c>
      <c r="W718">
        <f>IF(orders[[#This Row],[Status]]="Cancelled",1,0)</f>
        <v>1</v>
      </c>
    </row>
    <row r="719" spans="1:23" x14ac:dyDescent="0.35">
      <c r="A719" t="s">
        <v>1073</v>
      </c>
      <c r="B719" s="1">
        <v>45899</v>
      </c>
      <c r="C719" t="s">
        <v>1074</v>
      </c>
      <c r="D719" t="s">
        <v>30</v>
      </c>
      <c r="E719" t="s">
        <v>46</v>
      </c>
      <c r="F719" t="s">
        <v>72</v>
      </c>
      <c r="G719" t="s">
        <v>73</v>
      </c>
      <c r="H719" s="7">
        <v>6</v>
      </c>
      <c r="I719" s="4">
        <v>9739.6200000000008</v>
      </c>
      <c r="J719" s="23">
        <v>0</v>
      </c>
      <c r="K719" s="4">
        <v>9739.6200000000008</v>
      </c>
      <c r="L719" s="4">
        <v>6968.48</v>
      </c>
      <c r="M719" s="4">
        <v>2771.14</v>
      </c>
      <c r="N719" t="s">
        <v>25</v>
      </c>
      <c r="O719" s="7">
        <v>20</v>
      </c>
      <c r="P719" s="2">
        <v>45899.833333333336</v>
      </c>
      <c r="Q719" t="s">
        <v>80</v>
      </c>
      <c r="R719">
        <v>8</v>
      </c>
      <c r="S719" t="s">
        <v>42</v>
      </c>
      <c r="T719">
        <f>IF(orders[[#This Row],[Status]]="Completed",1,0)</f>
        <v>1</v>
      </c>
      <c r="U719">
        <f>IF(orders[[#This Row],[Status]]="Pending",1,0)</f>
        <v>0</v>
      </c>
      <c r="V719">
        <f>IF(orders[[#This Row],[Status]]="Delayed",1,0)</f>
        <v>0</v>
      </c>
      <c r="W719">
        <f>IF(orders[[#This Row],[Status]]="Cancelled",1,0)</f>
        <v>0</v>
      </c>
    </row>
    <row r="720" spans="1:23" x14ac:dyDescent="0.35">
      <c r="A720" t="s">
        <v>1075</v>
      </c>
      <c r="B720" s="1">
        <v>45908</v>
      </c>
      <c r="C720" t="s">
        <v>430</v>
      </c>
      <c r="D720" t="s">
        <v>38</v>
      </c>
      <c r="E720" t="s">
        <v>52</v>
      </c>
      <c r="F720" t="s">
        <v>39</v>
      </c>
      <c r="G720" t="s">
        <v>93</v>
      </c>
      <c r="H720" s="7">
        <v>5</v>
      </c>
      <c r="I720" s="4">
        <v>40658.949999999997</v>
      </c>
      <c r="J720" s="23">
        <v>0.05</v>
      </c>
      <c r="K720" s="4">
        <v>38626</v>
      </c>
      <c r="L720" s="4">
        <v>27883.09</v>
      </c>
      <c r="M720" s="4">
        <v>10742.91</v>
      </c>
      <c r="N720" t="s">
        <v>25</v>
      </c>
      <c r="O720" s="7">
        <v>13</v>
      </c>
      <c r="P720" s="2">
        <v>45908.541666666664</v>
      </c>
      <c r="Q720" t="s">
        <v>41</v>
      </c>
      <c r="R720">
        <v>9</v>
      </c>
      <c r="S720" t="s">
        <v>42</v>
      </c>
      <c r="T720">
        <f>IF(orders[[#This Row],[Status]]="Completed",1,0)</f>
        <v>1</v>
      </c>
      <c r="U720">
        <f>IF(orders[[#This Row],[Status]]="Pending",1,0)</f>
        <v>0</v>
      </c>
      <c r="V720">
        <f>IF(orders[[#This Row],[Status]]="Delayed",1,0)</f>
        <v>0</v>
      </c>
      <c r="W720">
        <f>IF(orders[[#This Row],[Status]]="Cancelled",1,0)</f>
        <v>0</v>
      </c>
    </row>
    <row r="721" spans="1:23" x14ac:dyDescent="0.35">
      <c r="A721" t="s">
        <v>1076</v>
      </c>
      <c r="B721" s="1">
        <v>46022</v>
      </c>
      <c r="C721" t="s">
        <v>154</v>
      </c>
      <c r="D721" t="s">
        <v>30</v>
      </c>
      <c r="E721" t="s">
        <v>59</v>
      </c>
      <c r="F721" t="s">
        <v>83</v>
      </c>
      <c r="G721" t="s">
        <v>107</v>
      </c>
      <c r="H721" s="7">
        <v>4</v>
      </c>
      <c r="I721" s="4">
        <v>2951.52</v>
      </c>
      <c r="J721" s="23">
        <v>0.15</v>
      </c>
      <c r="K721" s="4">
        <v>2508.79</v>
      </c>
      <c r="L721" s="4">
        <v>1751.04</v>
      </c>
      <c r="M721" s="4">
        <v>757.75</v>
      </c>
      <c r="N721" t="s">
        <v>25</v>
      </c>
      <c r="O721" s="7">
        <v>21</v>
      </c>
      <c r="P721" s="2">
        <v>46022.875</v>
      </c>
      <c r="Q721" t="s">
        <v>34</v>
      </c>
      <c r="R721">
        <v>12</v>
      </c>
      <c r="S721" t="s">
        <v>35</v>
      </c>
      <c r="T721">
        <f>IF(orders[[#This Row],[Status]]="Completed",1,0)</f>
        <v>1</v>
      </c>
      <c r="U721">
        <f>IF(orders[[#This Row],[Status]]="Pending",1,0)</f>
        <v>0</v>
      </c>
      <c r="V721">
        <f>IF(orders[[#This Row],[Status]]="Delayed",1,0)</f>
        <v>0</v>
      </c>
      <c r="W721">
        <f>IF(orders[[#This Row],[Status]]="Cancelled",1,0)</f>
        <v>0</v>
      </c>
    </row>
    <row r="722" spans="1:23" x14ac:dyDescent="0.35">
      <c r="A722" t="s">
        <v>1077</v>
      </c>
      <c r="B722" s="1">
        <v>45662</v>
      </c>
      <c r="C722" t="s">
        <v>29</v>
      </c>
      <c r="D722" t="s">
        <v>68</v>
      </c>
      <c r="E722" t="s">
        <v>31</v>
      </c>
      <c r="F722" t="s">
        <v>83</v>
      </c>
      <c r="G722" t="s">
        <v>182</v>
      </c>
      <c r="H722" s="7">
        <v>6</v>
      </c>
      <c r="I722" s="4">
        <v>18682.080000000002</v>
      </c>
      <c r="J722" s="23">
        <v>0.1</v>
      </c>
      <c r="K722" s="4">
        <v>16813.87</v>
      </c>
      <c r="L722" s="4">
        <v>10668.55</v>
      </c>
      <c r="M722" s="4">
        <v>6145.32</v>
      </c>
      <c r="N722" t="s">
        <v>48</v>
      </c>
      <c r="O722" s="7">
        <v>18</v>
      </c>
      <c r="P722" s="2">
        <v>45662.75</v>
      </c>
      <c r="Q722" t="s">
        <v>65</v>
      </c>
      <c r="R722">
        <v>1</v>
      </c>
      <c r="S722" t="s">
        <v>55</v>
      </c>
      <c r="T722">
        <f>IF(orders[[#This Row],[Status]]="Completed",1,0)</f>
        <v>0</v>
      </c>
      <c r="U722">
        <f>IF(orders[[#This Row],[Status]]="Pending",1,0)</f>
        <v>0</v>
      </c>
      <c r="V722">
        <f>IF(orders[[#This Row],[Status]]="Delayed",1,0)</f>
        <v>0</v>
      </c>
      <c r="W722">
        <f>IF(orders[[#This Row],[Status]]="Cancelled",1,0)</f>
        <v>1</v>
      </c>
    </row>
    <row r="723" spans="1:23" x14ac:dyDescent="0.35">
      <c r="A723" t="s">
        <v>1078</v>
      </c>
      <c r="B723" s="1">
        <v>45776</v>
      </c>
      <c r="C723" t="s">
        <v>774</v>
      </c>
      <c r="D723" t="s">
        <v>149</v>
      </c>
      <c r="E723" t="s">
        <v>46</v>
      </c>
      <c r="F723" t="s">
        <v>39</v>
      </c>
      <c r="G723" t="s">
        <v>47</v>
      </c>
      <c r="H723" s="7">
        <v>4</v>
      </c>
      <c r="I723" s="4">
        <v>17406.2</v>
      </c>
      <c r="J723" s="23">
        <v>0.15</v>
      </c>
      <c r="K723" s="4">
        <v>14795.27</v>
      </c>
      <c r="L723" s="4">
        <v>8724.9500000000007</v>
      </c>
      <c r="M723" s="4">
        <v>6070.32</v>
      </c>
      <c r="N723" t="s">
        <v>98</v>
      </c>
      <c r="O723" s="7">
        <v>0</v>
      </c>
      <c r="P723" s="2">
        <v>45776</v>
      </c>
      <c r="Q723" t="s">
        <v>26</v>
      </c>
      <c r="R723">
        <v>4</v>
      </c>
      <c r="S723" t="s">
        <v>27</v>
      </c>
      <c r="T723">
        <f>IF(orders[[#This Row],[Status]]="Completed",1,0)</f>
        <v>0</v>
      </c>
      <c r="U723">
        <f>IF(orders[[#This Row],[Status]]="Pending",1,0)</f>
        <v>1</v>
      </c>
      <c r="V723">
        <f>IF(orders[[#This Row],[Status]]="Delayed",1,0)</f>
        <v>0</v>
      </c>
      <c r="W723">
        <f>IF(orders[[#This Row],[Status]]="Cancelled",1,0)</f>
        <v>0</v>
      </c>
    </row>
    <row r="724" spans="1:23" x14ac:dyDescent="0.35">
      <c r="A724" t="s">
        <v>1079</v>
      </c>
      <c r="B724" s="1">
        <v>45946</v>
      </c>
      <c r="C724" t="s">
        <v>1080</v>
      </c>
      <c r="D724" t="s">
        <v>58</v>
      </c>
      <c r="E724" t="s">
        <v>59</v>
      </c>
      <c r="F724" t="s">
        <v>83</v>
      </c>
      <c r="G724" t="s">
        <v>155</v>
      </c>
      <c r="H724" s="7">
        <v>2</v>
      </c>
      <c r="I724" s="4">
        <v>8537.7800000000007</v>
      </c>
      <c r="J724" s="23">
        <v>0</v>
      </c>
      <c r="K724" s="4">
        <v>8537.7800000000007</v>
      </c>
      <c r="L724" s="4">
        <v>4973.3999999999996</v>
      </c>
      <c r="M724" s="4">
        <v>3564.38</v>
      </c>
      <c r="N724" t="s">
        <v>25</v>
      </c>
      <c r="O724" s="7">
        <v>4</v>
      </c>
      <c r="P724" s="2">
        <v>45946.166666666664</v>
      </c>
      <c r="Q724" t="s">
        <v>116</v>
      </c>
      <c r="R724">
        <v>10</v>
      </c>
      <c r="S724" t="s">
        <v>35</v>
      </c>
      <c r="T724">
        <f>IF(orders[[#This Row],[Status]]="Completed",1,0)</f>
        <v>1</v>
      </c>
      <c r="U724">
        <f>IF(orders[[#This Row],[Status]]="Pending",1,0)</f>
        <v>0</v>
      </c>
      <c r="V724">
        <f>IF(orders[[#This Row],[Status]]="Delayed",1,0)</f>
        <v>0</v>
      </c>
      <c r="W724">
        <f>IF(orders[[#This Row],[Status]]="Cancelled",1,0)</f>
        <v>0</v>
      </c>
    </row>
    <row r="725" spans="1:23" x14ac:dyDescent="0.35">
      <c r="A725" t="s">
        <v>1081</v>
      </c>
      <c r="B725" s="1">
        <v>45722</v>
      </c>
      <c r="C725" t="s">
        <v>272</v>
      </c>
      <c r="D725" t="s">
        <v>45</v>
      </c>
      <c r="E725" t="s">
        <v>113</v>
      </c>
      <c r="F725" t="s">
        <v>23</v>
      </c>
      <c r="G725" t="s">
        <v>110</v>
      </c>
      <c r="H725" s="7">
        <v>7</v>
      </c>
      <c r="I725" s="4">
        <v>1281.49</v>
      </c>
      <c r="J725" s="23">
        <v>0.25</v>
      </c>
      <c r="K725" s="4">
        <v>961.12</v>
      </c>
      <c r="L725" s="4">
        <v>768.86</v>
      </c>
      <c r="M725" s="4">
        <v>192.26</v>
      </c>
      <c r="N725" t="s">
        <v>48</v>
      </c>
      <c r="O725" s="7">
        <v>13</v>
      </c>
      <c r="P725" s="2">
        <v>45722.541666666664</v>
      </c>
      <c r="Q725" t="s">
        <v>54</v>
      </c>
      <c r="R725">
        <v>3</v>
      </c>
      <c r="S725" t="s">
        <v>55</v>
      </c>
      <c r="T725">
        <f>IF(orders[[#This Row],[Status]]="Completed",1,0)</f>
        <v>0</v>
      </c>
      <c r="U725">
        <f>IF(orders[[#This Row],[Status]]="Pending",1,0)</f>
        <v>0</v>
      </c>
      <c r="V725">
        <f>IF(orders[[#This Row],[Status]]="Delayed",1,0)</f>
        <v>0</v>
      </c>
      <c r="W725">
        <f>IF(orders[[#This Row],[Status]]="Cancelled",1,0)</f>
        <v>1</v>
      </c>
    </row>
    <row r="726" spans="1:23" x14ac:dyDescent="0.35">
      <c r="A726" t="s">
        <v>1082</v>
      </c>
      <c r="B726" s="1">
        <v>45803</v>
      </c>
      <c r="C726" t="s">
        <v>302</v>
      </c>
      <c r="D726" t="s">
        <v>68</v>
      </c>
      <c r="E726" t="s">
        <v>59</v>
      </c>
      <c r="F726" t="s">
        <v>32</v>
      </c>
      <c r="G726" t="s">
        <v>33</v>
      </c>
      <c r="H726" s="7">
        <v>6</v>
      </c>
      <c r="I726" s="4">
        <v>26008.26</v>
      </c>
      <c r="J726" s="23">
        <v>0.05</v>
      </c>
      <c r="K726" s="4">
        <v>24707.85</v>
      </c>
      <c r="L726" s="4">
        <v>15411.87</v>
      </c>
      <c r="M726" s="4">
        <v>9295.98</v>
      </c>
      <c r="N726" t="s">
        <v>48</v>
      </c>
      <c r="O726" s="7">
        <v>3</v>
      </c>
      <c r="P726" s="2">
        <v>45803.125</v>
      </c>
      <c r="Q726" t="s">
        <v>74</v>
      </c>
      <c r="R726">
        <v>5</v>
      </c>
      <c r="S726" t="s">
        <v>27</v>
      </c>
      <c r="T726">
        <f>IF(orders[[#This Row],[Status]]="Completed",1,0)</f>
        <v>0</v>
      </c>
      <c r="U726">
        <f>IF(orders[[#This Row],[Status]]="Pending",1,0)</f>
        <v>0</v>
      </c>
      <c r="V726">
        <f>IF(orders[[#This Row],[Status]]="Delayed",1,0)</f>
        <v>0</v>
      </c>
      <c r="W726">
        <f>IF(orders[[#This Row],[Status]]="Cancelled",1,0)</f>
        <v>1</v>
      </c>
    </row>
    <row r="727" spans="1:23" x14ac:dyDescent="0.35">
      <c r="A727" t="s">
        <v>1083</v>
      </c>
      <c r="B727" s="1">
        <v>45881</v>
      </c>
      <c r="C727" t="s">
        <v>469</v>
      </c>
      <c r="D727" t="s">
        <v>68</v>
      </c>
      <c r="E727" t="s">
        <v>92</v>
      </c>
      <c r="F727" t="s">
        <v>72</v>
      </c>
      <c r="G727" t="s">
        <v>104</v>
      </c>
      <c r="H727" s="7">
        <v>2</v>
      </c>
      <c r="I727" s="4">
        <v>6709</v>
      </c>
      <c r="J727" s="23">
        <v>0.05</v>
      </c>
      <c r="K727" s="4">
        <v>6373.55</v>
      </c>
      <c r="L727" s="4">
        <v>3622.55</v>
      </c>
      <c r="M727" s="4">
        <v>2751</v>
      </c>
      <c r="N727" t="s">
        <v>98</v>
      </c>
      <c r="O727" s="7">
        <v>4</v>
      </c>
      <c r="P727" s="2">
        <v>45881.166666666664</v>
      </c>
      <c r="Q727" t="s">
        <v>80</v>
      </c>
      <c r="R727">
        <v>8</v>
      </c>
      <c r="S727" t="s">
        <v>42</v>
      </c>
      <c r="T727">
        <f>IF(orders[[#This Row],[Status]]="Completed",1,0)</f>
        <v>0</v>
      </c>
      <c r="U727">
        <f>IF(orders[[#This Row],[Status]]="Pending",1,0)</f>
        <v>1</v>
      </c>
      <c r="V727">
        <f>IF(orders[[#This Row],[Status]]="Delayed",1,0)</f>
        <v>0</v>
      </c>
      <c r="W727">
        <f>IF(orders[[#This Row],[Status]]="Cancelled",1,0)</f>
        <v>0</v>
      </c>
    </row>
    <row r="728" spans="1:23" x14ac:dyDescent="0.35">
      <c r="A728" t="s">
        <v>1084</v>
      </c>
      <c r="B728" s="1">
        <v>45896</v>
      </c>
      <c r="C728" t="s">
        <v>91</v>
      </c>
      <c r="D728" t="s">
        <v>51</v>
      </c>
      <c r="E728" t="s">
        <v>92</v>
      </c>
      <c r="F728" t="s">
        <v>32</v>
      </c>
      <c r="G728" t="s">
        <v>79</v>
      </c>
      <c r="H728" s="7">
        <v>6</v>
      </c>
      <c r="I728" s="4">
        <v>49601.16</v>
      </c>
      <c r="J728" s="23">
        <v>0.2</v>
      </c>
      <c r="K728" s="4">
        <v>39680.93</v>
      </c>
      <c r="L728" s="4">
        <v>32267.77</v>
      </c>
      <c r="M728" s="4">
        <v>7413.16</v>
      </c>
      <c r="N728" t="s">
        <v>25</v>
      </c>
      <c r="O728" s="7">
        <v>39</v>
      </c>
      <c r="P728" s="2">
        <v>45897.625</v>
      </c>
      <c r="Q728" t="s">
        <v>80</v>
      </c>
      <c r="R728">
        <v>8</v>
      </c>
      <c r="S728" t="s">
        <v>42</v>
      </c>
      <c r="T728">
        <f>IF(orders[[#This Row],[Status]]="Completed",1,0)</f>
        <v>1</v>
      </c>
      <c r="U728">
        <f>IF(orders[[#This Row],[Status]]="Pending",1,0)</f>
        <v>0</v>
      </c>
      <c r="V728">
        <f>IF(orders[[#This Row],[Status]]="Delayed",1,0)</f>
        <v>0</v>
      </c>
      <c r="W728">
        <f>IF(orders[[#This Row],[Status]]="Cancelled",1,0)</f>
        <v>0</v>
      </c>
    </row>
    <row r="729" spans="1:23" x14ac:dyDescent="0.35">
      <c r="A729" t="s">
        <v>1085</v>
      </c>
      <c r="B729" s="1">
        <v>45834</v>
      </c>
      <c r="C729" t="s">
        <v>742</v>
      </c>
      <c r="D729" t="s">
        <v>63</v>
      </c>
      <c r="E729" t="s">
        <v>31</v>
      </c>
      <c r="F729" t="s">
        <v>72</v>
      </c>
      <c r="G729" t="s">
        <v>104</v>
      </c>
      <c r="H729" s="7">
        <v>1</v>
      </c>
      <c r="I729" s="4">
        <v>1478.98</v>
      </c>
      <c r="J729" s="23">
        <v>0.1</v>
      </c>
      <c r="K729" s="4">
        <v>1331.08</v>
      </c>
      <c r="L729" s="4">
        <v>799.77</v>
      </c>
      <c r="M729" s="4">
        <v>531.30999999999995</v>
      </c>
      <c r="N729" t="s">
        <v>25</v>
      </c>
      <c r="O729" s="7">
        <v>34</v>
      </c>
      <c r="P729" s="2">
        <v>45835.416666666664</v>
      </c>
      <c r="Q729" t="s">
        <v>99</v>
      </c>
      <c r="R729">
        <v>6</v>
      </c>
      <c r="S729" t="s">
        <v>27</v>
      </c>
      <c r="T729">
        <f>IF(orders[[#This Row],[Status]]="Completed",1,0)</f>
        <v>1</v>
      </c>
      <c r="U729">
        <f>IF(orders[[#This Row],[Status]]="Pending",1,0)</f>
        <v>0</v>
      </c>
      <c r="V729">
        <f>IF(orders[[#This Row],[Status]]="Delayed",1,0)</f>
        <v>0</v>
      </c>
      <c r="W729">
        <f>IF(orders[[#This Row],[Status]]="Cancelled",1,0)</f>
        <v>0</v>
      </c>
    </row>
    <row r="730" spans="1:23" x14ac:dyDescent="0.35">
      <c r="A730" t="s">
        <v>1086</v>
      </c>
      <c r="B730" s="1">
        <v>45924</v>
      </c>
      <c r="C730" t="s">
        <v>1087</v>
      </c>
      <c r="D730" t="s">
        <v>58</v>
      </c>
      <c r="E730" t="s">
        <v>52</v>
      </c>
      <c r="F730" t="s">
        <v>23</v>
      </c>
      <c r="G730" t="s">
        <v>24</v>
      </c>
      <c r="H730" s="7">
        <v>3</v>
      </c>
      <c r="I730" s="4">
        <v>9321.57</v>
      </c>
      <c r="J730" s="23">
        <v>0.1</v>
      </c>
      <c r="K730" s="4">
        <v>8389.41</v>
      </c>
      <c r="L730" s="4">
        <v>6344.9</v>
      </c>
      <c r="M730" s="4">
        <v>2044.51</v>
      </c>
      <c r="N730" t="s">
        <v>25</v>
      </c>
      <c r="O730" s="7">
        <v>34</v>
      </c>
      <c r="P730" s="2">
        <v>45925.416666666664</v>
      </c>
      <c r="Q730" t="s">
        <v>41</v>
      </c>
      <c r="R730">
        <v>9</v>
      </c>
      <c r="S730" t="s">
        <v>42</v>
      </c>
      <c r="T730">
        <f>IF(orders[[#This Row],[Status]]="Completed",1,0)</f>
        <v>1</v>
      </c>
      <c r="U730">
        <f>IF(orders[[#This Row],[Status]]="Pending",1,0)</f>
        <v>0</v>
      </c>
      <c r="V730">
        <f>IF(orders[[#This Row],[Status]]="Delayed",1,0)</f>
        <v>0</v>
      </c>
      <c r="W730">
        <f>IF(orders[[#This Row],[Status]]="Cancelled",1,0)</f>
        <v>0</v>
      </c>
    </row>
    <row r="731" spans="1:23" x14ac:dyDescent="0.35">
      <c r="A731" t="s">
        <v>1088</v>
      </c>
      <c r="B731" s="1">
        <v>45998</v>
      </c>
      <c r="C731" t="s">
        <v>1089</v>
      </c>
      <c r="D731" t="s">
        <v>45</v>
      </c>
      <c r="E731" t="s">
        <v>59</v>
      </c>
      <c r="F731" t="s">
        <v>83</v>
      </c>
      <c r="G731" t="s">
        <v>182</v>
      </c>
      <c r="H731" s="7">
        <v>2</v>
      </c>
      <c r="I731" s="4">
        <v>7305.34</v>
      </c>
      <c r="J731" s="23">
        <v>0.15</v>
      </c>
      <c r="K731" s="4">
        <v>6209.54</v>
      </c>
      <c r="L731" s="4">
        <v>4109.18</v>
      </c>
      <c r="M731" s="4">
        <v>2100.36</v>
      </c>
      <c r="N731" t="s">
        <v>85</v>
      </c>
      <c r="O731" s="7">
        <v>93</v>
      </c>
      <c r="P731" s="2">
        <v>46001.875</v>
      </c>
      <c r="Q731" t="s">
        <v>34</v>
      </c>
      <c r="R731">
        <v>12</v>
      </c>
      <c r="S731" t="s">
        <v>35</v>
      </c>
      <c r="T731">
        <f>IF(orders[[#This Row],[Status]]="Completed",1,0)</f>
        <v>0</v>
      </c>
      <c r="U731">
        <f>IF(orders[[#This Row],[Status]]="Pending",1,0)</f>
        <v>0</v>
      </c>
      <c r="V731">
        <f>IF(orders[[#This Row],[Status]]="Delayed",1,0)</f>
        <v>1</v>
      </c>
      <c r="W731">
        <f>IF(orders[[#This Row],[Status]]="Cancelled",1,0)</f>
        <v>0</v>
      </c>
    </row>
    <row r="732" spans="1:23" x14ac:dyDescent="0.35">
      <c r="A732" t="s">
        <v>1090</v>
      </c>
      <c r="B732" s="1">
        <v>45939</v>
      </c>
      <c r="C732" t="s">
        <v>299</v>
      </c>
      <c r="D732" t="s">
        <v>149</v>
      </c>
      <c r="E732" t="s">
        <v>92</v>
      </c>
      <c r="F732" t="s">
        <v>39</v>
      </c>
      <c r="G732" t="s">
        <v>114</v>
      </c>
      <c r="H732" s="7">
        <v>6</v>
      </c>
      <c r="I732" s="4">
        <v>20473.740000000002</v>
      </c>
      <c r="J732" s="23">
        <v>0.1</v>
      </c>
      <c r="K732" s="4">
        <v>18426.37</v>
      </c>
      <c r="L732" s="4">
        <v>10903.59</v>
      </c>
      <c r="M732" s="4">
        <v>7522.78</v>
      </c>
      <c r="N732" t="s">
        <v>25</v>
      </c>
      <c r="O732" s="7">
        <v>22</v>
      </c>
      <c r="P732" s="2">
        <v>45939.916666666664</v>
      </c>
      <c r="Q732" t="s">
        <v>116</v>
      </c>
      <c r="R732">
        <v>10</v>
      </c>
      <c r="S732" t="s">
        <v>35</v>
      </c>
      <c r="T732">
        <f>IF(orders[[#This Row],[Status]]="Completed",1,0)</f>
        <v>1</v>
      </c>
      <c r="U732">
        <f>IF(orders[[#This Row],[Status]]="Pending",1,0)</f>
        <v>0</v>
      </c>
      <c r="V732">
        <f>IF(orders[[#This Row],[Status]]="Delayed",1,0)</f>
        <v>0</v>
      </c>
      <c r="W732">
        <f>IF(orders[[#This Row],[Status]]="Cancelled",1,0)</f>
        <v>0</v>
      </c>
    </row>
    <row r="733" spans="1:23" x14ac:dyDescent="0.35">
      <c r="A733" t="s">
        <v>1091</v>
      </c>
      <c r="B733" s="1">
        <v>45720</v>
      </c>
      <c r="C733" t="s">
        <v>1092</v>
      </c>
      <c r="D733" t="s">
        <v>149</v>
      </c>
      <c r="E733" t="s">
        <v>52</v>
      </c>
      <c r="F733" t="s">
        <v>23</v>
      </c>
      <c r="G733" t="s">
        <v>136</v>
      </c>
      <c r="H733" s="7">
        <v>3</v>
      </c>
      <c r="I733" s="4">
        <v>17129.07</v>
      </c>
      <c r="J733" s="23">
        <v>0</v>
      </c>
      <c r="K733" s="4">
        <v>17129.07</v>
      </c>
      <c r="L733" s="4">
        <v>11763.88</v>
      </c>
      <c r="M733" s="4">
        <v>5365.19</v>
      </c>
      <c r="N733" t="s">
        <v>25</v>
      </c>
      <c r="O733" s="7">
        <v>15</v>
      </c>
      <c r="P733" s="2">
        <v>45720.625</v>
      </c>
      <c r="Q733" t="s">
        <v>54</v>
      </c>
      <c r="R733">
        <v>3</v>
      </c>
      <c r="S733" t="s">
        <v>55</v>
      </c>
      <c r="T733">
        <f>IF(orders[[#This Row],[Status]]="Completed",1,0)</f>
        <v>1</v>
      </c>
      <c r="U733">
        <f>IF(orders[[#This Row],[Status]]="Pending",1,0)</f>
        <v>0</v>
      </c>
      <c r="V733">
        <f>IF(orders[[#This Row],[Status]]="Delayed",1,0)</f>
        <v>0</v>
      </c>
      <c r="W733">
        <f>IF(orders[[#This Row],[Status]]="Cancelled",1,0)</f>
        <v>0</v>
      </c>
    </row>
    <row r="734" spans="1:23" x14ac:dyDescent="0.35">
      <c r="A734" t="s">
        <v>1093</v>
      </c>
      <c r="B734" s="1">
        <v>45874</v>
      </c>
      <c r="C734" t="s">
        <v>321</v>
      </c>
      <c r="D734" t="s">
        <v>21</v>
      </c>
      <c r="E734" t="s">
        <v>46</v>
      </c>
      <c r="F734" t="s">
        <v>32</v>
      </c>
      <c r="G734" t="s">
        <v>64</v>
      </c>
      <c r="H734" s="7">
        <v>2</v>
      </c>
      <c r="I734" s="4">
        <v>3899.06</v>
      </c>
      <c r="J734" s="23">
        <v>0.1</v>
      </c>
      <c r="K734" s="4">
        <v>3509.15</v>
      </c>
      <c r="L734" s="4">
        <v>1947.18</v>
      </c>
      <c r="M734" s="4">
        <v>1561.97</v>
      </c>
      <c r="N734" t="s">
        <v>98</v>
      </c>
      <c r="O734" s="7">
        <v>24</v>
      </c>
      <c r="P734" s="2">
        <v>45875</v>
      </c>
      <c r="Q734" t="s">
        <v>80</v>
      </c>
      <c r="R734">
        <v>8</v>
      </c>
      <c r="S734" t="s">
        <v>42</v>
      </c>
      <c r="T734">
        <f>IF(orders[[#This Row],[Status]]="Completed",1,0)</f>
        <v>0</v>
      </c>
      <c r="U734">
        <f>IF(orders[[#This Row],[Status]]="Pending",1,0)</f>
        <v>1</v>
      </c>
      <c r="V734">
        <f>IF(orders[[#This Row],[Status]]="Delayed",1,0)</f>
        <v>0</v>
      </c>
      <c r="W734">
        <f>IF(orders[[#This Row],[Status]]="Cancelled",1,0)</f>
        <v>0</v>
      </c>
    </row>
    <row r="735" spans="1:23" x14ac:dyDescent="0.35">
      <c r="A735" t="s">
        <v>1094</v>
      </c>
      <c r="B735" s="1">
        <v>45999</v>
      </c>
      <c r="C735" t="s">
        <v>154</v>
      </c>
      <c r="D735" t="s">
        <v>68</v>
      </c>
      <c r="E735" t="s">
        <v>46</v>
      </c>
      <c r="F735" t="s">
        <v>39</v>
      </c>
      <c r="G735" t="s">
        <v>47</v>
      </c>
      <c r="H735" s="7">
        <v>5</v>
      </c>
      <c r="I735" s="4">
        <v>9979.75</v>
      </c>
      <c r="J735" s="23">
        <v>0</v>
      </c>
      <c r="K735" s="4">
        <v>9979.75</v>
      </c>
      <c r="L735" s="4">
        <v>8258.69</v>
      </c>
      <c r="M735" s="4">
        <v>1721.06</v>
      </c>
      <c r="N735" t="s">
        <v>25</v>
      </c>
      <c r="O735" s="7">
        <v>34</v>
      </c>
      <c r="P735" s="2">
        <v>46000.416666666664</v>
      </c>
      <c r="Q735" t="s">
        <v>34</v>
      </c>
      <c r="R735">
        <v>12</v>
      </c>
      <c r="S735" t="s">
        <v>35</v>
      </c>
      <c r="T735">
        <f>IF(orders[[#This Row],[Status]]="Completed",1,0)</f>
        <v>1</v>
      </c>
      <c r="U735">
        <f>IF(orders[[#This Row],[Status]]="Pending",1,0)</f>
        <v>0</v>
      </c>
      <c r="V735">
        <f>IF(orders[[#This Row],[Status]]="Delayed",1,0)</f>
        <v>0</v>
      </c>
      <c r="W735">
        <f>IF(orders[[#This Row],[Status]]="Cancelled",1,0)</f>
        <v>0</v>
      </c>
    </row>
    <row r="736" spans="1:23" x14ac:dyDescent="0.35">
      <c r="A736" t="s">
        <v>1095</v>
      </c>
      <c r="B736" s="1">
        <v>45972</v>
      </c>
      <c r="C736" t="s">
        <v>515</v>
      </c>
      <c r="D736" t="s">
        <v>38</v>
      </c>
      <c r="E736" t="s">
        <v>92</v>
      </c>
      <c r="F736" t="s">
        <v>83</v>
      </c>
      <c r="G736" t="s">
        <v>84</v>
      </c>
      <c r="H736" s="7">
        <v>6</v>
      </c>
      <c r="I736" s="4">
        <v>37433.46</v>
      </c>
      <c r="J736" s="23">
        <v>0.15</v>
      </c>
      <c r="K736" s="4">
        <v>31818.44</v>
      </c>
      <c r="L736" s="4">
        <v>22891.91</v>
      </c>
      <c r="M736" s="4">
        <v>8926.5300000000007</v>
      </c>
      <c r="N736" t="s">
        <v>25</v>
      </c>
      <c r="O736" s="7">
        <v>48</v>
      </c>
      <c r="P736" s="2">
        <v>45974</v>
      </c>
      <c r="Q736" t="s">
        <v>86</v>
      </c>
      <c r="R736">
        <v>11</v>
      </c>
      <c r="S736" t="s">
        <v>35</v>
      </c>
      <c r="T736">
        <f>IF(orders[[#This Row],[Status]]="Completed",1,0)</f>
        <v>1</v>
      </c>
      <c r="U736">
        <f>IF(orders[[#This Row],[Status]]="Pending",1,0)</f>
        <v>0</v>
      </c>
      <c r="V736">
        <f>IF(orders[[#This Row],[Status]]="Delayed",1,0)</f>
        <v>0</v>
      </c>
      <c r="W736">
        <f>IF(orders[[#This Row],[Status]]="Cancelled",1,0)</f>
        <v>0</v>
      </c>
    </row>
    <row r="737" spans="1:23" x14ac:dyDescent="0.35">
      <c r="A737" t="s">
        <v>1096</v>
      </c>
      <c r="B737" s="1">
        <v>45940</v>
      </c>
      <c r="C737" t="s">
        <v>167</v>
      </c>
      <c r="D737" t="s">
        <v>51</v>
      </c>
      <c r="E737" t="s">
        <v>52</v>
      </c>
      <c r="F737" t="s">
        <v>23</v>
      </c>
      <c r="G737" t="s">
        <v>122</v>
      </c>
      <c r="H737" s="7">
        <v>5</v>
      </c>
      <c r="I737" s="4">
        <v>21637.15</v>
      </c>
      <c r="J737" s="23">
        <v>0.25</v>
      </c>
      <c r="K737" s="4">
        <v>16227.86</v>
      </c>
      <c r="L737" s="4">
        <v>9670.5499999999993</v>
      </c>
      <c r="M737" s="4">
        <v>6557.31</v>
      </c>
      <c r="N737" t="s">
        <v>25</v>
      </c>
      <c r="O737" s="7">
        <v>25</v>
      </c>
      <c r="P737" s="2">
        <v>45941.041666666664</v>
      </c>
      <c r="Q737" t="s">
        <v>116</v>
      </c>
      <c r="R737">
        <v>10</v>
      </c>
      <c r="S737" t="s">
        <v>35</v>
      </c>
      <c r="T737">
        <f>IF(orders[[#This Row],[Status]]="Completed",1,0)</f>
        <v>1</v>
      </c>
      <c r="U737">
        <f>IF(orders[[#This Row],[Status]]="Pending",1,0)</f>
        <v>0</v>
      </c>
      <c r="V737">
        <f>IF(orders[[#This Row],[Status]]="Delayed",1,0)</f>
        <v>0</v>
      </c>
      <c r="W737">
        <f>IF(orders[[#This Row],[Status]]="Cancelled",1,0)</f>
        <v>0</v>
      </c>
    </row>
    <row r="738" spans="1:23" x14ac:dyDescent="0.35">
      <c r="A738" t="s">
        <v>1097</v>
      </c>
      <c r="B738" s="1">
        <v>45834</v>
      </c>
      <c r="C738" t="s">
        <v>261</v>
      </c>
      <c r="D738" t="s">
        <v>58</v>
      </c>
      <c r="E738" t="s">
        <v>52</v>
      </c>
      <c r="F738" t="s">
        <v>39</v>
      </c>
      <c r="G738" t="s">
        <v>47</v>
      </c>
      <c r="H738" s="7">
        <v>1</v>
      </c>
      <c r="I738" s="4">
        <v>3616.55</v>
      </c>
      <c r="J738" s="23">
        <v>0.05</v>
      </c>
      <c r="K738" s="4">
        <v>3435.72</v>
      </c>
      <c r="L738" s="4">
        <v>2158.33</v>
      </c>
      <c r="M738" s="4">
        <v>1277.3900000000001</v>
      </c>
      <c r="N738" t="s">
        <v>98</v>
      </c>
      <c r="O738" s="7">
        <v>18</v>
      </c>
      <c r="P738" s="2">
        <v>45834.75</v>
      </c>
      <c r="Q738" t="s">
        <v>99</v>
      </c>
      <c r="R738">
        <v>6</v>
      </c>
      <c r="S738" t="s">
        <v>27</v>
      </c>
      <c r="T738">
        <f>IF(orders[[#This Row],[Status]]="Completed",1,0)</f>
        <v>0</v>
      </c>
      <c r="U738">
        <f>IF(orders[[#This Row],[Status]]="Pending",1,0)</f>
        <v>1</v>
      </c>
      <c r="V738">
        <f>IF(orders[[#This Row],[Status]]="Delayed",1,0)</f>
        <v>0</v>
      </c>
      <c r="W738">
        <f>IF(orders[[#This Row],[Status]]="Cancelled",1,0)</f>
        <v>0</v>
      </c>
    </row>
    <row r="739" spans="1:23" x14ac:dyDescent="0.35">
      <c r="A739" t="s">
        <v>1098</v>
      </c>
      <c r="B739" s="1">
        <v>45755</v>
      </c>
      <c r="C739" t="s">
        <v>1099</v>
      </c>
      <c r="D739" t="s">
        <v>149</v>
      </c>
      <c r="E739" t="s">
        <v>92</v>
      </c>
      <c r="F739" t="s">
        <v>23</v>
      </c>
      <c r="G739" t="s">
        <v>110</v>
      </c>
      <c r="H739" s="7">
        <v>6</v>
      </c>
      <c r="I739" s="4">
        <v>9377.1</v>
      </c>
      <c r="J739" s="23">
        <v>0.05</v>
      </c>
      <c r="K739" s="4">
        <v>8908.25</v>
      </c>
      <c r="L739" s="4">
        <v>6216.46</v>
      </c>
      <c r="M739" s="4">
        <v>2691.79</v>
      </c>
      <c r="N739" t="s">
        <v>25</v>
      </c>
      <c r="O739" s="7">
        <v>26</v>
      </c>
      <c r="P739" s="2">
        <v>45756.083333333336</v>
      </c>
      <c r="Q739" t="s">
        <v>26</v>
      </c>
      <c r="R739">
        <v>4</v>
      </c>
      <c r="S739" t="s">
        <v>27</v>
      </c>
      <c r="T739">
        <f>IF(orders[[#This Row],[Status]]="Completed",1,0)</f>
        <v>1</v>
      </c>
      <c r="U739">
        <f>IF(orders[[#This Row],[Status]]="Pending",1,0)</f>
        <v>0</v>
      </c>
      <c r="V739">
        <f>IF(orders[[#This Row],[Status]]="Delayed",1,0)</f>
        <v>0</v>
      </c>
      <c r="W739">
        <f>IF(orders[[#This Row],[Status]]="Cancelled",1,0)</f>
        <v>0</v>
      </c>
    </row>
    <row r="740" spans="1:23" x14ac:dyDescent="0.35">
      <c r="A740" t="s">
        <v>1100</v>
      </c>
      <c r="B740" s="1">
        <v>45762</v>
      </c>
      <c r="C740" t="s">
        <v>377</v>
      </c>
      <c r="D740" t="s">
        <v>45</v>
      </c>
      <c r="E740" t="s">
        <v>22</v>
      </c>
      <c r="F740" t="s">
        <v>23</v>
      </c>
      <c r="G740" t="s">
        <v>110</v>
      </c>
      <c r="H740" s="7">
        <v>7</v>
      </c>
      <c r="I740" s="4">
        <v>12010.95</v>
      </c>
      <c r="J740" s="23">
        <v>0</v>
      </c>
      <c r="K740" s="4">
        <v>12010.95</v>
      </c>
      <c r="L740" s="4">
        <v>7354.63</v>
      </c>
      <c r="M740" s="4">
        <v>4656.32</v>
      </c>
      <c r="N740" t="s">
        <v>48</v>
      </c>
      <c r="O740" s="7">
        <v>14</v>
      </c>
      <c r="P740" s="2">
        <v>45762.583333333336</v>
      </c>
      <c r="Q740" t="s">
        <v>26</v>
      </c>
      <c r="R740">
        <v>4</v>
      </c>
      <c r="S740" t="s">
        <v>27</v>
      </c>
      <c r="T740">
        <f>IF(orders[[#This Row],[Status]]="Completed",1,0)</f>
        <v>0</v>
      </c>
      <c r="U740">
        <f>IF(orders[[#This Row],[Status]]="Pending",1,0)</f>
        <v>0</v>
      </c>
      <c r="V740">
        <f>IF(orders[[#This Row],[Status]]="Delayed",1,0)</f>
        <v>0</v>
      </c>
      <c r="W740">
        <f>IF(orders[[#This Row],[Status]]="Cancelled",1,0)</f>
        <v>1</v>
      </c>
    </row>
    <row r="741" spans="1:23" x14ac:dyDescent="0.35">
      <c r="A741" t="s">
        <v>1101</v>
      </c>
      <c r="B741" s="1">
        <v>45756</v>
      </c>
      <c r="C741" t="s">
        <v>795</v>
      </c>
      <c r="D741" t="s">
        <v>21</v>
      </c>
      <c r="E741" t="s">
        <v>113</v>
      </c>
      <c r="F741" t="s">
        <v>83</v>
      </c>
      <c r="G741" t="s">
        <v>152</v>
      </c>
      <c r="H741" s="7">
        <v>1</v>
      </c>
      <c r="I741" s="4">
        <v>238.11</v>
      </c>
      <c r="J741" s="23">
        <v>0</v>
      </c>
      <c r="K741" s="4">
        <v>238.11</v>
      </c>
      <c r="L741" s="4">
        <v>152.07</v>
      </c>
      <c r="M741" s="4">
        <v>86.04</v>
      </c>
      <c r="N741" t="s">
        <v>25</v>
      </c>
      <c r="O741" s="7">
        <v>29</v>
      </c>
      <c r="P741" s="2">
        <v>45757.208333333336</v>
      </c>
      <c r="Q741" t="s">
        <v>26</v>
      </c>
      <c r="R741">
        <v>4</v>
      </c>
      <c r="S741" t="s">
        <v>27</v>
      </c>
      <c r="T741">
        <f>IF(orders[[#This Row],[Status]]="Completed",1,0)</f>
        <v>1</v>
      </c>
      <c r="U741">
        <f>IF(orders[[#This Row],[Status]]="Pending",1,0)</f>
        <v>0</v>
      </c>
      <c r="V741">
        <f>IF(orders[[#This Row],[Status]]="Delayed",1,0)</f>
        <v>0</v>
      </c>
      <c r="W741">
        <f>IF(orders[[#This Row],[Status]]="Cancelled",1,0)</f>
        <v>0</v>
      </c>
    </row>
    <row r="742" spans="1:23" x14ac:dyDescent="0.35">
      <c r="A742" t="s">
        <v>1102</v>
      </c>
      <c r="B742" s="1">
        <v>45968</v>
      </c>
      <c r="C742" t="s">
        <v>397</v>
      </c>
      <c r="D742" t="s">
        <v>45</v>
      </c>
      <c r="E742" t="s">
        <v>52</v>
      </c>
      <c r="F742" t="s">
        <v>72</v>
      </c>
      <c r="G742" t="s">
        <v>119</v>
      </c>
      <c r="H742" s="7">
        <v>3</v>
      </c>
      <c r="I742" s="4">
        <v>2740.23</v>
      </c>
      <c r="J742" s="23">
        <v>0.2</v>
      </c>
      <c r="K742" s="4">
        <v>2192.1799999999998</v>
      </c>
      <c r="L742" s="4">
        <v>1592.28</v>
      </c>
      <c r="M742" s="4">
        <v>599.9</v>
      </c>
      <c r="N742" t="s">
        <v>98</v>
      </c>
      <c r="O742" s="7">
        <v>11</v>
      </c>
      <c r="P742" s="2">
        <v>45968.458333333336</v>
      </c>
      <c r="Q742" t="s">
        <v>86</v>
      </c>
      <c r="R742">
        <v>11</v>
      </c>
      <c r="S742" t="s">
        <v>35</v>
      </c>
      <c r="T742">
        <f>IF(orders[[#This Row],[Status]]="Completed",1,0)</f>
        <v>0</v>
      </c>
      <c r="U742">
        <f>IF(orders[[#This Row],[Status]]="Pending",1,0)</f>
        <v>1</v>
      </c>
      <c r="V742">
        <f>IF(orders[[#This Row],[Status]]="Delayed",1,0)</f>
        <v>0</v>
      </c>
      <c r="W742">
        <f>IF(orders[[#This Row],[Status]]="Cancelled",1,0)</f>
        <v>0</v>
      </c>
    </row>
    <row r="743" spans="1:23" x14ac:dyDescent="0.35">
      <c r="A743" t="s">
        <v>1103</v>
      </c>
      <c r="B743" s="1">
        <v>45663</v>
      </c>
      <c r="C743" t="s">
        <v>538</v>
      </c>
      <c r="D743" t="s">
        <v>51</v>
      </c>
      <c r="E743" t="s">
        <v>46</v>
      </c>
      <c r="F743" t="s">
        <v>39</v>
      </c>
      <c r="G743" t="s">
        <v>114</v>
      </c>
      <c r="H743" s="7">
        <v>2</v>
      </c>
      <c r="I743" s="4">
        <v>9599.2000000000007</v>
      </c>
      <c r="J743" s="23">
        <v>0</v>
      </c>
      <c r="K743" s="4">
        <v>9599.2000000000007</v>
      </c>
      <c r="L743" s="4">
        <v>7917.05</v>
      </c>
      <c r="M743" s="4">
        <v>1682.15</v>
      </c>
      <c r="N743" t="s">
        <v>25</v>
      </c>
      <c r="O743" s="7">
        <v>26</v>
      </c>
      <c r="P743" s="2">
        <v>45664.083333333336</v>
      </c>
      <c r="Q743" t="s">
        <v>65</v>
      </c>
      <c r="R743">
        <v>1</v>
      </c>
      <c r="S743" t="s">
        <v>55</v>
      </c>
      <c r="T743">
        <f>IF(orders[[#This Row],[Status]]="Completed",1,0)</f>
        <v>1</v>
      </c>
      <c r="U743">
        <f>IF(orders[[#This Row],[Status]]="Pending",1,0)</f>
        <v>0</v>
      </c>
      <c r="V743">
        <f>IF(orders[[#This Row],[Status]]="Delayed",1,0)</f>
        <v>0</v>
      </c>
      <c r="W743">
        <f>IF(orders[[#This Row],[Status]]="Cancelled",1,0)</f>
        <v>0</v>
      </c>
    </row>
    <row r="744" spans="1:23" x14ac:dyDescent="0.35">
      <c r="A744" t="s">
        <v>1104</v>
      </c>
      <c r="B744" s="1">
        <v>45854</v>
      </c>
      <c r="C744" t="s">
        <v>259</v>
      </c>
      <c r="D744" t="s">
        <v>38</v>
      </c>
      <c r="E744" t="s">
        <v>22</v>
      </c>
      <c r="F744" t="s">
        <v>83</v>
      </c>
      <c r="G744" t="s">
        <v>84</v>
      </c>
      <c r="H744" s="7">
        <v>4</v>
      </c>
      <c r="I744" s="4">
        <v>30388.560000000001</v>
      </c>
      <c r="J744" s="23">
        <v>0.05</v>
      </c>
      <c r="K744" s="4">
        <v>28869.13</v>
      </c>
      <c r="L744" s="4">
        <v>19706.27</v>
      </c>
      <c r="M744" s="4">
        <v>9162.86</v>
      </c>
      <c r="N744" t="s">
        <v>48</v>
      </c>
      <c r="O744" s="7">
        <v>1</v>
      </c>
      <c r="P744" s="2">
        <v>45854.041666666664</v>
      </c>
      <c r="Q744" t="s">
        <v>60</v>
      </c>
      <c r="R744">
        <v>7</v>
      </c>
      <c r="S744" t="s">
        <v>42</v>
      </c>
      <c r="T744">
        <f>IF(orders[[#This Row],[Status]]="Completed",1,0)</f>
        <v>0</v>
      </c>
      <c r="U744">
        <f>IF(orders[[#This Row],[Status]]="Pending",1,0)</f>
        <v>0</v>
      </c>
      <c r="V744">
        <f>IF(orders[[#This Row],[Status]]="Delayed",1,0)</f>
        <v>0</v>
      </c>
      <c r="W744">
        <f>IF(orders[[#This Row],[Status]]="Cancelled",1,0)</f>
        <v>1</v>
      </c>
    </row>
    <row r="745" spans="1:23" x14ac:dyDescent="0.35">
      <c r="A745" t="s">
        <v>1105</v>
      </c>
      <c r="B745" s="1">
        <v>46008</v>
      </c>
      <c r="C745" t="s">
        <v>547</v>
      </c>
      <c r="D745" t="s">
        <v>21</v>
      </c>
      <c r="E745" t="s">
        <v>59</v>
      </c>
      <c r="F745" t="s">
        <v>23</v>
      </c>
      <c r="G745" t="s">
        <v>24</v>
      </c>
      <c r="H745" s="7">
        <v>1</v>
      </c>
      <c r="I745" s="4">
        <v>2547.83</v>
      </c>
      <c r="J745" s="23">
        <v>0.15</v>
      </c>
      <c r="K745" s="4">
        <v>2165.66</v>
      </c>
      <c r="L745" s="4">
        <v>1703.51</v>
      </c>
      <c r="M745" s="4">
        <v>462.15</v>
      </c>
      <c r="N745" t="s">
        <v>48</v>
      </c>
      <c r="O745" s="7">
        <v>3</v>
      </c>
      <c r="P745" s="2">
        <v>46008.125</v>
      </c>
      <c r="Q745" t="s">
        <v>34</v>
      </c>
      <c r="R745">
        <v>12</v>
      </c>
      <c r="S745" t="s">
        <v>35</v>
      </c>
      <c r="T745">
        <f>IF(orders[[#This Row],[Status]]="Completed",1,0)</f>
        <v>0</v>
      </c>
      <c r="U745">
        <f>IF(orders[[#This Row],[Status]]="Pending",1,0)</f>
        <v>0</v>
      </c>
      <c r="V745">
        <f>IF(orders[[#This Row],[Status]]="Delayed",1,0)</f>
        <v>0</v>
      </c>
      <c r="W745">
        <f>IF(orders[[#This Row],[Status]]="Cancelled",1,0)</f>
        <v>1</v>
      </c>
    </row>
    <row r="746" spans="1:23" x14ac:dyDescent="0.35">
      <c r="A746" t="s">
        <v>1106</v>
      </c>
      <c r="B746" s="1">
        <v>45790</v>
      </c>
      <c r="C746" t="s">
        <v>368</v>
      </c>
      <c r="D746" t="s">
        <v>21</v>
      </c>
      <c r="E746" t="s">
        <v>22</v>
      </c>
      <c r="F746" t="s">
        <v>83</v>
      </c>
      <c r="G746" t="s">
        <v>84</v>
      </c>
      <c r="H746" s="7">
        <v>4</v>
      </c>
      <c r="I746" s="4">
        <v>11546.76</v>
      </c>
      <c r="J746" s="23">
        <v>0.2</v>
      </c>
      <c r="K746" s="4">
        <v>9237.41</v>
      </c>
      <c r="L746" s="4">
        <v>7753.01</v>
      </c>
      <c r="M746" s="4">
        <v>1484.4</v>
      </c>
      <c r="N746" t="s">
        <v>25</v>
      </c>
      <c r="O746" s="7">
        <v>43</v>
      </c>
      <c r="P746" s="2">
        <v>45791.791666666664</v>
      </c>
      <c r="Q746" t="s">
        <v>74</v>
      </c>
      <c r="R746">
        <v>5</v>
      </c>
      <c r="S746" t="s">
        <v>27</v>
      </c>
      <c r="T746">
        <f>IF(orders[[#This Row],[Status]]="Completed",1,0)</f>
        <v>1</v>
      </c>
      <c r="U746">
        <f>IF(orders[[#This Row],[Status]]="Pending",1,0)</f>
        <v>0</v>
      </c>
      <c r="V746">
        <f>IF(orders[[#This Row],[Status]]="Delayed",1,0)</f>
        <v>0</v>
      </c>
      <c r="W746">
        <f>IF(orders[[#This Row],[Status]]="Cancelled",1,0)</f>
        <v>0</v>
      </c>
    </row>
    <row r="747" spans="1:23" x14ac:dyDescent="0.35">
      <c r="A747" t="s">
        <v>1107</v>
      </c>
      <c r="B747" s="1">
        <v>46015</v>
      </c>
      <c r="C747" t="s">
        <v>465</v>
      </c>
      <c r="D747" t="s">
        <v>63</v>
      </c>
      <c r="E747" t="s">
        <v>92</v>
      </c>
      <c r="F747" t="s">
        <v>72</v>
      </c>
      <c r="G747" t="s">
        <v>73</v>
      </c>
      <c r="H747" s="7">
        <v>4</v>
      </c>
      <c r="I747" s="4">
        <v>4461.24</v>
      </c>
      <c r="J747" s="23">
        <v>0.1</v>
      </c>
      <c r="K747" s="4">
        <v>4015.12</v>
      </c>
      <c r="L747" s="4">
        <v>2494.91</v>
      </c>
      <c r="M747" s="4">
        <v>1520.21</v>
      </c>
      <c r="N747" t="s">
        <v>85</v>
      </c>
      <c r="O747" s="7">
        <v>68</v>
      </c>
      <c r="P747" s="2">
        <v>46017.833333333336</v>
      </c>
      <c r="Q747" t="s">
        <v>34</v>
      </c>
      <c r="R747">
        <v>12</v>
      </c>
      <c r="S747" t="s">
        <v>35</v>
      </c>
      <c r="T747">
        <f>IF(orders[[#This Row],[Status]]="Completed",1,0)</f>
        <v>0</v>
      </c>
      <c r="U747">
        <f>IF(orders[[#This Row],[Status]]="Pending",1,0)</f>
        <v>0</v>
      </c>
      <c r="V747">
        <f>IF(orders[[#This Row],[Status]]="Delayed",1,0)</f>
        <v>1</v>
      </c>
      <c r="W747">
        <f>IF(orders[[#This Row],[Status]]="Cancelled",1,0)</f>
        <v>0</v>
      </c>
    </row>
    <row r="748" spans="1:23" x14ac:dyDescent="0.35">
      <c r="A748" t="s">
        <v>1108</v>
      </c>
      <c r="B748" s="1">
        <v>45916</v>
      </c>
      <c r="C748" t="s">
        <v>1109</v>
      </c>
      <c r="D748" t="s">
        <v>58</v>
      </c>
      <c r="E748" t="s">
        <v>22</v>
      </c>
      <c r="F748" t="s">
        <v>39</v>
      </c>
      <c r="G748" t="s">
        <v>93</v>
      </c>
      <c r="H748" s="7">
        <v>2</v>
      </c>
      <c r="I748" s="4">
        <v>6790.14</v>
      </c>
      <c r="J748" s="23">
        <v>0.1</v>
      </c>
      <c r="K748" s="4">
        <v>6111.13</v>
      </c>
      <c r="L748" s="4">
        <v>4988.96</v>
      </c>
      <c r="M748" s="4">
        <v>1122.17</v>
      </c>
      <c r="N748" t="s">
        <v>25</v>
      </c>
      <c r="O748" s="7">
        <v>11</v>
      </c>
      <c r="P748" s="2">
        <v>45916.458333333336</v>
      </c>
      <c r="Q748" t="s">
        <v>41</v>
      </c>
      <c r="R748">
        <v>9</v>
      </c>
      <c r="S748" t="s">
        <v>42</v>
      </c>
      <c r="T748">
        <f>IF(orders[[#This Row],[Status]]="Completed",1,0)</f>
        <v>1</v>
      </c>
      <c r="U748">
        <f>IF(orders[[#This Row],[Status]]="Pending",1,0)</f>
        <v>0</v>
      </c>
      <c r="V748">
        <f>IF(orders[[#This Row],[Status]]="Delayed",1,0)</f>
        <v>0</v>
      </c>
      <c r="W748">
        <f>IF(orders[[#This Row],[Status]]="Cancelled",1,0)</f>
        <v>0</v>
      </c>
    </row>
    <row r="749" spans="1:23" x14ac:dyDescent="0.35">
      <c r="A749" t="s">
        <v>1110</v>
      </c>
      <c r="B749" s="1">
        <v>45680</v>
      </c>
      <c r="C749" t="s">
        <v>390</v>
      </c>
      <c r="D749" t="s">
        <v>21</v>
      </c>
      <c r="E749" t="s">
        <v>113</v>
      </c>
      <c r="F749" t="s">
        <v>72</v>
      </c>
      <c r="G749" t="s">
        <v>129</v>
      </c>
      <c r="H749" s="7">
        <v>3</v>
      </c>
      <c r="I749" s="4">
        <v>1382.4</v>
      </c>
      <c r="J749" s="23">
        <v>0.1</v>
      </c>
      <c r="K749" s="4">
        <v>1244.1600000000001</v>
      </c>
      <c r="L749" s="4">
        <v>995.26</v>
      </c>
      <c r="M749" s="4">
        <v>248.9</v>
      </c>
      <c r="N749" t="s">
        <v>25</v>
      </c>
      <c r="O749" s="7">
        <v>21</v>
      </c>
      <c r="P749" s="2">
        <v>45680.875</v>
      </c>
      <c r="Q749" t="s">
        <v>65</v>
      </c>
      <c r="R749">
        <v>1</v>
      </c>
      <c r="S749" t="s">
        <v>55</v>
      </c>
      <c r="T749">
        <f>IF(orders[[#This Row],[Status]]="Completed",1,0)</f>
        <v>1</v>
      </c>
      <c r="U749">
        <f>IF(orders[[#This Row],[Status]]="Pending",1,0)</f>
        <v>0</v>
      </c>
      <c r="V749">
        <f>IF(orders[[#This Row],[Status]]="Delayed",1,0)</f>
        <v>0</v>
      </c>
      <c r="W749">
        <f>IF(orders[[#This Row],[Status]]="Cancelled",1,0)</f>
        <v>0</v>
      </c>
    </row>
    <row r="750" spans="1:23" x14ac:dyDescent="0.35">
      <c r="A750" t="s">
        <v>1111</v>
      </c>
      <c r="B750" s="1">
        <v>45710</v>
      </c>
      <c r="C750" t="s">
        <v>498</v>
      </c>
      <c r="D750" t="s">
        <v>63</v>
      </c>
      <c r="E750" t="s">
        <v>92</v>
      </c>
      <c r="F750" t="s">
        <v>32</v>
      </c>
      <c r="G750" t="s">
        <v>79</v>
      </c>
      <c r="H750" s="7">
        <v>2</v>
      </c>
      <c r="I750" s="4">
        <v>15623.94</v>
      </c>
      <c r="J750" s="23">
        <v>0.25</v>
      </c>
      <c r="K750" s="4">
        <v>11717.96</v>
      </c>
      <c r="L750" s="4">
        <v>7825.13</v>
      </c>
      <c r="M750" s="4">
        <v>3892.83</v>
      </c>
      <c r="N750" t="s">
        <v>25</v>
      </c>
      <c r="O750" s="7">
        <v>44</v>
      </c>
      <c r="P750" s="2">
        <v>45711.833333333336</v>
      </c>
      <c r="Q750" t="s">
        <v>139</v>
      </c>
      <c r="R750">
        <v>2</v>
      </c>
      <c r="S750" t="s">
        <v>55</v>
      </c>
      <c r="T750">
        <f>IF(orders[[#This Row],[Status]]="Completed",1,0)</f>
        <v>1</v>
      </c>
      <c r="U750">
        <f>IF(orders[[#This Row],[Status]]="Pending",1,0)</f>
        <v>0</v>
      </c>
      <c r="V750">
        <f>IF(orders[[#This Row],[Status]]="Delayed",1,0)</f>
        <v>0</v>
      </c>
      <c r="W750">
        <f>IF(orders[[#This Row],[Status]]="Cancelled",1,0)</f>
        <v>0</v>
      </c>
    </row>
    <row r="751" spans="1:23" x14ac:dyDescent="0.35">
      <c r="A751" t="s">
        <v>1112</v>
      </c>
      <c r="B751" s="1">
        <v>45822</v>
      </c>
      <c r="C751" t="s">
        <v>774</v>
      </c>
      <c r="D751" t="s">
        <v>63</v>
      </c>
      <c r="E751" t="s">
        <v>31</v>
      </c>
      <c r="F751" t="s">
        <v>39</v>
      </c>
      <c r="G751" t="s">
        <v>93</v>
      </c>
      <c r="H751" s="7">
        <v>6</v>
      </c>
      <c r="I751" s="4">
        <v>34622.879999999997</v>
      </c>
      <c r="J751" s="23">
        <v>0.1</v>
      </c>
      <c r="K751" s="4">
        <v>31160.59</v>
      </c>
      <c r="L751" s="4">
        <v>27313.55</v>
      </c>
      <c r="M751" s="4">
        <v>3847.04</v>
      </c>
      <c r="N751" t="s">
        <v>85</v>
      </c>
      <c r="O751" s="7">
        <v>84</v>
      </c>
      <c r="P751" s="2">
        <v>45825.5</v>
      </c>
      <c r="Q751" t="s">
        <v>99</v>
      </c>
      <c r="R751">
        <v>6</v>
      </c>
      <c r="S751" t="s">
        <v>27</v>
      </c>
      <c r="T751">
        <f>IF(orders[[#This Row],[Status]]="Completed",1,0)</f>
        <v>0</v>
      </c>
      <c r="U751">
        <f>IF(orders[[#This Row],[Status]]="Pending",1,0)</f>
        <v>0</v>
      </c>
      <c r="V751">
        <f>IF(orders[[#This Row],[Status]]="Delayed",1,0)</f>
        <v>1</v>
      </c>
      <c r="W751">
        <f>IF(orders[[#This Row],[Status]]="Cancelled",1,0)</f>
        <v>0</v>
      </c>
    </row>
    <row r="752" spans="1:23" x14ac:dyDescent="0.35">
      <c r="A752" t="s">
        <v>1113</v>
      </c>
      <c r="B752" s="1">
        <v>45859</v>
      </c>
      <c r="C752" t="s">
        <v>379</v>
      </c>
      <c r="D752" t="s">
        <v>51</v>
      </c>
      <c r="E752" t="s">
        <v>59</v>
      </c>
      <c r="F752" t="s">
        <v>72</v>
      </c>
      <c r="G752" t="s">
        <v>119</v>
      </c>
      <c r="H752" s="7">
        <v>1</v>
      </c>
      <c r="I752" s="4">
        <v>8422.75</v>
      </c>
      <c r="J752" s="23">
        <v>0.1</v>
      </c>
      <c r="K752" s="4">
        <v>7580.48</v>
      </c>
      <c r="L752" s="4">
        <v>4826.1000000000004</v>
      </c>
      <c r="M752" s="4">
        <v>2754.38</v>
      </c>
      <c r="N752" t="s">
        <v>98</v>
      </c>
      <c r="O752" s="7">
        <v>14</v>
      </c>
      <c r="P752" s="2">
        <v>45859.583333333336</v>
      </c>
      <c r="Q752" t="s">
        <v>60</v>
      </c>
      <c r="R752">
        <v>7</v>
      </c>
      <c r="S752" t="s">
        <v>42</v>
      </c>
      <c r="T752">
        <f>IF(orders[[#This Row],[Status]]="Completed",1,0)</f>
        <v>0</v>
      </c>
      <c r="U752">
        <f>IF(orders[[#This Row],[Status]]="Pending",1,0)</f>
        <v>1</v>
      </c>
      <c r="V752">
        <f>IF(orders[[#This Row],[Status]]="Delayed",1,0)</f>
        <v>0</v>
      </c>
      <c r="W752">
        <f>IF(orders[[#This Row],[Status]]="Cancelled",1,0)</f>
        <v>0</v>
      </c>
    </row>
    <row r="753" spans="1:23" x14ac:dyDescent="0.35">
      <c r="A753" t="s">
        <v>1114</v>
      </c>
      <c r="B753" s="1">
        <v>45740</v>
      </c>
      <c r="C753" t="s">
        <v>770</v>
      </c>
      <c r="D753" t="s">
        <v>30</v>
      </c>
      <c r="E753" t="s">
        <v>46</v>
      </c>
      <c r="F753" t="s">
        <v>23</v>
      </c>
      <c r="G753" t="s">
        <v>24</v>
      </c>
      <c r="H753" s="7">
        <v>4</v>
      </c>
      <c r="I753" s="4">
        <v>30086.28</v>
      </c>
      <c r="J753" s="23">
        <v>0</v>
      </c>
      <c r="K753" s="4">
        <v>30086.28</v>
      </c>
      <c r="L753" s="4">
        <v>19077.259999999998</v>
      </c>
      <c r="M753" s="4">
        <v>11009.02</v>
      </c>
      <c r="N753" t="s">
        <v>25</v>
      </c>
      <c r="O753" s="7">
        <v>39</v>
      </c>
      <c r="P753" s="2">
        <v>45741.625</v>
      </c>
      <c r="Q753" t="s">
        <v>54</v>
      </c>
      <c r="R753">
        <v>3</v>
      </c>
      <c r="S753" t="s">
        <v>55</v>
      </c>
      <c r="T753">
        <f>IF(orders[[#This Row],[Status]]="Completed",1,0)</f>
        <v>1</v>
      </c>
      <c r="U753">
        <f>IF(orders[[#This Row],[Status]]="Pending",1,0)</f>
        <v>0</v>
      </c>
      <c r="V753">
        <f>IF(orders[[#This Row],[Status]]="Delayed",1,0)</f>
        <v>0</v>
      </c>
      <c r="W753">
        <f>IF(orders[[#This Row],[Status]]="Cancelled",1,0)</f>
        <v>0</v>
      </c>
    </row>
    <row r="754" spans="1:23" x14ac:dyDescent="0.35">
      <c r="A754" t="s">
        <v>1115</v>
      </c>
      <c r="B754" s="1">
        <v>45802</v>
      </c>
      <c r="C754" t="s">
        <v>163</v>
      </c>
      <c r="D754" t="s">
        <v>45</v>
      </c>
      <c r="E754" t="s">
        <v>31</v>
      </c>
      <c r="F754" t="s">
        <v>39</v>
      </c>
      <c r="G754" t="s">
        <v>40</v>
      </c>
      <c r="H754" s="7">
        <v>2</v>
      </c>
      <c r="I754" s="4">
        <v>8198.94</v>
      </c>
      <c r="J754" s="23">
        <v>0</v>
      </c>
      <c r="K754" s="4">
        <v>8198.94</v>
      </c>
      <c r="L754" s="4">
        <v>6598.88</v>
      </c>
      <c r="M754" s="4">
        <v>1600.06</v>
      </c>
      <c r="N754" t="s">
        <v>48</v>
      </c>
      <c r="O754" s="7">
        <v>24</v>
      </c>
      <c r="P754" s="2">
        <v>45803</v>
      </c>
      <c r="Q754" t="s">
        <v>74</v>
      </c>
      <c r="R754">
        <v>5</v>
      </c>
      <c r="S754" t="s">
        <v>27</v>
      </c>
      <c r="T754">
        <f>IF(orders[[#This Row],[Status]]="Completed",1,0)</f>
        <v>0</v>
      </c>
      <c r="U754">
        <f>IF(orders[[#This Row],[Status]]="Pending",1,0)</f>
        <v>0</v>
      </c>
      <c r="V754">
        <f>IF(orders[[#This Row],[Status]]="Delayed",1,0)</f>
        <v>0</v>
      </c>
      <c r="W754">
        <f>IF(orders[[#This Row],[Status]]="Cancelled",1,0)</f>
        <v>1</v>
      </c>
    </row>
    <row r="755" spans="1:23" x14ac:dyDescent="0.35">
      <c r="A755" t="s">
        <v>1116</v>
      </c>
      <c r="B755" s="1">
        <v>45742</v>
      </c>
      <c r="C755" t="s">
        <v>259</v>
      </c>
      <c r="D755" t="s">
        <v>38</v>
      </c>
      <c r="E755" t="s">
        <v>22</v>
      </c>
      <c r="F755" t="s">
        <v>39</v>
      </c>
      <c r="G755" t="s">
        <v>93</v>
      </c>
      <c r="H755" s="7">
        <v>2</v>
      </c>
      <c r="I755" s="4">
        <v>8978.74</v>
      </c>
      <c r="J755" s="23">
        <v>0.1</v>
      </c>
      <c r="K755" s="4">
        <v>8080.87</v>
      </c>
      <c r="L755" s="4">
        <v>5603.57</v>
      </c>
      <c r="M755" s="4">
        <v>2477.3000000000002</v>
      </c>
      <c r="N755" t="s">
        <v>25</v>
      </c>
      <c r="O755" s="7">
        <v>40</v>
      </c>
      <c r="P755" s="2">
        <v>45743.666666666664</v>
      </c>
      <c r="Q755" t="s">
        <v>54</v>
      </c>
      <c r="R755">
        <v>3</v>
      </c>
      <c r="S755" t="s">
        <v>55</v>
      </c>
      <c r="T755">
        <f>IF(orders[[#This Row],[Status]]="Completed",1,0)</f>
        <v>1</v>
      </c>
      <c r="U755">
        <f>IF(orders[[#This Row],[Status]]="Pending",1,0)</f>
        <v>0</v>
      </c>
      <c r="V755">
        <f>IF(orders[[#This Row],[Status]]="Delayed",1,0)</f>
        <v>0</v>
      </c>
      <c r="W755">
        <f>IF(orders[[#This Row],[Status]]="Cancelled",1,0)</f>
        <v>0</v>
      </c>
    </row>
    <row r="756" spans="1:23" x14ac:dyDescent="0.35">
      <c r="A756" t="s">
        <v>1117</v>
      </c>
      <c r="B756" s="1">
        <v>45735</v>
      </c>
      <c r="C756" t="s">
        <v>907</v>
      </c>
      <c r="D756" t="s">
        <v>77</v>
      </c>
      <c r="E756" t="s">
        <v>52</v>
      </c>
      <c r="F756" t="s">
        <v>83</v>
      </c>
      <c r="G756" t="s">
        <v>155</v>
      </c>
      <c r="H756" s="7">
        <v>2</v>
      </c>
      <c r="I756" s="4">
        <v>3482.62</v>
      </c>
      <c r="J756" s="23">
        <v>0.2</v>
      </c>
      <c r="K756" s="4">
        <v>2786.1</v>
      </c>
      <c r="L756" s="4">
        <v>1836.49</v>
      </c>
      <c r="M756" s="4">
        <v>949.61</v>
      </c>
      <c r="N756" t="s">
        <v>48</v>
      </c>
      <c r="O756" s="7">
        <v>21</v>
      </c>
      <c r="P756" s="2">
        <v>45735.875</v>
      </c>
      <c r="Q756" t="s">
        <v>54</v>
      </c>
      <c r="R756">
        <v>3</v>
      </c>
      <c r="S756" t="s">
        <v>55</v>
      </c>
      <c r="T756">
        <f>IF(orders[[#This Row],[Status]]="Completed",1,0)</f>
        <v>0</v>
      </c>
      <c r="U756">
        <f>IF(orders[[#This Row],[Status]]="Pending",1,0)</f>
        <v>0</v>
      </c>
      <c r="V756">
        <f>IF(orders[[#This Row],[Status]]="Delayed",1,0)</f>
        <v>0</v>
      </c>
      <c r="W756">
        <f>IF(orders[[#This Row],[Status]]="Cancelled",1,0)</f>
        <v>1</v>
      </c>
    </row>
    <row r="757" spans="1:23" x14ac:dyDescent="0.35">
      <c r="A757" t="s">
        <v>1118</v>
      </c>
      <c r="B757" s="1">
        <v>45658</v>
      </c>
      <c r="C757" t="s">
        <v>474</v>
      </c>
      <c r="D757" t="s">
        <v>45</v>
      </c>
      <c r="E757" t="s">
        <v>22</v>
      </c>
      <c r="F757" t="s">
        <v>23</v>
      </c>
      <c r="G757" t="s">
        <v>122</v>
      </c>
      <c r="H757" s="7">
        <v>1</v>
      </c>
      <c r="I757" s="4">
        <v>4008.03</v>
      </c>
      <c r="J757" s="23">
        <v>0.2</v>
      </c>
      <c r="K757" s="4">
        <v>3206.42</v>
      </c>
      <c r="L757" s="4">
        <v>1952.58</v>
      </c>
      <c r="M757" s="4">
        <v>1253.8399999999999</v>
      </c>
      <c r="N757" t="s">
        <v>25</v>
      </c>
      <c r="O757" s="7">
        <v>42</v>
      </c>
      <c r="P757" s="2">
        <v>45659.75</v>
      </c>
      <c r="Q757" t="s">
        <v>65</v>
      </c>
      <c r="R757">
        <v>1</v>
      </c>
      <c r="S757" t="s">
        <v>55</v>
      </c>
      <c r="T757">
        <f>IF(orders[[#This Row],[Status]]="Completed",1,0)</f>
        <v>1</v>
      </c>
      <c r="U757">
        <f>IF(orders[[#This Row],[Status]]="Pending",1,0)</f>
        <v>0</v>
      </c>
      <c r="V757">
        <f>IF(orders[[#This Row],[Status]]="Delayed",1,0)</f>
        <v>0</v>
      </c>
      <c r="W757">
        <f>IF(orders[[#This Row],[Status]]="Cancelled",1,0)</f>
        <v>0</v>
      </c>
    </row>
    <row r="758" spans="1:23" x14ac:dyDescent="0.35">
      <c r="A758" t="s">
        <v>1119</v>
      </c>
      <c r="B758" s="1">
        <v>45708</v>
      </c>
      <c r="C758" t="s">
        <v>568</v>
      </c>
      <c r="D758" t="s">
        <v>21</v>
      </c>
      <c r="E758" t="s">
        <v>78</v>
      </c>
      <c r="F758" t="s">
        <v>32</v>
      </c>
      <c r="G758" t="s">
        <v>64</v>
      </c>
      <c r="H758" s="7">
        <v>3</v>
      </c>
      <c r="I758" s="4">
        <v>23070.84</v>
      </c>
      <c r="J758" s="23">
        <v>0.25</v>
      </c>
      <c r="K758" s="4">
        <v>17303.13</v>
      </c>
      <c r="L758" s="4">
        <v>13886.79</v>
      </c>
      <c r="M758" s="4">
        <v>3416.34</v>
      </c>
      <c r="N758" t="s">
        <v>48</v>
      </c>
      <c r="O758" s="7">
        <v>24</v>
      </c>
      <c r="P758" s="2">
        <v>45709</v>
      </c>
      <c r="Q758" t="s">
        <v>139</v>
      </c>
      <c r="R758">
        <v>2</v>
      </c>
      <c r="S758" t="s">
        <v>55</v>
      </c>
      <c r="T758">
        <f>IF(orders[[#This Row],[Status]]="Completed",1,0)</f>
        <v>0</v>
      </c>
      <c r="U758">
        <f>IF(orders[[#This Row],[Status]]="Pending",1,0)</f>
        <v>0</v>
      </c>
      <c r="V758">
        <f>IF(orders[[#This Row],[Status]]="Delayed",1,0)</f>
        <v>0</v>
      </c>
      <c r="W758">
        <f>IF(orders[[#This Row],[Status]]="Cancelled",1,0)</f>
        <v>1</v>
      </c>
    </row>
    <row r="759" spans="1:23" x14ac:dyDescent="0.35">
      <c r="A759" t="s">
        <v>1120</v>
      </c>
      <c r="B759" s="1">
        <v>45830</v>
      </c>
      <c r="C759" t="s">
        <v>560</v>
      </c>
      <c r="D759" t="s">
        <v>38</v>
      </c>
      <c r="E759" t="s">
        <v>46</v>
      </c>
      <c r="F759" t="s">
        <v>72</v>
      </c>
      <c r="G759" t="s">
        <v>129</v>
      </c>
      <c r="H759" s="7">
        <v>7</v>
      </c>
      <c r="I759" s="4">
        <v>4022.41</v>
      </c>
      <c r="J759" s="23">
        <v>0.1</v>
      </c>
      <c r="K759" s="4">
        <v>3620.17</v>
      </c>
      <c r="L759" s="4">
        <v>2930.48</v>
      </c>
      <c r="M759" s="4">
        <v>689.69</v>
      </c>
      <c r="N759" t="s">
        <v>25</v>
      </c>
      <c r="O759" s="7">
        <v>10</v>
      </c>
      <c r="P759" s="2">
        <v>45830.416666666664</v>
      </c>
      <c r="Q759" t="s">
        <v>99</v>
      </c>
      <c r="R759">
        <v>6</v>
      </c>
      <c r="S759" t="s">
        <v>27</v>
      </c>
      <c r="T759">
        <f>IF(orders[[#This Row],[Status]]="Completed",1,0)</f>
        <v>1</v>
      </c>
      <c r="U759">
        <f>IF(orders[[#This Row],[Status]]="Pending",1,0)</f>
        <v>0</v>
      </c>
      <c r="V759">
        <f>IF(orders[[#This Row],[Status]]="Delayed",1,0)</f>
        <v>0</v>
      </c>
      <c r="W759">
        <f>IF(orders[[#This Row],[Status]]="Cancelled",1,0)</f>
        <v>0</v>
      </c>
    </row>
    <row r="760" spans="1:23" x14ac:dyDescent="0.35">
      <c r="A760" t="s">
        <v>1121</v>
      </c>
      <c r="B760" s="1">
        <v>45862</v>
      </c>
      <c r="C760" t="s">
        <v>101</v>
      </c>
      <c r="D760" t="s">
        <v>149</v>
      </c>
      <c r="E760" t="s">
        <v>46</v>
      </c>
      <c r="F760" t="s">
        <v>83</v>
      </c>
      <c r="G760" t="s">
        <v>107</v>
      </c>
      <c r="H760" s="7">
        <v>2</v>
      </c>
      <c r="I760" s="4">
        <v>14721.4</v>
      </c>
      <c r="J760" s="23">
        <v>0.15</v>
      </c>
      <c r="K760" s="4">
        <v>12513.19</v>
      </c>
      <c r="L760" s="4">
        <v>9221.7999999999993</v>
      </c>
      <c r="M760" s="4">
        <v>3291.39</v>
      </c>
      <c r="N760" t="s">
        <v>85</v>
      </c>
      <c r="O760" s="7">
        <v>50</v>
      </c>
      <c r="P760" s="2">
        <v>45864.083333333336</v>
      </c>
      <c r="Q760" t="s">
        <v>60</v>
      </c>
      <c r="R760">
        <v>7</v>
      </c>
      <c r="S760" t="s">
        <v>42</v>
      </c>
      <c r="T760">
        <f>IF(orders[[#This Row],[Status]]="Completed",1,0)</f>
        <v>0</v>
      </c>
      <c r="U760">
        <f>IF(orders[[#This Row],[Status]]="Pending",1,0)</f>
        <v>0</v>
      </c>
      <c r="V760">
        <f>IF(orders[[#This Row],[Status]]="Delayed",1,0)</f>
        <v>1</v>
      </c>
      <c r="W760">
        <f>IF(orders[[#This Row],[Status]]="Cancelled",1,0)</f>
        <v>0</v>
      </c>
    </row>
    <row r="761" spans="1:23" x14ac:dyDescent="0.35">
      <c r="A761" t="s">
        <v>1122</v>
      </c>
      <c r="B761" s="1">
        <v>45917</v>
      </c>
      <c r="C761" t="s">
        <v>1074</v>
      </c>
      <c r="D761" t="s">
        <v>30</v>
      </c>
      <c r="E761" t="s">
        <v>78</v>
      </c>
      <c r="F761" t="s">
        <v>72</v>
      </c>
      <c r="G761" t="s">
        <v>129</v>
      </c>
      <c r="H761" s="7">
        <v>1</v>
      </c>
      <c r="I761" s="4">
        <v>2996.91</v>
      </c>
      <c r="J761" s="23">
        <v>0.15</v>
      </c>
      <c r="K761" s="4">
        <v>2547.37</v>
      </c>
      <c r="L761" s="4">
        <v>2205.8000000000002</v>
      </c>
      <c r="M761" s="4">
        <v>341.57</v>
      </c>
      <c r="N761" t="s">
        <v>25</v>
      </c>
      <c r="O761" s="7">
        <v>23</v>
      </c>
      <c r="P761" s="2">
        <v>45917.958333333336</v>
      </c>
      <c r="Q761" t="s">
        <v>41</v>
      </c>
      <c r="R761">
        <v>9</v>
      </c>
      <c r="S761" t="s">
        <v>42</v>
      </c>
      <c r="T761">
        <f>IF(orders[[#This Row],[Status]]="Completed",1,0)</f>
        <v>1</v>
      </c>
      <c r="U761">
        <f>IF(orders[[#This Row],[Status]]="Pending",1,0)</f>
        <v>0</v>
      </c>
      <c r="V761">
        <f>IF(orders[[#This Row],[Status]]="Delayed",1,0)</f>
        <v>0</v>
      </c>
      <c r="W761">
        <f>IF(orders[[#This Row],[Status]]="Cancelled",1,0)</f>
        <v>0</v>
      </c>
    </row>
    <row r="762" spans="1:23" x14ac:dyDescent="0.35">
      <c r="A762" t="s">
        <v>1123</v>
      </c>
      <c r="B762" s="1">
        <v>45945</v>
      </c>
      <c r="C762" t="s">
        <v>233</v>
      </c>
      <c r="D762" t="s">
        <v>149</v>
      </c>
      <c r="E762" t="s">
        <v>52</v>
      </c>
      <c r="F762" t="s">
        <v>32</v>
      </c>
      <c r="G762" t="s">
        <v>33</v>
      </c>
      <c r="H762" s="7">
        <v>4</v>
      </c>
      <c r="I762" s="4">
        <v>30643.72</v>
      </c>
      <c r="J762" s="23">
        <v>0.1</v>
      </c>
      <c r="K762" s="4">
        <v>27579.35</v>
      </c>
      <c r="L762" s="4">
        <v>18064.310000000001</v>
      </c>
      <c r="M762" s="4">
        <v>9515.0400000000009</v>
      </c>
      <c r="N762" t="s">
        <v>25</v>
      </c>
      <c r="O762" s="7">
        <v>13</v>
      </c>
      <c r="P762" s="2">
        <v>45945.541666666664</v>
      </c>
      <c r="Q762" t="s">
        <v>116</v>
      </c>
      <c r="R762">
        <v>10</v>
      </c>
      <c r="S762" t="s">
        <v>35</v>
      </c>
      <c r="T762">
        <f>IF(orders[[#This Row],[Status]]="Completed",1,0)</f>
        <v>1</v>
      </c>
      <c r="U762">
        <f>IF(orders[[#This Row],[Status]]="Pending",1,0)</f>
        <v>0</v>
      </c>
      <c r="V762">
        <f>IF(orders[[#This Row],[Status]]="Delayed",1,0)</f>
        <v>0</v>
      </c>
      <c r="W762">
        <f>IF(orders[[#This Row],[Status]]="Cancelled",1,0)</f>
        <v>0</v>
      </c>
    </row>
    <row r="763" spans="1:23" x14ac:dyDescent="0.35">
      <c r="A763" t="s">
        <v>1124</v>
      </c>
      <c r="B763" s="1">
        <v>45691</v>
      </c>
      <c r="C763" t="s">
        <v>254</v>
      </c>
      <c r="D763" t="s">
        <v>149</v>
      </c>
      <c r="E763" t="s">
        <v>31</v>
      </c>
      <c r="F763" t="s">
        <v>32</v>
      </c>
      <c r="G763" t="s">
        <v>33</v>
      </c>
      <c r="H763" s="7">
        <v>6</v>
      </c>
      <c r="I763" s="4">
        <v>48038.1</v>
      </c>
      <c r="J763" s="23">
        <v>0.05</v>
      </c>
      <c r="K763" s="4">
        <v>45636.2</v>
      </c>
      <c r="L763" s="4">
        <v>28407.360000000001</v>
      </c>
      <c r="M763" s="4">
        <v>17228.84</v>
      </c>
      <c r="N763" t="s">
        <v>48</v>
      </c>
      <c r="O763" s="7">
        <v>20</v>
      </c>
      <c r="P763" s="2">
        <v>45691.833333333336</v>
      </c>
      <c r="Q763" t="s">
        <v>139</v>
      </c>
      <c r="R763">
        <v>2</v>
      </c>
      <c r="S763" t="s">
        <v>55</v>
      </c>
      <c r="T763">
        <f>IF(orders[[#This Row],[Status]]="Completed",1,0)</f>
        <v>0</v>
      </c>
      <c r="U763">
        <f>IF(orders[[#This Row],[Status]]="Pending",1,0)</f>
        <v>0</v>
      </c>
      <c r="V763">
        <f>IF(orders[[#This Row],[Status]]="Delayed",1,0)</f>
        <v>0</v>
      </c>
      <c r="W763">
        <f>IF(orders[[#This Row],[Status]]="Cancelled",1,0)</f>
        <v>1</v>
      </c>
    </row>
    <row r="764" spans="1:23" x14ac:dyDescent="0.35">
      <c r="A764" t="s">
        <v>1125</v>
      </c>
      <c r="B764" s="1">
        <v>46005</v>
      </c>
      <c r="C764" t="s">
        <v>734</v>
      </c>
      <c r="D764" t="s">
        <v>58</v>
      </c>
      <c r="E764" t="s">
        <v>31</v>
      </c>
      <c r="F764" t="s">
        <v>39</v>
      </c>
      <c r="G764" t="s">
        <v>40</v>
      </c>
      <c r="H764" s="7">
        <v>7</v>
      </c>
      <c r="I764" s="4">
        <v>40262.04</v>
      </c>
      <c r="J764" s="23">
        <v>0.1</v>
      </c>
      <c r="K764" s="4">
        <v>36235.839999999997</v>
      </c>
      <c r="L764" s="4">
        <v>28030.74</v>
      </c>
      <c r="M764" s="4">
        <v>8205.1</v>
      </c>
      <c r="N764" t="s">
        <v>25</v>
      </c>
      <c r="O764" s="7">
        <v>7</v>
      </c>
      <c r="P764" s="2">
        <v>46005.291666666664</v>
      </c>
      <c r="Q764" t="s">
        <v>34</v>
      </c>
      <c r="R764">
        <v>12</v>
      </c>
      <c r="S764" t="s">
        <v>35</v>
      </c>
      <c r="T764">
        <f>IF(orders[[#This Row],[Status]]="Completed",1,0)</f>
        <v>1</v>
      </c>
      <c r="U764">
        <f>IF(orders[[#This Row],[Status]]="Pending",1,0)</f>
        <v>0</v>
      </c>
      <c r="V764">
        <f>IF(orders[[#This Row],[Status]]="Delayed",1,0)</f>
        <v>0</v>
      </c>
      <c r="W764">
        <f>IF(orders[[#This Row],[Status]]="Cancelled",1,0)</f>
        <v>0</v>
      </c>
    </row>
    <row r="765" spans="1:23" x14ac:dyDescent="0.35">
      <c r="A765" t="s">
        <v>1126</v>
      </c>
      <c r="B765" s="1">
        <v>45752</v>
      </c>
      <c r="C765" t="s">
        <v>821</v>
      </c>
      <c r="D765" t="s">
        <v>45</v>
      </c>
      <c r="E765" t="s">
        <v>52</v>
      </c>
      <c r="F765" t="s">
        <v>32</v>
      </c>
      <c r="G765" t="s">
        <v>79</v>
      </c>
      <c r="H765" s="7">
        <v>5</v>
      </c>
      <c r="I765" s="4">
        <v>28489.7</v>
      </c>
      <c r="J765" s="23">
        <v>0.2</v>
      </c>
      <c r="K765" s="4">
        <v>22791.759999999998</v>
      </c>
      <c r="L765" s="4">
        <v>18239.669999999998</v>
      </c>
      <c r="M765" s="4">
        <v>4552.09</v>
      </c>
      <c r="N765" t="s">
        <v>85</v>
      </c>
      <c r="O765" s="7">
        <v>65</v>
      </c>
      <c r="P765" s="2">
        <v>45754.708333333336</v>
      </c>
      <c r="Q765" t="s">
        <v>26</v>
      </c>
      <c r="R765">
        <v>4</v>
      </c>
      <c r="S765" t="s">
        <v>27</v>
      </c>
      <c r="T765">
        <f>IF(orders[[#This Row],[Status]]="Completed",1,0)</f>
        <v>0</v>
      </c>
      <c r="U765">
        <f>IF(orders[[#This Row],[Status]]="Pending",1,0)</f>
        <v>0</v>
      </c>
      <c r="V765">
        <f>IF(orders[[#This Row],[Status]]="Delayed",1,0)</f>
        <v>1</v>
      </c>
      <c r="W765">
        <f>IF(orders[[#This Row],[Status]]="Cancelled",1,0)</f>
        <v>0</v>
      </c>
    </row>
    <row r="766" spans="1:23" x14ac:dyDescent="0.35">
      <c r="A766" t="s">
        <v>1127</v>
      </c>
      <c r="B766" s="1">
        <v>45729</v>
      </c>
      <c r="C766" t="s">
        <v>62</v>
      </c>
      <c r="D766" t="s">
        <v>77</v>
      </c>
      <c r="E766" t="s">
        <v>113</v>
      </c>
      <c r="F766" t="s">
        <v>72</v>
      </c>
      <c r="G766" t="s">
        <v>104</v>
      </c>
      <c r="H766" s="7">
        <v>7</v>
      </c>
      <c r="I766" s="4">
        <v>27513.5</v>
      </c>
      <c r="J766" s="23">
        <v>0.05</v>
      </c>
      <c r="K766" s="4">
        <v>26137.82</v>
      </c>
      <c r="L766" s="4">
        <v>16315.72</v>
      </c>
      <c r="M766" s="4">
        <v>9822.1</v>
      </c>
      <c r="N766" t="s">
        <v>25</v>
      </c>
      <c r="O766" s="7">
        <v>27</v>
      </c>
      <c r="P766" s="2">
        <v>45730.125</v>
      </c>
      <c r="Q766" t="s">
        <v>54</v>
      </c>
      <c r="R766">
        <v>3</v>
      </c>
      <c r="S766" t="s">
        <v>55</v>
      </c>
      <c r="T766">
        <f>IF(orders[[#This Row],[Status]]="Completed",1,0)</f>
        <v>1</v>
      </c>
      <c r="U766">
        <f>IF(orders[[#This Row],[Status]]="Pending",1,0)</f>
        <v>0</v>
      </c>
      <c r="V766">
        <f>IF(orders[[#This Row],[Status]]="Delayed",1,0)</f>
        <v>0</v>
      </c>
      <c r="W766">
        <f>IF(orders[[#This Row],[Status]]="Cancelled",1,0)</f>
        <v>0</v>
      </c>
    </row>
    <row r="767" spans="1:23" x14ac:dyDescent="0.35">
      <c r="A767" t="s">
        <v>1128</v>
      </c>
      <c r="B767" s="1">
        <v>45696</v>
      </c>
      <c r="C767" t="s">
        <v>246</v>
      </c>
      <c r="D767" t="s">
        <v>51</v>
      </c>
      <c r="E767" t="s">
        <v>78</v>
      </c>
      <c r="F767" t="s">
        <v>23</v>
      </c>
      <c r="G767" t="s">
        <v>110</v>
      </c>
      <c r="H767" s="7">
        <v>7</v>
      </c>
      <c r="I767" s="4">
        <v>49887.32</v>
      </c>
      <c r="J767" s="23">
        <v>0.2</v>
      </c>
      <c r="K767" s="4">
        <v>39909.86</v>
      </c>
      <c r="L767" s="4">
        <v>22959.41</v>
      </c>
      <c r="M767" s="4">
        <v>16950.45</v>
      </c>
      <c r="N767" t="s">
        <v>48</v>
      </c>
      <c r="O767" s="7">
        <v>12</v>
      </c>
      <c r="P767" s="2">
        <v>45696.5</v>
      </c>
      <c r="Q767" t="s">
        <v>139</v>
      </c>
      <c r="R767">
        <v>2</v>
      </c>
      <c r="S767" t="s">
        <v>55</v>
      </c>
      <c r="T767">
        <f>IF(orders[[#This Row],[Status]]="Completed",1,0)</f>
        <v>0</v>
      </c>
      <c r="U767">
        <f>IF(orders[[#This Row],[Status]]="Pending",1,0)</f>
        <v>0</v>
      </c>
      <c r="V767">
        <f>IF(orders[[#This Row],[Status]]="Delayed",1,0)</f>
        <v>0</v>
      </c>
      <c r="W767">
        <f>IF(orders[[#This Row],[Status]]="Cancelled",1,0)</f>
        <v>1</v>
      </c>
    </row>
    <row r="768" spans="1:23" x14ac:dyDescent="0.35">
      <c r="A768" t="s">
        <v>1129</v>
      </c>
      <c r="B768" s="1">
        <v>45811</v>
      </c>
      <c r="C768" t="s">
        <v>312</v>
      </c>
      <c r="D768" t="s">
        <v>77</v>
      </c>
      <c r="E768" t="s">
        <v>59</v>
      </c>
      <c r="F768" t="s">
        <v>23</v>
      </c>
      <c r="G768" t="s">
        <v>136</v>
      </c>
      <c r="H768" s="7">
        <v>1</v>
      </c>
      <c r="I768" s="4">
        <v>8179.47</v>
      </c>
      <c r="J768" s="23">
        <v>0.05</v>
      </c>
      <c r="K768" s="4">
        <v>7770.5</v>
      </c>
      <c r="L768" s="4">
        <v>6352.15</v>
      </c>
      <c r="M768" s="4">
        <v>1418.35</v>
      </c>
      <c r="N768" t="s">
        <v>25</v>
      </c>
      <c r="O768" s="7">
        <v>44</v>
      </c>
      <c r="P768" s="2">
        <v>45812.833333333336</v>
      </c>
      <c r="Q768" t="s">
        <v>99</v>
      </c>
      <c r="R768">
        <v>6</v>
      </c>
      <c r="S768" t="s">
        <v>27</v>
      </c>
      <c r="T768">
        <f>IF(orders[[#This Row],[Status]]="Completed",1,0)</f>
        <v>1</v>
      </c>
      <c r="U768">
        <f>IF(orders[[#This Row],[Status]]="Pending",1,0)</f>
        <v>0</v>
      </c>
      <c r="V768">
        <f>IF(orders[[#This Row],[Status]]="Delayed",1,0)</f>
        <v>0</v>
      </c>
      <c r="W768">
        <f>IF(orders[[#This Row],[Status]]="Cancelled",1,0)</f>
        <v>0</v>
      </c>
    </row>
    <row r="769" spans="1:23" x14ac:dyDescent="0.35">
      <c r="A769" t="s">
        <v>1130</v>
      </c>
      <c r="B769" s="1">
        <v>45907</v>
      </c>
      <c r="C769" t="s">
        <v>451</v>
      </c>
      <c r="D769" t="s">
        <v>149</v>
      </c>
      <c r="E769" t="s">
        <v>92</v>
      </c>
      <c r="F769" t="s">
        <v>39</v>
      </c>
      <c r="G769" t="s">
        <v>40</v>
      </c>
      <c r="H769" s="7">
        <v>5</v>
      </c>
      <c r="I769" s="4">
        <v>33109.65</v>
      </c>
      <c r="J769" s="23">
        <v>0.15</v>
      </c>
      <c r="K769" s="4">
        <v>28143.200000000001</v>
      </c>
      <c r="L769" s="4">
        <v>24547.78</v>
      </c>
      <c r="M769" s="4">
        <v>3595.42</v>
      </c>
      <c r="N769" t="s">
        <v>25</v>
      </c>
      <c r="O769" s="7">
        <v>4</v>
      </c>
      <c r="P769" s="2">
        <v>45907.166666666664</v>
      </c>
      <c r="Q769" t="s">
        <v>41</v>
      </c>
      <c r="R769">
        <v>9</v>
      </c>
      <c r="S769" t="s">
        <v>42</v>
      </c>
      <c r="T769">
        <f>IF(orders[[#This Row],[Status]]="Completed",1,0)</f>
        <v>1</v>
      </c>
      <c r="U769">
        <f>IF(orders[[#This Row],[Status]]="Pending",1,0)</f>
        <v>0</v>
      </c>
      <c r="V769">
        <f>IF(orders[[#This Row],[Status]]="Delayed",1,0)</f>
        <v>0</v>
      </c>
      <c r="W769">
        <f>IF(orders[[#This Row],[Status]]="Cancelled",1,0)</f>
        <v>0</v>
      </c>
    </row>
    <row r="770" spans="1:23" x14ac:dyDescent="0.35">
      <c r="A770" t="s">
        <v>1131</v>
      </c>
      <c r="B770" s="1">
        <v>45819</v>
      </c>
      <c r="C770" t="s">
        <v>811</v>
      </c>
      <c r="D770" t="s">
        <v>21</v>
      </c>
      <c r="E770" t="s">
        <v>78</v>
      </c>
      <c r="F770" t="s">
        <v>72</v>
      </c>
      <c r="G770" t="s">
        <v>73</v>
      </c>
      <c r="H770" s="7">
        <v>2</v>
      </c>
      <c r="I770" s="4">
        <v>10686.34</v>
      </c>
      <c r="J770" s="23">
        <v>0.1</v>
      </c>
      <c r="K770" s="4">
        <v>9617.7099999999991</v>
      </c>
      <c r="L770" s="4">
        <v>7335.83</v>
      </c>
      <c r="M770" s="4">
        <v>2281.88</v>
      </c>
      <c r="N770" t="s">
        <v>85</v>
      </c>
      <c r="O770" s="7">
        <v>76</v>
      </c>
      <c r="P770" s="2">
        <v>45822.166666666664</v>
      </c>
      <c r="Q770" t="s">
        <v>99</v>
      </c>
      <c r="R770">
        <v>6</v>
      </c>
      <c r="S770" t="s">
        <v>27</v>
      </c>
      <c r="T770">
        <f>IF(orders[[#This Row],[Status]]="Completed",1,0)</f>
        <v>0</v>
      </c>
      <c r="U770">
        <f>IF(orders[[#This Row],[Status]]="Pending",1,0)</f>
        <v>0</v>
      </c>
      <c r="V770">
        <f>IF(orders[[#This Row],[Status]]="Delayed",1,0)</f>
        <v>1</v>
      </c>
      <c r="W770">
        <f>IF(orders[[#This Row],[Status]]="Cancelled",1,0)</f>
        <v>0</v>
      </c>
    </row>
    <row r="771" spans="1:23" x14ac:dyDescent="0.35">
      <c r="A771" t="s">
        <v>1132</v>
      </c>
      <c r="B771" s="1">
        <v>45775</v>
      </c>
      <c r="C771" t="s">
        <v>925</v>
      </c>
      <c r="D771" t="s">
        <v>30</v>
      </c>
      <c r="E771" t="s">
        <v>31</v>
      </c>
      <c r="F771" t="s">
        <v>72</v>
      </c>
      <c r="G771" t="s">
        <v>104</v>
      </c>
      <c r="H771" s="7">
        <v>2</v>
      </c>
      <c r="I771" s="4">
        <v>10433.44</v>
      </c>
      <c r="J771" s="23">
        <v>0.15</v>
      </c>
      <c r="K771" s="4">
        <v>8868.42</v>
      </c>
      <c r="L771" s="4">
        <v>5690.83</v>
      </c>
      <c r="M771" s="4">
        <v>3177.59</v>
      </c>
      <c r="N771" t="s">
        <v>25</v>
      </c>
      <c r="O771" s="7">
        <v>48</v>
      </c>
      <c r="P771" s="2">
        <v>45777</v>
      </c>
      <c r="Q771" t="s">
        <v>26</v>
      </c>
      <c r="R771">
        <v>4</v>
      </c>
      <c r="S771" t="s">
        <v>27</v>
      </c>
      <c r="T771">
        <f>IF(orders[[#This Row],[Status]]="Completed",1,0)</f>
        <v>1</v>
      </c>
      <c r="U771">
        <f>IF(orders[[#This Row],[Status]]="Pending",1,0)</f>
        <v>0</v>
      </c>
      <c r="V771">
        <f>IF(orders[[#This Row],[Status]]="Delayed",1,0)</f>
        <v>0</v>
      </c>
      <c r="W771">
        <f>IF(orders[[#This Row],[Status]]="Cancelled",1,0)</f>
        <v>0</v>
      </c>
    </row>
    <row r="772" spans="1:23" x14ac:dyDescent="0.35">
      <c r="A772" t="s">
        <v>1133</v>
      </c>
      <c r="B772" s="1">
        <v>45916</v>
      </c>
      <c r="C772" t="s">
        <v>179</v>
      </c>
      <c r="D772" t="s">
        <v>68</v>
      </c>
      <c r="E772" t="s">
        <v>59</v>
      </c>
      <c r="F772" t="s">
        <v>32</v>
      </c>
      <c r="G772" t="s">
        <v>33</v>
      </c>
      <c r="H772" s="7">
        <v>7</v>
      </c>
      <c r="I772" s="4">
        <v>50701.49</v>
      </c>
      <c r="J772" s="23">
        <v>0.05</v>
      </c>
      <c r="K772" s="4">
        <v>48166.42</v>
      </c>
      <c r="L772" s="4">
        <v>42333.56</v>
      </c>
      <c r="M772" s="4">
        <v>5832.86</v>
      </c>
      <c r="N772" t="s">
        <v>98</v>
      </c>
      <c r="O772" s="7">
        <v>12</v>
      </c>
      <c r="P772" s="2">
        <v>45916.5</v>
      </c>
      <c r="Q772" t="s">
        <v>41</v>
      </c>
      <c r="R772">
        <v>9</v>
      </c>
      <c r="S772" t="s">
        <v>42</v>
      </c>
      <c r="T772">
        <f>IF(orders[[#This Row],[Status]]="Completed",1,0)</f>
        <v>0</v>
      </c>
      <c r="U772">
        <f>IF(orders[[#This Row],[Status]]="Pending",1,0)</f>
        <v>1</v>
      </c>
      <c r="V772">
        <f>IF(orders[[#This Row],[Status]]="Delayed",1,0)</f>
        <v>0</v>
      </c>
      <c r="W772">
        <f>IF(orders[[#This Row],[Status]]="Cancelled",1,0)</f>
        <v>0</v>
      </c>
    </row>
    <row r="773" spans="1:23" x14ac:dyDescent="0.35">
      <c r="A773" t="s">
        <v>1134</v>
      </c>
      <c r="B773" s="1">
        <v>45963</v>
      </c>
      <c r="C773" t="s">
        <v>143</v>
      </c>
      <c r="D773" t="s">
        <v>77</v>
      </c>
      <c r="E773" t="s">
        <v>92</v>
      </c>
      <c r="F773" t="s">
        <v>72</v>
      </c>
      <c r="G773" t="s">
        <v>104</v>
      </c>
      <c r="H773" s="7">
        <v>1</v>
      </c>
      <c r="I773" s="4">
        <v>4669.05</v>
      </c>
      <c r="J773" s="23">
        <v>0.2</v>
      </c>
      <c r="K773" s="4">
        <v>3735.24</v>
      </c>
      <c r="L773" s="4">
        <v>3155.45</v>
      </c>
      <c r="M773" s="4">
        <v>579.79</v>
      </c>
      <c r="N773" t="s">
        <v>85</v>
      </c>
      <c r="O773" s="7">
        <v>60</v>
      </c>
      <c r="P773" s="2">
        <v>45965.5</v>
      </c>
      <c r="Q773" t="s">
        <v>86</v>
      </c>
      <c r="R773">
        <v>11</v>
      </c>
      <c r="S773" t="s">
        <v>35</v>
      </c>
      <c r="T773">
        <f>IF(orders[[#This Row],[Status]]="Completed",1,0)</f>
        <v>0</v>
      </c>
      <c r="U773">
        <f>IF(orders[[#This Row],[Status]]="Pending",1,0)</f>
        <v>0</v>
      </c>
      <c r="V773">
        <f>IF(orders[[#This Row],[Status]]="Delayed",1,0)</f>
        <v>1</v>
      </c>
      <c r="W773">
        <f>IF(orders[[#This Row],[Status]]="Cancelled",1,0)</f>
        <v>0</v>
      </c>
    </row>
    <row r="774" spans="1:23" x14ac:dyDescent="0.35">
      <c r="A774" t="s">
        <v>1135</v>
      </c>
      <c r="B774" s="1">
        <v>45925</v>
      </c>
      <c r="C774" t="s">
        <v>233</v>
      </c>
      <c r="D774" t="s">
        <v>149</v>
      </c>
      <c r="E774" t="s">
        <v>22</v>
      </c>
      <c r="F774" t="s">
        <v>83</v>
      </c>
      <c r="G774" t="s">
        <v>107</v>
      </c>
      <c r="H774" s="7">
        <v>5</v>
      </c>
      <c r="I774" s="4">
        <v>34311.15</v>
      </c>
      <c r="J774" s="23">
        <v>0.1</v>
      </c>
      <c r="K774" s="4">
        <v>30880.04</v>
      </c>
      <c r="L774" s="4">
        <v>22215.58</v>
      </c>
      <c r="M774" s="4">
        <v>8664.4599999999991</v>
      </c>
      <c r="N774" t="s">
        <v>25</v>
      </c>
      <c r="O774" s="7">
        <v>10</v>
      </c>
      <c r="P774" s="2">
        <v>45925.416666666664</v>
      </c>
      <c r="Q774" t="s">
        <v>41</v>
      </c>
      <c r="R774">
        <v>9</v>
      </c>
      <c r="S774" t="s">
        <v>42</v>
      </c>
      <c r="T774">
        <f>IF(orders[[#This Row],[Status]]="Completed",1,0)</f>
        <v>1</v>
      </c>
      <c r="U774">
        <f>IF(orders[[#This Row],[Status]]="Pending",1,0)</f>
        <v>0</v>
      </c>
      <c r="V774">
        <f>IF(orders[[#This Row],[Status]]="Delayed",1,0)</f>
        <v>0</v>
      </c>
      <c r="W774">
        <f>IF(orders[[#This Row],[Status]]="Cancelled",1,0)</f>
        <v>0</v>
      </c>
    </row>
    <row r="775" spans="1:23" x14ac:dyDescent="0.35">
      <c r="A775" t="s">
        <v>1136</v>
      </c>
      <c r="B775" s="1">
        <v>45711</v>
      </c>
      <c r="C775" t="s">
        <v>1011</v>
      </c>
      <c r="D775" t="s">
        <v>30</v>
      </c>
      <c r="E775" t="s">
        <v>92</v>
      </c>
      <c r="F775" t="s">
        <v>32</v>
      </c>
      <c r="G775" t="s">
        <v>53</v>
      </c>
      <c r="H775" s="7">
        <v>2</v>
      </c>
      <c r="I775" s="4">
        <v>8798.3799999999992</v>
      </c>
      <c r="J775" s="23">
        <v>0.05</v>
      </c>
      <c r="K775" s="4">
        <v>8358.4599999999991</v>
      </c>
      <c r="L775" s="4">
        <v>6873.63</v>
      </c>
      <c r="M775" s="4">
        <v>1484.83</v>
      </c>
      <c r="N775" t="s">
        <v>25</v>
      </c>
      <c r="O775" s="7">
        <v>12</v>
      </c>
      <c r="P775" s="2">
        <v>45711.5</v>
      </c>
      <c r="Q775" t="s">
        <v>139</v>
      </c>
      <c r="R775">
        <v>2</v>
      </c>
      <c r="S775" t="s">
        <v>55</v>
      </c>
      <c r="T775">
        <f>IF(orders[[#This Row],[Status]]="Completed",1,0)</f>
        <v>1</v>
      </c>
      <c r="U775">
        <f>IF(orders[[#This Row],[Status]]="Pending",1,0)</f>
        <v>0</v>
      </c>
      <c r="V775">
        <f>IF(orders[[#This Row],[Status]]="Delayed",1,0)</f>
        <v>0</v>
      </c>
      <c r="W775">
        <f>IF(orders[[#This Row],[Status]]="Cancelled",1,0)</f>
        <v>0</v>
      </c>
    </row>
    <row r="776" spans="1:23" x14ac:dyDescent="0.35">
      <c r="A776" t="s">
        <v>1137</v>
      </c>
      <c r="B776" s="1">
        <v>45893</v>
      </c>
      <c r="C776" t="s">
        <v>71</v>
      </c>
      <c r="D776" t="s">
        <v>38</v>
      </c>
      <c r="E776" t="s">
        <v>31</v>
      </c>
      <c r="F776" t="s">
        <v>83</v>
      </c>
      <c r="G776" t="s">
        <v>155</v>
      </c>
      <c r="H776" s="7">
        <v>4</v>
      </c>
      <c r="I776" s="4">
        <v>2685.64</v>
      </c>
      <c r="J776" s="23">
        <v>0.1</v>
      </c>
      <c r="K776" s="4">
        <v>2417.08</v>
      </c>
      <c r="L776" s="4">
        <v>1980.12</v>
      </c>
      <c r="M776" s="4">
        <v>436.96</v>
      </c>
      <c r="N776" t="s">
        <v>48</v>
      </c>
      <c r="O776" s="7">
        <v>4</v>
      </c>
      <c r="P776" s="2">
        <v>45893.166666666664</v>
      </c>
      <c r="Q776" t="s">
        <v>80</v>
      </c>
      <c r="R776">
        <v>8</v>
      </c>
      <c r="S776" t="s">
        <v>42</v>
      </c>
      <c r="T776">
        <f>IF(orders[[#This Row],[Status]]="Completed",1,0)</f>
        <v>0</v>
      </c>
      <c r="U776">
        <f>IF(orders[[#This Row],[Status]]="Pending",1,0)</f>
        <v>0</v>
      </c>
      <c r="V776">
        <f>IF(orders[[#This Row],[Status]]="Delayed",1,0)</f>
        <v>0</v>
      </c>
      <c r="W776">
        <f>IF(orders[[#This Row],[Status]]="Cancelled",1,0)</f>
        <v>1</v>
      </c>
    </row>
    <row r="777" spans="1:23" x14ac:dyDescent="0.35">
      <c r="A777" t="s">
        <v>1138</v>
      </c>
      <c r="B777" s="1">
        <v>45879</v>
      </c>
      <c r="C777" t="s">
        <v>684</v>
      </c>
      <c r="D777" t="s">
        <v>45</v>
      </c>
      <c r="E777" t="s">
        <v>113</v>
      </c>
      <c r="F777" t="s">
        <v>39</v>
      </c>
      <c r="G777" t="s">
        <v>47</v>
      </c>
      <c r="H777" s="7">
        <v>3</v>
      </c>
      <c r="I777" s="4">
        <v>10067.879999999999</v>
      </c>
      <c r="J777" s="23">
        <v>0.05</v>
      </c>
      <c r="K777" s="4">
        <v>9564.49</v>
      </c>
      <c r="L777" s="4">
        <v>8210.9599999999991</v>
      </c>
      <c r="M777" s="4">
        <v>1353.53</v>
      </c>
      <c r="N777" t="s">
        <v>25</v>
      </c>
      <c r="O777" s="7">
        <v>38</v>
      </c>
      <c r="P777" s="2">
        <v>45880.583333333336</v>
      </c>
      <c r="Q777" t="s">
        <v>80</v>
      </c>
      <c r="R777">
        <v>8</v>
      </c>
      <c r="S777" t="s">
        <v>42</v>
      </c>
      <c r="T777">
        <f>IF(orders[[#This Row],[Status]]="Completed",1,0)</f>
        <v>1</v>
      </c>
      <c r="U777">
        <f>IF(orders[[#This Row],[Status]]="Pending",1,0)</f>
        <v>0</v>
      </c>
      <c r="V777">
        <f>IF(orders[[#This Row],[Status]]="Delayed",1,0)</f>
        <v>0</v>
      </c>
      <c r="W777">
        <f>IF(orders[[#This Row],[Status]]="Cancelled",1,0)</f>
        <v>0</v>
      </c>
    </row>
    <row r="778" spans="1:23" x14ac:dyDescent="0.35">
      <c r="A778" t="s">
        <v>1139</v>
      </c>
      <c r="B778" s="1">
        <v>45908</v>
      </c>
      <c r="C778" t="s">
        <v>20</v>
      </c>
      <c r="D778" t="s">
        <v>63</v>
      </c>
      <c r="E778" t="s">
        <v>113</v>
      </c>
      <c r="F778" t="s">
        <v>23</v>
      </c>
      <c r="G778" t="s">
        <v>24</v>
      </c>
      <c r="H778" s="7">
        <v>3</v>
      </c>
      <c r="I778" s="4">
        <v>11583.24</v>
      </c>
      <c r="J778" s="23">
        <v>0.05</v>
      </c>
      <c r="K778" s="4">
        <v>11004.08</v>
      </c>
      <c r="L778" s="4">
        <v>9105.93</v>
      </c>
      <c r="M778" s="4">
        <v>1898.15</v>
      </c>
      <c r="N778" t="s">
        <v>25</v>
      </c>
      <c r="O778" s="7">
        <v>15</v>
      </c>
      <c r="P778" s="2">
        <v>45908.625</v>
      </c>
      <c r="Q778" t="s">
        <v>41</v>
      </c>
      <c r="R778">
        <v>9</v>
      </c>
      <c r="S778" t="s">
        <v>42</v>
      </c>
      <c r="T778">
        <f>IF(orders[[#This Row],[Status]]="Completed",1,0)</f>
        <v>1</v>
      </c>
      <c r="U778">
        <f>IF(orders[[#This Row],[Status]]="Pending",1,0)</f>
        <v>0</v>
      </c>
      <c r="V778">
        <f>IF(orders[[#This Row],[Status]]="Delayed",1,0)</f>
        <v>0</v>
      </c>
      <c r="W778">
        <f>IF(orders[[#This Row],[Status]]="Cancelled",1,0)</f>
        <v>0</v>
      </c>
    </row>
    <row r="779" spans="1:23" x14ac:dyDescent="0.35">
      <c r="A779" t="s">
        <v>1140</v>
      </c>
      <c r="B779" s="1">
        <v>45970</v>
      </c>
      <c r="C779" t="s">
        <v>88</v>
      </c>
      <c r="D779" t="s">
        <v>58</v>
      </c>
      <c r="E779" t="s">
        <v>59</v>
      </c>
      <c r="F779" t="s">
        <v>39</v>
      </c>
      <c r="G779" t="s">
        <v>47</v>
      </c>
      <c r="H779" s="7">
        <v>2</v>
      </c>
      <c r="I779" s="4">
        <v>2665</v>
      </c>
      <c r="J779" s="23">
        <v>0.05</v>
      </c>
      <c r="K779" s="4">
        <v>2531.75</v>
      </c>
      <c r="L779" s="4">
        <v>1930.24</v>
      </c>
      <c r="M779" s="4">
        <v>601.51</v>
      </c>
      <c r="N779" t="s">
        <v>48</v>
      </c>
      <c r="O779" s="7">
        <v>7</v>
      </c>
      <c r="P779" s="2">
        <v>45970.291666666664</v>
      </c>
      <c r="Q779" t="s">
        <v>86</v>
      </c>
      <c r="R779">
        <v>11</v>
      </c>
      <c r="S779" t="s">
        <v>35</v>
      </c>
      <c r="T779">
        <f>IF(orders[[#This Row],[Status]]="Completed",1,0)</f>
        <v>0</v>
      </c>
      <c r="U779">
        <f>IF(orders[[#This Row],[Status]]="Pending",1,0)</f>
        <v>0</v>
      </c>
      <c r="V779">
        <f>IF(orders[[#This Row],[Status]]="Delayed",1,0)</f>
        <v>0</v>
      </c>
      <c r="W779">
        <f>IF(orders[[#This Row],[Status]]="Cancelled",1,0)</f>
        <v>1</v>
      </c>
    </row>
    <row r="780" spans="1:23" x14ac:dyDescent="0.35">
      <c r="A780" t="s">
        <v>1141</v>
      </c>
      <c r="B780" s="1">
        <v>45769</v>
      </c>
      <c r="C780" t="s">
        <v>196</v>
      </c>
      <c r="D780" t="s">
        <v>30</v>
      </c>
      <c r="E780" t="s">
        <v>22</v>
      </c>
      <c r="F780" t="s">
        <v>23</v>
      </c>
      <c r="G780" t="s">
        <v>122</v>
      </c>
      <c r="H780" s="7">
        <v>5</v>
      </c>
      <c r="I780" s="4">
        <v>5029.2</v>
      </c>
      <c r="J780" s="23">
        <v>0.2</v>
      </c>
      <c r="K780" s="4">
        <v>4023.36</v>
      </c>
      <c r="L780" s="4">
        <v>3021.83</v>
      </c>
      <c r="M780" s="4">
        <v>1001.53</v>
      </c>
      <c r="N780" t="s">
        <v>98</v>
      </c>
      <c r="O780" s="7">
        <v>23</v>
      </c>
      <c r="P780" s="2">
        <v>45769.958333333336</v>
      </c>
      <c r="Q780" t="s">
        <v>26</v>
      </c>
      <c r="R780">
        <v>4</v>
      </c>
      <c r="S780" t="s">
        <v>27</v>
      </c>
      <c r="T780">
        <f>IF(orders[[#This Row],[Status]]="Completed",1,0)</f>
        <v>0</v>
      </c>
      <c r="U780">
        <f>IF(orders[[#This Row],[Status]]="Pending",1,0)</f>
        <v>1</v>
      </c>
      <c r="V780">
        <f>IF(orders[[#This Row],[Status]]="Delayed",1,0)</f>
        <v>0</v>
      </c>
      <c r="W780">
        <f>IF(orders[[#This Row],[Status]]="Cancelled",1,0)</f>
        <v>0</v>
      </c>
    </row>
    <row r="781" spans="1:23" x14ac:dyDescent="0.35">
      <c r="A781" t="s">
        <v>1142</v>
      </c>
      <c r="B781" s="1">
        <v>45912</v>
      </c>
      <c r="C781" t="s">
        <v>171</v>
      </c>
      <c r="D781" t="s">
        <v>21</v>
      </c>
      <c r="E781" t="s">
        <v>59</v>
      </c>
      <c r="F781" t="s">
        <v>39</v>
      </c>
      <c r="G781" t="s">
        <v>93</v>
      </c>
      <c r="H781" s="7">
        <v>6</v>
      </c>
      <c r="I781" s="4">
        <v>27726.78</v>
      </c>
      <c r="J781" s="23">
        <v>0.1</v>
      </c>
      <c r="K781" s="4">
        <v>24954.1</v>
      </c>
      <c r="L781" s="4">
        <v>17573.37</v>
      </c>
      <c r="M781" s="4">
        <v>7380.73</v>
      </c>
      <c r="N781" t="s">
        <v>48</v>
      </c>
      <c r="O781" s="7">
        <v>6</v>
      </c>
      <c r="P781" s="2">
        <v>45912.25</v>
      </c>
      <c r="Q781" t="s">
        <v>41</v>
      </c>
      <c r="R781">
        <v>9</v>
      </c>
      <c r="S781" t="s">
        <v>42</v>
      </c>
      <c r="T781">
        <f>IF(orders[[#This Row],[Status]]="Completed",1,0)</f>
        <v>0</v>
      </c>
      <c r="U781">
        <f>IF(orders[[#This Row],[Status]]="Pending",1,0)</f>
        <v>0</v>
      </c>
      <c r="V781">
        <f>IF(orders[[#This Row],[Status]]="Delayed",1,0)</f>
        <v>0</v>
      </c>
      <c r="W781">
        <f>IF(orders[[#This Row],[Status]]="Cancelled",1,0)</f>
        <v>1</v>
      </c>
    </row>
    <row r="782" spans="1:23" x14ac:dyDescent="0.35">
      <c r="A782" t="s">
        <v>1143</v>
      </c>
      <c r="B782" s="1">
        <v>45960</v>
      </c>
      <c r="C782" t="s">
        <v>91</v>
      </c>
      <c r="D782" t="s">
        <v>21</v>
      </c>
      <c r="E782" t="s">
        <v>52</v>
      </c>
      <c r="F782" t="s">
        <v>72</v>
      </c>
      <c r="G782" t="s">
        <v>146</v>
      </c>
      <c r="H782" s="7">
        <v>2</v>
      </c>
      <c r="I782" s="4">
        <v>1721.9</v>
      </c>
      <c r="J782" s="23">
        <v>0.1</v>
      </c>
      <c r="K782" s="4">
        <v>1549.71</v>
      </c>
      <c r="L782" s="4">
        <v>1172.73</v>
      </c>
      <c r="M782" s="4">
        <v>376.98</v>
      </c>
      <c r="N782" t="s">
        <v>98</v>
      </c>
      <c r="O782" s="7">
        <v>20</v>
      </c>
      <c r="P782" s="2">
        <v>45960.833333333336</v>
      </c>
      <c r="Q782" t="s">
        <v>116</v>
      </c>
      <c r="R782">
        <v>10</v>
      </c>
      <c r="S782" t="s">
        <v>35</v>
      </c>
      <c r="T782">
        <f>IF(orders[[#This Row],[Status]]="Completed",1,0)</f>
        <v>0</v>
      </c>
      <c r="U782">
        <f>IF(orders[[#This Row],[Status]]="Pending",1,0)</f>
        <v>1</v>
      </c>
      <c r="V782">
        <f>IF(orders[[#This Row],[Status]]="Delayed",1,0)</f>
        <v>0</v>
      </c>
      <c r="W782">
        <f>IF(orders[[#This Row],[Status]]="Cancelled",1,0)</f>
        <v>0</v>
      </c>
    </row>
    <row r="783" spans="1:23" x14ac:dyDescent="0.35">
      <c r="A783" t="s">
        <v>1144</v>
      </c>
      <c r="B783" s="1">
        <v>45864</v>
      </c>
      <c r="C783" t="s">
        <v>135</v>
      </c>
      <c r="D783" t="s">
        <v>30</v>
      </c>
      <c r="E783" t="s">
        <v>113</v>
      </c>
      <c r="F783" t="s">
        <v>83</v>
      </c>
      <c r="G783" t="s">
        <v>155</v>
      </c>
      <c r="H783" s="7">
        <v>6</v>
      </c>
      <c r="I783" s="4">
        <v>16077.54</v>
      </c>
      <c r="J783" s="23">
        <v>0.05</v>
      </c>
      <c r="K783" s="4">
        <v>15273.66</v>
      </c>
      <c r="L783" s="4">
        <v>12408.65</v>
      </c>
      <c r="M783" s="4">
        <v>2865.01</v>
      </c>
      <c r="N783" t="s">
        <v>48</v>
      </c>
      <c r="O783" s="7">
        <v>17</v>
      </c>
      <c r="P783" s="2">
        <v>45864.708333333336</v>
      </c>
      <c r="Q783" t="s">
        <v>60</v>
      </c>
      <c r="R783">
        <v>7</v>
      </c>
      <c r="S783" t="s">
        <v>42</v>
      </c>
      <c r="T783">
        <f>IF(orders[[#This Row],[Status]]="Completed",1,0)</f>
        <v>0</v>
      </c>
      <c r="U783">
        <f>IF(orders[[#This Row],[Status]]="Pending",1,0)</f>
        <v>0</v>
      </c>
      <c r="V783">
        <f>IF(orders[[#This Row],[Status]]="Delayed",1,0)</f>
        <v>0</v>
      </c>
      <c r="W783">
        <f>IF(orders[[#This Row],[Status]]="Cancelled",1,0)</f>
        <v>1</v>
      </c>
    </row>
    <row r="784" spans="1:23" x14ac:dyDescent="0.35">
      <c r="A784" t="s">
        <v>1145</v>
      </c>
      <c r="B784" s="1">
        <v>45886</v>
      </c>
      <c r="C784" t="s">
        <v>281</v>
      </c>
      <c r="D784" t="s">
        <v>21</v>
      </c>
      <c r="E784" t="s">
        <v>59</v>
      </c>
      <c r="F784" t="s">
        <v>23</v>
      </c>
      <c r="G784" t="s">
        <v>69</v>
      </c>
      <c r="H784" s="7">
        <v>6</v>
      </c>
      <c r="I784" s="4">
        <v>38204.28</v>
      </c>
      <c r="J784" s="23">
        <v>0.05</v>
      </c>
      <c r="K784" s="4">
        <v>36294.07</v>
      </c>
      <c r="L784" s="4">
        <v>31567.94</v>
      </c>
      <c r="M784" s="4">
        <v>4726.13</v>
      </c>
      <c r="N784" t="s">
        <v>25</v>
      </c>
      <c r="O784" s="7">
        <v>36</v>
      </c>
      <c r="P784" s="2">
        <v>45887.5</v>
      </c>
      <c r="Q784" t="s">
        <v>80</v>
      </c>
      <c r="R784">
        <v>8</v>
      </c>
      <c r="S784" t="s">
        <v>42</v>
      </c>
      <c r="T784">
        <f>IF(orders[[#This Row],[Status]]="Completed",1,0)</f>
        <v>1</v>
      </c>
      <c r="U784">
        <f>IF(orders[[#This Row],[Status]]="Pending",1,0)</f>
        <v>0</v>
      </c>
      <c r="V784">
        <f>IF(orders[[#This Row],[Status]]="Delayed",1,0)</f>
        <v>0</v>
      </c>
      <c r="W784">
        <f>IF(orders[[#This Row],[Status]]="Cancelled",1,0)</f>
        <v>0</v>
      </c>
    </row>
    <row r="785" spans="1:23" x14ac:dyDescent="0.35">
      <c r="A785" t="s">
        <v>1146</v>
      </c>
      <c r="B785" s="1">
        <v>45998</v>
      </c>
      <c r="C785" t="s">
        <v>1147</v>
      </c>
      <c r="D785" t="s">
        <v>45</v>
      </c>
      <c r="E785" t="s">
        <v>52</v>
      </c>
      <c r="F785" t="s">
        <v>32</v>
      </c>
      <c r="G785" t="s">
        <v>79</v>
      </c>
      <c r="H785" s="7">
        <v>5</v>
      </c>
      <c r="I785" s="4">
        <v>41015.050000000003</v>
      </c>
      <c r="J785" s="23">
        <v>0.25</v>
      </c>
      <c r="K785" s="4">
        <v>30761.29</v>
      </c>
      <c r="L785" s="4">
        <v>21662.25</v>
      </c>
      <c r="M785" s="4">
        <v>9099.0400000000009</v>
      </c>
      <c r="N785" t="s">
        <v>98</v>
      </c>
      <c r="O785" s="7">
        <v>14</v>
      </c>
      <c r="P785" s="2">
        <v>45998.583333333336</v>
      </c>
      <c r="Q785" t="s">
        <v>34</v>
      </c>
      <c r="R785">
        <v>12</v>
      </c>
      <c r="S785" t="s">
        <v>35</v>
      </c>
      <c r="T785">
        <f>IF(orders[[#This Row],[Status]]="Completed",1,0)</f>
        <v>0</v>
      </c>
      <c r="U785">
        <f>IF(orders[[#This Row],[Status]]="Pending",1,0)</f>
        <v>1</v>
      </c>
      <c r="V785">
        <f>IF(orders[[#This Row],[Status]]="Delayed",1,0)</f>
        <v>0</v>
      </c>
      <c r="W785">
        <f>IF(orders[[#This Row],[Status]]="Cancelled",1,0)</f>
        <v>0</v>
      </c>
    </row>
    <row r="786" spans="1:23" x14ac:dyDescent="0.35">
      <c r="A786" t="s">
        <v>1148</v>
      </c>
      <c r="B786" s="1">
        <v>45723</v>
      </c>
      <c r="C786" t="s">
        <v>240</v>
      </c>
      <c r="D786" t="s">
        <v>21</v>
      </c>
      <c r="E786" t="s">
        <v>22</v>
      </c>
      <c r="F786" t="s">
        <v>83</v>
      </c>
      <c r="G786" t="s">
        <v>152</v>
      </c>
      <c r="H786" s="7">
        <v>6</v>
      </c>
      <c r="I786" s="4">
        <v>36865.32</v>
      </c>
      <c r="J786" s="23">
        <v>0.1</v>
      </c>
      <c r="K786" s="4">
        <v>33178.79</v>
      </c>
      <c r="L786" s="4">
        <v>24529.26</v>
      </c>
      <c r="M786" s="4">
        <v>8649.5300000000007</v>
      </c>
      <c r="N786" t="s">
        <v>25</v>
      </c>
      <c r="O786" s="7">
        <v>5</v>
      </c>
      <c r="P786" s="2">
        <v>45723.208333333336</v>
      </c>
      <c r="Q786" t="s">
        <v>54</v>
      </c>
      <c r="R786">
        <v>3</v>
      </c>
      <c r="S786" t="s">
        <v>55</v>
      </c>
      <c r="T786">
        <f>IF(orders[[#This Row],[Status]]="Completed",1,0)</f>
        <v>1</v>
      </c>
      <c r="U786">
        <f>IF(orders[[#This Row],[Status]]="Pending",1,0)</f>
        <v>0</v>
      </c>
      <c r="V786">
        <f>IF(orders[[#This Row],[Status]]="Delayed",1,0)</f>
        <v>0</v>
      </c>
      <c r="W786">
        <f>IF(orders[[#This Row],[Status]]="Cancelled",1,0)</f>
        <v>0</v>
      </c>
    </row>
    <row r="787" spans="1:23" x14ac:dyDescent="0.35">
      <c r="A787" t="s">
        <v>1149</v>
      </c>
      <c r="B787" s="1">
        <v>45732</v>
      </c>
      <c r="C787" t="s">
        <v>409</v>
      </c>
      <c r="D787" t="s">
        <v>77</v>
      </c>
      <c r="E787" t="s">
        <v>46</v>
      </c>
      <c r="F787" t="s">
        <v>32</v>
      </c>
      <c r="G787" t="s">
        <v>79</v>
      </c>
      <c r="H787" s="7">
        <v>4</v>
      </c>
      <c r="I787" s="4">
        <v>33753.68</v>
      </c>
      <c r="J787" s="23">
        <v>0.2</v>
      </c>
      <c r="K787" s="4">
        <v>27002.94</v>
      </c>
      <c r="L787" s="4">
        <v>18815.27</v>
      </c>
      <c r="M787" s="4">
        <v>8187.67</v>
      </c>
      <c r="N787" t="s">
        <v>85</v>
      </c>
      <c r="O787" s="7">
        <v>94</v>
      </c>
      <c r="P787" s="2">
        <v>45735.916666666664</v>
      </c>
      <c r="Q787" t="s">
        <v>54</v>
      </c>
      <c r="R787">
        <v>3</v>
      </c>
      <c r="S787" t="s">
        <v>55</v>
      </c>
      <c r="T787">
        <f>IF(orders[[#This Row],[Status]]="Completed",1,0)</f>
        <v>0</v>
      </c>
      <c r="U787">
        <f>IF(orders[[#This Row],[Status]]="Pending",1,0)</f>
        <v>0</v>
      </c>
      <c r="V787">
        <f>IF(orders[[#This Row],[Status]]="Delayed",1,0)</f>
        <v>1</v>
      </c>
      <c r="W787">
        <f>IF(orders[[#This Row],[Status]]="Cancelled",1,0)</f>
        <v>0</v>
      </c>
    </row>
    <row r="788" spans="1:23" x14ac:dyDescent="0.35">
      <c r="A788" t="s">
        <v>1150</v>
      </c>
      <c r="B788" s="1">
        <v>45760</v>
      </c>
      <c r="C788" t="s">
        <v>467</v>
      </c>
      <c r="D788" t="s">
        <v>63</v>
      </c>
      <c r="E788" t="s">
        <v>92</v>
      </c>
      <c r="F788" t="s">
        <v>83</v>
      </c>
      <c r="G788" t="s">
        <v>155</v>
      </c>
      <c r="H788" s="7">
        <v>5</v>
      </c>
      <c r="I788" s="4">
        <v>29905.599999999999</v>
      </c>
      <c r="J788" s="23">
        <v>0.05</v>
      </c>
      <c r="K788" s="4">
        <v>28410.32</v>
      </c>
      <c r="L788" s="4">
        <v>21893.03</v>
      </c>
      <c r="M788" s="4">
        <v>6517.29</v>
      </c>
      <c r="N788" t="s">
        <v>98</v>
      </c>
      <c r="O788" s="7">
        <v>11</v>
      </c>
      <c r="P788" s="2">
        <v>45760.458333333336</v>
      </c>
      <c r="Q788" t="s">
        <v>26</v>
      </c>
      <c r="R788">
        <v>4</v>
      </c>
      <c r="S788" t="s">
        <v>27</v>
      </c>
      <c r="T788">
        <f>IF(orders[[#This Row],[Status]]="Completed",1,0)</f>
        <v>0</v>
      </c>
      <c r="U788">
        <f>IF(orders[[#This Row],[Status]]="Pending",1,0)</f>
        <v>1</v>
      </c>
      <c r="V788">
        <f>IF(orders[[#This Row],[Status]]="Delayed",1,0)</f>
        <v>0</v>
      </c>
      <c r="W788">
        <f>IF(orders[[#This Row],[Status]]="Cancelled",1,0)</f>
        <v>0</v>
      </c>
    </row>
    <row r="789" spans="1:23" x14ac:dyDescent="0.35">
      <c r="A789" t="s">
        <v>1151</v>
      </c>
      <c r="B789" s="1">
        <v>45849</v>
      </c>
      <c r="C789" t="s">
        <v>770</v>
      </c>
      <c r="D789" t="s">
        <v>21</v>
      </c>
      <c r="E789" t="s">
        <v>59</v>
      </c>
      <c r="F789" t="s">
        <v>83</v>
      </c>
      <c r="G789" t="s">
        <v>182</v>
      </c>
      <c r="H789" s="7">
        <v>2</v>
      </c>
      <c r="I789" s="4">
        <v>5206.3599999999997</v>
      </c>
      <c r="J789" s="23">
        <v>0</v>
      </c>
      <c r="K789" s="4">
        <v>5206.3599999999997</v>
      </c>
      <c r="L789" s="4">
        <v>3945.76</v>
      </c>
      <c r="M789" s="4">
        <v>1260.5999999999999</v>
      </c>
      <c r="N789" t="s">
        <v>98</v>
      </c>
      <c r="O789" s="7">
        <v>6</v>
      </c>
      <c r="P789" s="2">
        <v>45849.25</v>
      </c>
      <c r="Q789" t="s">
        <v>60</v>
      </c>
      <c r="R789">
        <v>7</v>
      </c>
      <c r="S789" t="s">
        <v>42</v>
      </c>
      <c r="T789">
        <f>IF(orders[[#This Row],[Status]]="Completed",1,0)</f>
        <v>0</v>
      </c>
      <c r="U789">
        <f>IF(orders[[#This Row],[Status]]="Pending",1,0)</f>
        <v>1</v>
      </c>
      <c r="V789">
        <f>IF(orders[[#This Row],[Status]]="Delayed",1,0)</f>
        <v>0</v>
      </c>
      <c r="W789">
        <f>IF(orders[[#This Row],[Status]]="Cancelled",1,0)</f>
        <v>0</v>
      </c>
    </row>
    <row r="790" spans="1:23" x14ac:dyDescent="0.35">
      <c r="A790" t="s">
        <v>1152</v>
      </c>
      <c r="B790" s="1">
        <v>45909</v>
      </c>
      <c r="C790" t="s">
        <v>490</v>
      </c>
      <c r="D790" t="s">
        <v>63</v>
      </c>
      <c r="E790" t="s">
        <v>52</v>
      </c>
      <c r="F790" t="s">
        <v>39</v>
      </c>
      <c r="G790" t="s">
        <v>188</v>
      </c>
      <c r="H790" s="7">
        <v>7</v>
      </c>
      <c r="I790" s="4">
        <v>40331.480000000003</v>
      </c>
      <c r="J790" s="23">
        <v>0.2</v>
      </c>
      <c r="K790" s="4">
        <v>32265.18</v>
      </c>
      <c r="L790" s="4">
        <v>17935.73</v>
      </c>
      <c r="M790" s="4">
        <v>14329.45</v>
      </c>
      <c r="N790" t="s">
        <v>48</v>
      </c>
      <c r="O790" s="7">
        <v>6</v>
      </c>
      <c r="P790" s="2">
        <v>45909.25</v>
      </c>
      <c r="Q790" t="s">
        <v>41</v>
      </c>
      <c r="R790">
        <v>9</v>
      </c>
      <c r="S790" t="s">
        <v>42</v>
      </c>
      <c r="T790">
        <f>IF(orders[[#This Row],[Status]]="Completed",1,0)</f>
        <v>0</v>
      </c>
      <c r="U790">
        <f>IF(orders[[#This Row],[Status]]="Pending",1,0)</f>
        <v>0</v>
      </c>
      <c r="V790">
        <f>IF(orders[[#This Row],[Status]]="Delayed",1,0)</f>
        <v>0</v>
      </c>
      <c r="W790">
        <f>IF(orders[[#This Row],[Status]]="Cancelled",1,0)</f>
        <v>1</v>
      </c>
    </row>
    <row r="791" spans="1:23" x14ac:dyDescent="0.35">
      <c r="A791" t="s">
        <v>1153</v>
      </c>
      <c r="B791" s="1">
        <v>45883</v>
      </c>
      <c r="C791" t="s">
        <v>538</v>
      </c>
      <c r="D791" t="s">
        <v>149</v>
      </c>
      <c r="E791" t="s">
        <v>113</v>
      </c>
      <c r="F791" t="s">
        <v>23</v>
      </c>
      <c r="G791" t="s">
        <v>110</v>
      </c>
      <c r="H791" s="7">
        <v>4</v>
      </c>
      <c r="I791" s="4">
        <v>24052.04</v>
      </c>
      <c r="J791" s="23">
        <v>0.1</v>
      </c>
      <c r="K791" s="4">
        <v>21646.84</v>
      </c>
      <c r="L791" s="4">
        <v>15771.53</v>
      </c>
      <c r="M791" s="4">
        <v>5875.31</v>
      </c>
      <c r="N791" t="s">
        <v>98</v>
      </c>
      <c r="O791" s="7">
        <v>10</v>
      </c>
      <c r="P791" s="2">
        <v>45883.416666666664</v>
      </c>
      <c r="Q791" t="s">
        <v>80</v>
      </c>
      <c r="R791">
        <v>8</v>
      </c>
      <c r="S791" t="s">
        <v>42</v>
      </c>
      <c r="T791">
        <f>IF(orders[[#This Row],[Status]]="Completed",1,0)</f>
        <v>0</v>
      </c>
      <c r="U791">
        <f>IF(orders[[#This Row],[Status]]="Pending",1,0)</f>
        <v>1</v>
      </c>
      <c r="V791">
        <f>IF(orders[[#This Row],[Status]]="Delayed",1,0)</f>
        <v>0</v>
      </c>
      <c r="W791">
        <f>IF(orders[[#This Row],[Status]]="Cancelled",1,0)</f>
        <v>0</v>
      </c>
    </row>
    <row r="792" spans="1:23" x14ac:dyDescent="0.35">
      <c r="A792" t="s">
        <v>1154</v>
      </c>
      <c r="B792" s="1">
        <v>45951</v>
      </c>
      <c r="C792" t="s">
        <v>647</v>
      </c>
      <c r="D792" t="s">
        <v>51</v>
      </c>
      <c r="E792" t="s">
        <v>78</v>
      </c>
      <c r="F792" t="s">
        <v>23</v>
      </c>
      <c r="G792" t="s">
        <v>69</v>
      </c>
      <c r="H792" s="7">
        <v>1</v>
      </c>
      <c r="I792" s="4">
        <v>3253.92</v>
      </c>
      <c r="J792" s="23">
        <v>0</v>
      </c>
      <c r="K792" s="4">
        <v>3253.92</v>
      </c>
      <c r="L792" s="4">
        <v>1884.67</v>
      </c>
      <c r="M792" s="4">
        <v>1369.25</v>
      </c>
      <c r="N792" t="s">
        <v>25</v>
      </c>
      <c r="O792" s="7">
        <v>32</v>
      </c>
      <c r="P792" s="2">
        <v>45952.333333333336</v>
      </c>
      <c r="Q792" t="s">
        <v>116</v>
      </c>
      <c r="R792">
        <v>10</v>
      </c>
      <c r="S792" t="s">
        <v>35</v>
      </c>
      <c r="T792">
        <f>IF(orders[[#This Row],[Status]]="Completed",1,0)</f>
        <v>1</v>
      </c>
      <c r="U792">
        <f>IF(orders[[#This Row],[Status]]="Pending",1,0)</f>
        <v>0</v>
      </c>
      <c r="V792">
        <f>IF(orders[[#This Row],[Status]]="Delayed",1,0)</f>
        <v>0</v>
      </c>
      <c r="W792">
        <f>IF(orders[[#This Row],[Status]]="Cancelled",1,0)</f>
        <v>0</v>
      </c>
    </row>
    <row r="793" spans="1:23" x14ac:dyDescent="0.35">
      <c r="A793" t="s">
        <v>1155</v>
      </c>
      <c r="B793" s="1">
        <v>45963</v>
      </c>
      <c r="C793" t="s">
        <v>1156</v>
      </c>
      <c r="D793" t="s">
        <v>45</v>
      </c>
      <c r="E793" t="s">
        <v>92</v>
      </c>
      <c r="F793" t="s">
        <v>83</v>
      </c>
      <c r="G793" t="s">
        <v>182</v>
      </c>
      <c r="H793" s="7">
        <v>3</v>
      </c>
      <c r="I793" s="4">
        <v>893.73</v>
      </c>
      <c r="J793" s="23">
        <v>0.05</v>
      </c>
      <c r="K793" s="4">
        <v>849.04</v>
      </c>
      <c r="L793" s="4">
        <v>474.36</v>
      </c>
      <c r="M793" s="4">
        <v>374.68</v>
      </c>
      <c r="N793" t="s">
        <v>85</v>
      </c>
      <c r="O793" s="7">
        <v>79</v>
      </c>
      <c r="P793" s="2">
        <v>45966.291666666664</v>
      </c>
      <c r="Q793" t="s">
        <v>86</v>
      </c>
      <c r="R793">
        <v>11</v>
      </c>
      <c r="S793" t="s">
        <v>35</v>
      </c>
      <c r="T793">
        <f>IF(orders[[#This Row],[Status]]="Completed",1,0)</f>
        <v>0</v>
      </c>
      <c r="U793">
        <f>IF(orders[[#This Row],[Status]]="Pending",1,0)</f>
        <v>0</v>
      </c>
      <c r="V793">
        <f>IF(orders[[#This Row],[Status]]="Delayed",1,0)</f>
        <v>1</v>
      </c>
      <c r="W793">
        <f>IF(orders[[#This Row],[Status]]="Cancelled",1,0)</f>
        <v>0</v>
      </c>
    </row>
    <row r="794" spans="1:23" x14ac:dyDescent="0.35">
      <c r="A794" t="s">
        <v>1157</v>
      </c>
      <c r="B794" s="1">
        <v>45755</v>
      </c>
      <c r="C794" t="s">
        <v>91</v>
      </c>
      <c r="D794" t="s">
        <v>51</v>
      </c>
      <c r="E794" t="s">
        <v>59</v>
      </c>
      <c r="F794" t="s">
        <v>72</v>
      </c>
      <c r="G794" t="s">
        <v>119</v>
      </c>
      <c r="H794" s="7">
        <v>2</v>
      </c>
      <c r="I794" s="4">
        <v>12043.44</v>
      </c>
      <c r="J794" s="23">
        <v>0.15</v>
      </c>
      <c r="K794" s="4">
        <v>10236.92</v>
      </c>
      <c r="L794" s="4">
        <v>8303.1200000000008</v>
      </c>
      <c r="M794" s="4">
        <v>1933.8</v>
      </c>
      <c r="N794" t="s">
        <v>48</v>
      </c>
      <c r="O794" s="7">
        <v>17</v>
      </c>
      <c r="P794" s="2">
        <v>45755.708333333336</v>
      </c>
      <c r="Q794" t="s">
        <v>26</v>
      </c>
      <c r="R794">
        <v>4</v>
      </c>
      <c r="S794" t="s">
        <v>27</v>
      </c>
      <c r="T794">
        <f>IF(orders[[#This Row],[Status]]="Completed",1,0)</f>
        <v>0</v>
      </c>
      <c r="U794">
        <f>IF(orders[[#This Row],[Status]]="Pending",1,0)</f>
        <v>0</v>
      </c>
      <c r="V794">
        <f>IF(orders[[#This Row],[Status]]="Delayed",1,0)</f>
        <v>0</v>
      </c>
      <c r="W794">
        <f>IF(orders[[#This Row],[Status]]="Cancelled",1,0)</f>
        <v>1</v>
      </c>
    </row>
    <row r="795" spans="1:23" x14ac:dyDescent="0.35">
      <c r="A795" t="s">
        <v>1158</v>
      </c>
      <c r="B795" s="1">
        <v>45995</v>
      </c>
      <c r="C795" t="s">
        <v>959</v>
      </c>
      <c r="D795" t="s">
        <v>149</v>
      </c>
      <c r="E795" t="s">
        <v>113</v>
      </c>
      <c r="F795" t="s">
        <v>72</v>
      </c>
      <c r="G795" t="s">
        <v>146</v>
      </c>
      <c r="H795" s="7">
        <v>2</v>
      </c>
      <c r="I795" s="4">
        <v>662.4</v>
      </c>
      <c r="J795" s="23">
        <v>0.1</v>
      </c>
      <c r="K795" s="4">
        <v>596.16</v>
      </c>
      <c r="L795" s="4">
        <v>378.77</v>
      </c>
      <c r="M795" s="4">
        <v>217.39</v>
      </c>
      <c r="N795" t="s">
        <v>25</v>
      </c>
      <c r="O795" s="7">
        <v>44</v>
      </c>
      <c r="P795" s="2">
        <v>45996.833333333336</v>
      </c>
      <c r="Q795" t="s">
        <v>34</v>
      </c>
      <c r="R795">
        <v>12</v>
      </c>
      <c r="S795" t="s">
        <v>35</v>
      </c>
      <c r="T795">
        <f>IF(orders[[#This Row],[Status]]="Completed",1,0)</f>
        <v>1</v>
      </c>
      <c r="U795">
        <f>IF(orders[[#This Row],[Status]]="Pending",1,0)</f>
        <v>0</v>
      </c>
      <c r="V795">
        <f>IF(orders[[#This Row],[Status]]="Delayed",1,0)</f>
        <v>0</v>
      </c>
      <c r="W795">
        <f>IF(orders[[#This Row],[Status]]="Cancelled",1,0)</f>
        <v>0</v>
      </c>
    </row>
    <row r="796" spans="1:23" x14ac:dyDescent="0.35">
      <c r="A796" t="s">
        <v>1159</v>
      </c>
      <c r="B796" s="1">
        <v>45943</v>
      </c>
      <c r="C796" t="s">
        <v>272</v>
      </c>
      <c r="D796" t="s">
        <v>45</v>
      </c>
      <c r="E796" t="s">
        <v>46</v>
      </c>
      <c r="F796" t="s">
        <v>32</v>
      </c>
      <c r="G796" t="s">
        <v>79</v>
      </c>
      <c r="H796" s="7">
        <v>2</v>
      </c>
      <c r="I796" s="4">
        <v>10840.84</v>
      </c>
      <c r="J796" s="23">
        <v>0.1</v>
      </c>
      <c r="K796" s="4">
        <v>9756.76</v>
      </c>
      <c r="L796" s="4">
        <v>6463.04</v>
      </c>
      <c r="M796" s="4">
        <v>3293.72</v>
      </c>
      <c r="N796" t="s">
        <v>85</v>
      </c>
      <c r="O796" s="7">
        <v>55</v>
      </c>
      <c r="P796" s="2">
        <v>45945.291666666664</v>
      </c>
      <c r="Q796" t="s">
        <v>116</v>
      </c>
      <c r="R796">
        <v>10</v>
      </c>
      <c r="S796" t="s">
        <v>35</v>
      </c>
      <c r="T796">
        <f>IF(orders[[#This Row],[Status]]="Completed",1,0)</f>
        <v>0</v>
      </c>
      <c r="U796">
        <f>IF(orders[[#This Row],[Status]]="Pending",1,0)</f>
        <v>0</v>
      </c>
      <c r="V796">
        <f>IF(orders[[#This Row],[Status]]="Delayed",1,0)</f>
        <v>1</v>
      </c>
      <c r="W796">
        <f>IF(orders[[#This Row],[Status]]="Cancelled",1,0)</f>
        <v>0</v>
      </c>
    </row>
    <row r="797" spans="1:23" x14ac:dyDescent="0.35">
      <c r="A797" t="s">
        <v>1160</v>
      </c>
      <c r="B797" s="1">
        <v>45992</v>
      </c>
      <c r="C797" t="s">
        <v>469</v>
      </c>
      <c r="D797" t="s">
        <v>30</v>
      </c>
      <c r="E797" t="s">
        <v>92</v>
      </c>
      <c r="F797" t="s">
        <v>32</v>
      </c>
      <c r="G797" t="s">
        <v>53</v>
      </c>
      <c r="H797" s="7">
        <v>4</v>
      </c>
      <c r="I797" s="4">
        <v>6064.8</v>
      </c>
      <c r="J797" s="23">
        <v>0.05</v>
      </c>
      <c r="K797" s="4">
        <v>5761.56</v>
      </c>
      <c r="L797" s="4">
        <v>3290.7</v>
      </c>
      <c r="M797" s="4">
        <v>2470.86</v>
      </c>
      <c r="N797" t="s">
        <v>85</v>
      </c>
      <c r="O797" s="7">
        <v>54</v>
      </c>
      <c r="P797" s="2">
        <v>45994.25</v>
      </c>
      <c r="Q797" t="s">
        <v>34</v>
      </c>
      <c r="R797">
        <v>12</v>
      </c>
      <c r="S797" t="s">
        <v>35</v>
      </c>
      <c r="T797">
        <f>IF(orders[[#This Row],[Status]]="Completed",1,0)</f>
        <v>0</v>
      </c>
      <c r="U797">
        <f>IF(orders[[#This Row],[Status]]="Pending",1,0)</f>
        <v>0</v>
      </c>
      <c r="V797">
        <f>IF(orders[[#This Row],[Status]]="Delayed",1,0)</f>
        <v>1</v>
      </c>
      <c r="W797">
        <f>IF(orders[[#This Row],[Status]]="Cancelled",1,0)</f>
        <v>0</v>
      </c>
    </row>
    <row r="798" spans="1:23" x14ac:dyDescent="0.35">
      <c r="A798" t="s">
        <v>1161</v>
      </c>
      <c r="B798" s="1">
        <v>46004</v>
      </c>
      <c r="C798" t="s">
        <v>763</v>
      </c>
      <c r="D798" t="s">
        <v>30</v>
      </c>
      <c r="E798" t="s">
        <v>31</v>
      </c>
      <c r="F798" t="s">
        <v>39</v>
      </c>
      <c r="G798" t="s">
        <v>40</v>
      </c>
      <c r="H798" s="7">
        <v>1</v>
      </c>
      <c r="I798" s="4">
        <v>4872.79</v>
      </c>
      <c r="J798" s="23">
        <v>0.05</v>
      </c>
      <c r="K798" s="4">
        <v>4629.1499999999996</v>
      </c>
      <c r="L798" s="4">
        <v>2820.24</v>
      </c>
      <c r="M798" s="4">
        <v>1808.91</v>
      </c>
      <c r="N798" t="s">
        <v>25</v>
      </c>
      <c r="O798" s="7">
        <v>21</v>
      </c>
      <c r="P798" s="2">
        <v>46004.875</v>
      </c>
      <c r="Q798" t="s">
        <v>34</v>
      </c>
      <c r="R798">
        <v>12</v>
      </c>
      <c r="S798" t="s">
        <v>35</v>
      </c>
      <c r="T798">
        <f>IF(orders[[#This Row],[Status]]="Completed",1,0)</f>
        <v>1</v>
      </c>
      <c r="U798">
        <f>IF(orders[[#This Row],[Status]]="Pending",1,0)</f>
        <v>0</v>
      </c>
      <c r="V798">
        <f>IF(orders[[#This Row],[Status]]="Delayed",1,0)</f>
        <v>0</v>
      </c>
      <c r="W798">
        <f>IF(orders[[#This Row],[Status]]="Cancelled",1,0)</f>
        <v>0</v>
      </c>
    </row>
    <row r="799" spans="1:23" x14ac:dyDescent="0.35">
      <c r="A799" t="s">
        <v>1162</v>
      </c>
      <c r="B799" s="1">
        <v>45965</v>
      </c>
      <c r="C799" t="s">
        <v>836</v>
      </c>
      <c r="D799" t="s">
        <v>63</v>
      </c>
      <c r="E799" t="s">
        <v>113</v>
      </c>
      <c r="F799" t="s">
        <v>83</v>
      </c>
      <c r="G799" t="s">
        <v>155</v>
      </c>
      <c r="H799" s="7">
        <v>7</v>
      </c>
      <c r="I799" s="4">
        <v>30503.69</v>
      </c>
      <c r="J799" s="23">
        <v>0.25</v>
      </c>
      <c r="K799" s="4">
        <v>22877.77</v>
      </c>
      <c r="L799" s="4">
        <v>18362.830000000002</v>
      </c>
      <c r="M799" s="4">
        <v>4514.9399999999996</v>
      </c>
      <c r="N799" t="s">
        <v>85</v>
      </c>
      <c r="O799" s="7">
        <v>49</v>
      </c>
      <c r="P799" s="2">
        <v>45967.041666666664</v>
      </c>
      <c r="Q799" t="s">
        <v>86</v>
      </c>
      <c r="R799">
        <v>11</v>
      </c>
      <c r="S799" t="s">
        <v>35</v>
      </c>
      <c r="T799">
        <f>IF(orders[[#This Row],[Status]]="Completed",1,0)</f>
        <v>0</v>
      </c>
      <c r="U799">
        <f>IF(orders[[#This Row],[Status]]="Pending",1,0)</f>
        <v>0</v>
      </c>
      <c r="V799">
        <f>IF(orders[[#This Row],[Status]]="Delayed",1,0)</f>
        <v>1</v>
      </c>
      <c r="W799">
        <f>IF(orders[[#This Row],[Status]]="Cancelled",1,0)</f>
        <v>0</v>
      </c>
    </row>
    <row r="800" spans="1:23" x14ac:dyDescent="0.35">
      <c r="A800" t="s">
        <v>1163</v>
      </c>
      <c r="B800" s="1">
        <v>45906</v>
      </c>
      <c r="C800" t="s">
        <v>472</v>
      </c>
      <c r="D800" t="s">
        <v>149</v>
      </c>
      <c r="E800" t="s">
        <v>31</v>
      </c>
      <c r="F800" t="s">
        <v>32</v>
      </c>
      <c r="G800" t="s">
        <v>79</v>
      </c>
      <c r="H800" s="7">
        <v>5</v>
      </c>
      <c r="I800" s="4">
        <v>1314.2</v>
      </c>
      <c r="J800" s="23">
        <v>0.05</v>
      </c>
      <c r="K800" s="4">
        <v>1248.49</v>
      </c>
      <c r="L800" s="4">
        <v>890.01</v>
      </c>
      <c r="M800" s="4">
        <v>358.48</v>
      </c>
      <c r="N800" t="s">
        <v>25</v>
      </c>
      <c r="O800" s="7">
        <v>4</v>
      </c>
      <c r="P800" s="2">
        <v>45906.166666666664</v>
      </c>
      <c r="Q800" t="s">
        <v>41</v>
      </c>
      <c r="R800">
        <v>9</v>
      </c>
      <c r="S800" t="s">
        <v>42</v>
      </c>
      <c r="T800">
        <f>IF(orders[[#This Row],[Status]]="Completed",1,0)</f>
        <v>1</v>
      </c>
      <c r="U800">
        <f>IF(orders[[#This Row],[Status]]="Pending",1,0)</f>
        <v>0</v>
      </c>
      <c r="V800">
        <f>IF(orders[[#This Row],[Status]]="Delayed",1,0)</f>
        <v>0</v>
      </c>
      <c r="W800">
        <f>IF(orders[[#This Row],[Status]]="Cancelled",1,0)</f>
        <v>0</v>
      </c>
    </row>
    <row r="801" spans="1:23" x14ac:dyDescent="0.35">
      <c r="A801" t="s">
        <v>1164</v>
      </c>
      <c r="B801" s="1">
        <v>45823</v>
      </c>
      <c r="C801" t="s">
        <v>1165</v>
      </c>
      <c r="D801" t="s">
        <v>63</v>
      </c>
      <c r="E801" t="s">
        <v>22</v>
      </c>
      <c r="F801" t="s">
        <v>32</v>
      </c>
      <c r="G801" t="s">
        <v>79</v>
      </c>
      <c r="H801" s="7">
        <v>1</v>
      </c>
      <c r="I801" s="4">
        <v>3179.93</v>
      </c>
      <c r="J801" s="23">
        <v>0.1</v>
      </c>
      <c r="K801" s="4">
        <v>2861.94</v>
      </c>
      <c r="L801" s="4">
        <v>2405.81</v>
      </c>
      <c r="M801" s="4">
        <v>456.13</v>
      </c>
      <c r="N801" t="s">
        <v>25</v>
      </c>
      <c r="O801" s="7">
        <v>18</v>
      </c>
      <c r="P801" s="2">
        <v>45823.75</v>
      </c>
      <c r="Q801" t="s">
        <v>99</v>
      </c>
      <c r="R801">
        <v>6</v>
      </c>
      <c r="S801" t="s">
        <v>27</v>
      </c>
      <c r="T801">
        <f>IF(orders[[#This Row],[Status]]="Completed",1,0)</f>
        <v>1</v>
      </c>
      <c r="U801">
        <f>IF(orders[[#This Row],[Status]]="Pending",1,0)</f>
        <v>0</v>
      </c>
      <c r="V801">
        <f>IF(orders[[#This Row],[Status]]="Delayed",1,0)</f>
        <v>0</v>
      </c>
      <c r="W801">
        <f>IF(orders[[#This Row],[Status]]="Cancelled",1,0)</f>
        <v>0</v>
      </c>
    </row>
    <row r="802" spans="1:23" x14ac:dyDescent="0.35">
      <c r="A802" t="s">
        <v>1166</v>
      </c>
      <c r="B802" s="1">
        <v>45992</v>
      </c>
      <c r="C802" t="s">
        <v>1040</v>
      </c>
      <c r="D802" t="s">
        <v>58</v>
      </c>
      <c r="E802" t="s">
        <v>59</v>
      </c>
      <c r="F802" t="s">
        <v>83</v>
      </c>
      <c r="G802" t="s">
        <v>155</v>
      </c>
      <c r="H802" s="7">
        <v>4</v>
      </c>
      <c r="I802" s="4">
        <v>20676.439999999999</v>
      </c>
      <c r="J802" s="23">
        <v>0.15</v>
      </c>
      <c r="K802" s="4">
        <v>17574.97</v>
      </c>
      <c r="L802" s="4">
        <v>11970.13</v>
      </c>
      <c r="M802" s="4">
        <v>5604.84</v>
      </c>
      <c r="N802" t="s">
        <v>48</v>
      </c>
      <c r="O802" s="7">
        <v>7</v>
      </c>
      <c r="P802" s="2">
        <v>45992.291666666664</v>
      </c>
      <c r="Q802" t="s">
        <v>34</v>
      </c>
      <c r="R802">
        <v>12</v>
      </c>
      <c r="S802" t="s">
        <v>35</v>
      </c>
      <c r="T802">
        <f>IF(orders[[#This Row],[Status]]="Completed",1,0)</f>
        <v>0</v>
      </c>
      <c r="U802">
        <f>IF(orders[[#This Row],[Status]]="Pending",1,0)</f>
        <v>0</v>
      </c>
      <c r="V802">
        <f>IF(orders[[#This Row],[Status]]="Delayed",1,0)</f>
        <v>0</v>
      </c>
      <c r="W802">
        <f>IF(orders[[#This Row],[Status]]="Cancelled",1,0)</f>
        <v>1</v>
      </c>
    </row>
    <row r="803" spans="1:23" x14ac:dyDescent="0.35">
      <c r="A803" t="s">
        <v>1167</v>
      </c>
      <c r="B803" s="1">
        <v>45687</v>
      </c>
      <c r="C803" t="s">
        <v>763</v>
      </c>
      <c r="D803" t="s">
        <v>21</v>
      </c>
      <c r="E803" t="s">
        <v>46</v>
      </c>
      <c r="F803" t="s">
        <v>39</v>
      </c>
      <c r="G803" t="s">
        <v>47</v>
      </c>
      <c r="H803" s="7">
        <v>2</v>
      </c>
      <c r="I803" s="4">
        <v>14471.72</v>
      </c>
      <c r="J803" s="23">
        <v>0.05</v>
      </c>
      <c r="K803" s="4">
        <v>13748.13</v>
      </c>
      <c r="L803" s="4">
        <v>8780.5400000000009</v>
      </c>
      <c r="M803" s="4">
        <v>4967.59</v>
      </c>
      <c r="N803" t="s">
        <v>25</v>
      </c>
      <c r="O803" s="7">
        <v>23</v>
      </c>
      <c r="P803" s="2">
        <v>45687.958333333336</v>
      </c>
      <c r="Q803" t="s">
        <v>65</v>
      </c>
      <c r="R803">
        <v>1</v>
      </c>
      <c r="S803" t="s">
        <v>55</v>
      </c>
      <c r="T803">
        <f>IF(orders[[#This Row],[Status]]="Completed",1,0)</f>
        <v>1</v>
      </c>
      <c r="U803">
        <f>IF(orders[[#This Row],[Status]]="Pending",1,0)</f>
        <v>0</v>
      </c>
      <c r="V803">
        <f>IF(orders[[#This Row],[Status]]="Delayed",1,0)</f>
        <v>0</v>
      </c>
      <c r="W803">
        <f>IF(orders[[#This Row],[Status]]="Cancelled",1,0)</f>
        <v>0</v>
      </c>
    </row>
    <row r="804" spans="1:23" x14ac:dyDescent="0.35">
      <c r="A804" t="s">
        <v>1168</v>
      </c>
      <c r="B804" s="1">
        <v>45904</v>
      </c>
      <c r="C804" t="s">
        <v>789</v>
      </c>
      <c r="D804" t="s">
        <v>68</v>
      </c>
      <c r="E804" t="s">
        <v>52</v>
      </c>
      <c r="F804" t="s">
        <v>32</v>
      </c>
      <c r="G804" t="s">
        <v>33</v>
      </c>
      <c r="H804" s="7">
        <v>3</v>
      </c>
      <c r="I804" s="4">
        <v>22710.48</v>
      </c>
      <c r="J804" s="23">
        <v>0.05</v>
      </c>
      <c r="K804" s="4">
        <v>21574.959999999999</v>
      </c>
      <c r="L804" s="4">
        <v>14341.05</v>
      </c>
      <c r="M804" s="4">
        <v>7233.91</v>
      </c>
      <c r="N804" t="s">
        <v>48</v>
      </c>
      <c r="O804" s="7">
        <v>18</v>
      </c>
      <c r="P804" s="2">
        <v>45904.75</v>
      </c>
      <c r="Q804" t="s">
        <v>41</v>
      </c>
      <c r="R804">
        <v>9</v>
      </c>
      <c r="S804" t="s">
        <v>42</v>
      </c>
      <c r="T804">
        <f>IF(orders[[#This Row],[Status]]="Completed",1,0)</f>
        <v>0</v>
      </c>
      <c r="U804">
        <f>IF(orders[[#This Row],[Status]]="Pending",1,0)</f>
        <v>0</v>
      </c>
      <c r="V804">
        <f>IF(orders[[#This Row],[Status]]="Delayed",1,0)</f>
        <v>0</v>
      </c>
      <c r="W804">
        <f>IF(orders[[#This Row],[Status]]="Cancelled",1,0)</f>
        <v>1</v>
      </c>
    </row>
    <row r="805" spans="1:23" x14ac:dyDescent="0.35">
      <c r="A805" t="s">
        <v>1169</v>
      </c>
      <c r="B805" s="1">
        <v>45763</v>
      </c>
      <c r="C805" t="s">
        <v>547</v>
      </c>
      <c r="D805" t="s">
        <v>58</v>
      </c>
      <c r="E805" t="s">
        <v>59</v>
      </c>
      <c r="F805" t="s">
        <v>39</v>
      </c>
      <c r="G805" t="s">
        <v>188</v>
      </c>
      <c r="H805" s="7">
        <v>2</v>
      </c>
      <c r="I805" s="4">
        <v>8380.2999999999993</v>
      </c>
      <c r="J805" s="23">
        <v>0.1</v>
      </c>
      <c r="K805" s="4">
        <v>7542.27</v>
      </c>
      <c r="L805" s="4">
        <v>5922.3</v>
      </c>
      <c r="M805" s="4">
        <v>1619.97</v>
      </c>
      <c r="N805" t="s">
        <v>85</v>
      </c>
      <c r="O805" s="7">
        <v>71</v>
      </c>
      <c r="P805" s="2">
        <v>45765.958333333336</v>
      </c>
      <c r="Q805" t="s">
        <v>26</v>
      </c>
      <c r="R805">
        <v>4</v>
      </c>
      <c r="S805" t="s">
        <v>27</v>
      </c>
      <c r="T805">
        <f>IF(orders[[#This Row],[Status]]="Completed",1,0)</f>
        <v>0</v>
      </c>
      <c r="U805">
        <f>IF(orders[[#This Row],[Status]]="Pending",1,0)</f>
        <v>0</v>
      </c>
      <c r="V805">
        <f>IF(orders[[#This Row],[Status]]="Delayed",1,0)</f>
        <v>1</v>
      </c>
      <c r="W805">
        <f>IF(orders[[#This Row],[Status]]="Cancelled",1,0)</f>
        <v>0</v>
      </c>
    </row>
    <row r="806" spans="1:23" x14ac:dyDescent="0.35">
      <c r="A806" t="s">
        <v>1170</v>
      </c>
      <c r="B806" s="1">
        <v>45708</v>
      </c>
      <c r="C806" t="s">
        <v>375</v>
      </c>
      <c r="D806" t="s">
        <v>21</v>
      </c>
      <c r="E806" t="s">
        <v>113</v>
      </c>
      <c r="F806" t="s">
        <v>23</v>
      </c>
      <c r="G806" t="s">
        <v>122</v>
      </c>
      <c r="H806" s="7">
        <v>5</v>
      </c>
      <c r="I806" s="4">
        <v>31161.65</v>
      </c>
      <c r="J806" s="23">
        <v>0.1</v>
      </c>
      <c r="K806" s="4">
        <v>28045.48</v>
      </c>
      <c r="L806" s="4">
        <v>20561.599999999999</v>
      </c>
      <c r="M806" s="4">
        <v>7483.88</v>
      </c>
      <c r="N806" t="s">
        <v>48</v>
      </c>
      <c r="O806" s="7">
        <v>4</v>
      </c>
      <c r="P806" s="2">
        <v>45708.166666666664</v>
      </c>
      <c r="Q806" t="s">
        <v>139</v>
      </c>
      <c r="R806">
        <v>2</v>
      </c>
      <c r="S806" t="s">
        <v>55</v>
      </c>
      <c r="T806">
        <f>IF(orders[[#This Row],[Status]]="Completed",1,0)</f>
        <v>0</v>
      </c>
      <c r="U806">
        <f>IF(orders[[#This Row],[Status]]="Pending",1,0)</f>
        <v>0</v>
      </c>
      <c r="V806">
        <f>IF(orders[[#This Row],[Status]]="Delayed",1,0)</f>
        <v>0</v>
      </c>
      <c r="W806">
        <f>IF(orders[[#This Row],[Status]]="Cancelled",1,0)</f>
        <v>1</v>
      </c>
    </row>
    <row r="807" spans="1:23" x14ac:dyDescent="0.35">
      <c r="A807" t="s">
        <v>1171</v>
      </c>
      <c r="B807" s="1">
        <v>45738</v>
      </c>
      <c r="C807" t="s">
        <v>157</v>
      </c>
      <c r="D807" t="s">
        <v>45</v>
      </c>
      <c r="E807" t="s">
        <v>31</v>
      </c>
      <c r="F807" t="s">
        <v>39</v>
      </c>
      <c r="G807" t="s">
        <v>47</v>
      </c>
      <c r="H807" s="7">
        <v>6</v>
      </c>
      <c r="I807" s="4">
        <v>16754.400000000001</v>
      </c>
      <c r="J807" s="23">
        <v>0.1</v>
      </c>
      <c r="K807" s="4">
        <v>15078.96</v>
      </c>
      <c r="L807" s="4">
        <v>12792.73</v>
      </c>
      <c r="M807" s="4">
        <v>2286.23</v>
      </c>
      <c r="N807" t="s">
        <v>25</v>
      </c>
      <c r="O807" s="7">
        <v>8</v>
      </c>
      <c r="P807" s="2">
        <v>45738.333333333336</v>
      </c>
      <c r="Q807" t="s">
        <v>54</v>
      </c>
      <c r="R807">
        <v>3</v>
      </c>
      <c r="S807" t="s">
        <v>55</v>
      </c>
      <c r="T807">
        <f>IF(orders[[#This Row],[Status]]="Completed",1,0)</f>
        <v>1</v>
      </c>
      <c r="U807">
        <f>IF(orders[[#This Row],[Status]]="Pending",1,0)</f>
        <v>0</v>
      </c>
      <c r="V807">
        <f>IF(orders[[#This Row],[Status]]="Delayed",1,0)</f>
        <v>0</v>
      </c>
      <c r="W807">
        <f>IF(orders[[#This Row],[Status]]="Cancelled",1,0)</f>
        <v>0</v>
      </c>
    </row>
    <row r="808" spans="1:23" x14ac:dyDescent="0.35">
      <c r="A808" t="s">
        <v>1172</v>
      </c>
      <c r="B808" s="1">
        <v>45790</v>
      </c>
      <c r="C808" t="s">
        <v>187</v>
      </c>
      <c r="D808" t="s">
        <v>63</v>
      </c>
      <c r="E808" t="s">
        <v>78</v>
      </c>
      <c r="F808" t="s">
        <v>72</v>
      </c>
      <c r="G808" t="s">
        <v>119</v>
      </c>
      <c r="H808" s="7">
        <v>3</v>
      </c>
      <c r="I808" s="4">
        <v>9021.7800000000007</v>
      </c>
      <c r="J808" s="23">
        <v>0.05</v>
      </c>
      <c r="K808" s="4">
        <v>8570.69</v>
      </c>
      <c r="L808" s="4">
        <v>6417.01</v>
      </c>
      <c r="M808" s="4">
        <v>2153.6799999999998</v>
      </c>
      <c r="N808" t="s">
        <v>25</v>
      </c>
      <c r="O808" s="7">
        <v>37</v>
      </c>
      <c r="P808" s="2">
        <v>45791.541666666664</v>
      </c>
      <c r="Q808" t="s">
        <v>74</v>
      </c>
      <c r="R808">
        <v>5</v>
      </c>
      <c r="S808" t="s">
        <v>27</v>
      </c>
      <c r="T808">
        <f>IF(orders[[#This Row],[Status]]="Completed",1,0)</f>
        <v>1</v>
      </c>
      <c r="U808">
        <f>IF(orders[[#This Row],[Status]]="Pending",1,0)</f>
        <v>0</v>
      </c>
      <c r="V808">
        <f>IF(orders[[#This Row],[Status]]="Delayed",1,0)</f>
        <v>0</v>
      </c>
      <c r="W808">
        <f>IF(orders[[#This Row],[Status]]="Cancelled",1,0)</f>
        <v>0</v>
      </c>
    </row>
    <row r="809" spans="1:23" x14ac:dyDescent="0.35">
      <c r="A809" t="s">
        <v>1173</v>
      </c>
      <c r="B809" s="1">
        <v>45942</v>
      </c>
      <c r="C809" t="s">
        <v>745</v>
      </c>
      <c r="D809" t="s">
        <v>45</v>
      </c>
      <c r="E809" t="s">
        <v>31</v>
      </c>
      <c r="F809" t="s">
        <v>72</v>
      </c>
      <c r="G809" t="s">
        <v>129</v>
      </c>
      <c r="H809" s="7">
        <v>2</v>
      </c>
      <c r="I809" s="4">
        <v>3547.54</v>
      </c>
      <c r="J809" s="23">
        <v>0.1</v>
      </c>
      <c r="K809" s="4">
        <v>3192.79</v>
      </c>
      <c r="L809" s="4">
        <v>2275.4899999999998</v>
      </c>
      <c r="M809" s="4">
        <v>917.3</v>
      </c>
      <c r="N809" t="s">
        <v>48</v>
      </c>
      <c r="O809" s="7">
        <v>13</v>
      </c>
      <c r="P809" s="2">
        <v>45942.541666666664</v>
      </c>
      <c r="Q809" t="s">
        <v>116</v>
      </c>
      <c r="R809">
        <v>10</v>
      </c>
      <c r="S809" t="s">
        <v>35</v>
      </c>
      <c r="T809">
        <f>IF(orders[[#This Row],[Status]]="Completed",1,0)</f>
        <v>0</v>
      </c>
      <c r="U809">
        <f>IF(orders[[#This Row],[Status]]="Pending",1,0)</f>
        <v>0</v>
      </c>
      <c r="V809">
        <f>IF(orders[[#This Row],[Status]]="Delayed",1,0)</f>
        <v>0</v>
      </c>
      <c r="W809">
        <f>IF(orders[[#This Row],[Status]]="Cancelled",1,0)</f>
        <v>1</v>
      </c>
    </row>
    <row r="810" spans="1:23" x14ac:dyDescent="0.35">
      <c r="A810" t="s">
        <v>1174</v>
      </c>
      <c r="B810" s="1">
        <v>45795</v>
      </c>
      <c r="C810" t="s">
        <v>20</v>
      </c>
      <c r="D810" t="s">
        <v>45</v>
      </c>
      <c r="E810" t="s">
        <v>92</v>
      </c>
      <c r="F810" t="s">
        <v>39</v>
      </c>
      <c r="G810" t="s">
        <v>188</v>
      </c>
      <c r="H810" s="7">
        <v>7</v>
      </c>
      <c r="I810" s="4">
        <v>33895.89</v>
      </c>
      <c r="J810" s="23">
        <v>0.1</v>
      </c>
      <c r="K810" s="4">
        <v>30506.3</v>
      </c>
      <c r="L810" s="4">
        <v>24688.7</v>
      </c>
      <c r="M810" s="4">
        <v>5817.6</v>
      </c>
      <c r="N810" t="s">
        <v>25</v>
      </c>
      <c r="O810" s="7">
        <v>6</v>
      </c>
      <c r="P810" s="2">
        <v>45795.25</v>
      </c>
      <c r="Q810" t="s">
        <v>74</v>
      </c>
      <c r="R810">
        <v>5</v>
      </c>
      <c r="S810" t="s">
        <v>27</v>
      </c>
      <c r="T810">
        <f>IF(orders[[#This Row],[Status]]="Completed",1,0)</f>
        <v>1</v>
      </c>
      <c r="U810">
        <f>IF(orders[[#This Row],[Status]]="Pending",1,0)</f>
        <v>0</v>
      </c>
      <c r="V810">
        <f>IF(orders[[#This Row],[Status]]="Delayed",1,0)</f>
        <v>0</v>
      </c>
      <c r="W810">
        <f>IF(orders[[#This Row],[Status]]="Cancelled",1,0)</f>
        <v>0</v>
      </c>
    </row>
    <row r="811" spans="1:23" x14ac:dyDescent="0.35">
      <c r="A811" t="s">
        <v>1175</v>
      </c>
      <c r="B811" s="1">
        <v>45841</v>
      </c>
      <c r="C811" t="s">
        <v>795</v>
      </c>
      <c r="D811" t="s">
        <v>21</v>
      </c>
      <c r="E811" t="s">
        <v>59</v>
      </c>
      <c r="F811" t="s">
        <v>72</v>
      </c>
      <c r="G811" t="s">
        <v>129</v>
      </c>
      <c r="H811" s="7">
        <v>3</v>
      </c>
      <c r="I811" s="4">
        <v>8329.83</v>
      </c>
      <c r="J811" s="23">
        <v>0.1</v>
      </c>
      <c r="K811" s="4">
        <v>7496.85</v>
      </c>
      <c r="L811" s="4">
        <v>6467.43</v>
      </c>
      <c r="M811" s="4">
        <v>1029.42</v>
      </c>
      <c r="N811" t="s">
        <v>48</v>
      </c>
      <c r="O811" s="7">
        <v>14</v>
      </c>
      <c r="P811" s="2">
        <v>45841.583333333336</v>
      </c>
      <c r="Q811" t="s">
        <v>60</v>
      </c>
      <c r="R811">
        <v>7</v>
      </c>
      <c r="S811" t="s">
        <v>42</v>
      </c>
      <c r="T811">
        <f>IF(orders[[#This Row],[Status]]="Completed",1,0)</f>
        <v>0</v>
      </c>
      <c r="U811">
        <f>IF(orders[[#This Row],[Status]]="Pending",1,0)</f>
        <v>0</v>
      </c>
      <c r="V811">
        <f>IF(orders[[#This Row],[Status]]="Delayed",1,0)</f>
        <v>0</v>
      </c>
      <c r="W811">
        <f>IF(orders[[#This Row],[Status]]="Cancelled",1,0)</f>
        <v>1</v>
      </c>
    </row>
    <row r="812" spans="1:23" x14ac:dyDescent="0.35">
      <c r="A812" t="s">
        <v>1176</v>
      </c>
      <c r="B812" s="1">
        <v>45987</v>
      </c>
      <c r="C812" t="s">
        <v>216</v>
      </c>
      <c r="D812" t="s">
        <v>149</v>
      </c>
      <c r="E812" t="s">
        <v>59</v>
      </c>
      <c r="F812" t="s">
        <v>23</v>
      </c>
      <c r="G812" t="s">
        <v>122</v>
      </c>
      <c r="H812" s="7">
        <v>6</v>
      </c>
      <c r="I812" s="4">
        <v>5127</v>
      </c>
      <c r="J812" s="23">
        <v>0</v>
      </c>
      <c r="K812" s="4">
        <v>5127</v>
      </c>
      <c r="L812" s="4">
        <v>3421.91</v>
      </c>
      <c r="M812" s="4">
        <v>1705.09</v>
      </c>
      <c r="N812" t="s">
        <v>25</v>
      </c>
      <c r="O812" s="7">
        <v>27</v>
      </c>
      <c r="P812" s="2">
        <v>45988.125</v>
      </c>
      <c r="Q812" t="s">
        <v>86</v>
      </c>
      <c r="R812">
        <v>11</v>
      </c>
      <c r="S812" t="s">
        <v>35</v>
      </c>
      <c r="T812">
        <f>IF(orders[[#This Row],[Status]]="Completed",1,0)</f>
        <v>1</v>
      </c>
      <c r="U812">
        <f>IF(orders[[#This Row],[Status]]="Pending",1,0)</f>
        <v>0</v>
      </c>
      <c r="V812">
        <f>IF(orders[[#This Row],[Status]]="Delayed",1,0)</f>
        <v>0</v>
      </c>
      <c r="W812">
        <f>IF(orders[[#This Row],[Status]]="Cancelled",1,0)</f>
        <v>0</v>
      </c>
    </row>
    <row r="813" spans="1:23" x14ac:dyDescent="0.35">
      <c r="A813" t="s">
        <v>1177</v>
      </c>
      <c r="B813" s="1">
        <v>45930</v>
      </c>
      <c r="C813" t="s">
        <v>986</v>
      </c>
      <c r="D813" t="s">
        <v>21</v>
      </c>
      <c r="E813" t="s">
        <v>113</v>
      </c>
      <c r="F813" t="s">
        <v>83</v>
      </c>
      <c r="G813" t="s">
        <v>152</v>
      </c>
      <c r="H813" s="7">
        <v>1</v>
      </c>
      <c r="I813" s="4">
        <v>5869.8</v>
      </c>
      <c r="J813" s="23">
        <v>0.1</v>
      </c>
      <c r="K813" s="4">
        <v>5282.82</v>
      </c>
      <c r="L813" s="4">
        <v>3341.17</v>
      </c>
      <c r="M813" s="4">
        <v>1941.65</v>
      </c>
      <c r="N813" t="s">
        <v>25</v>
      </c>
      <c r="O813" s="7">
        <v>27</v>
      </c>
      <c r="P813" s="2">
        <v>45931.125</v>
      </c>
      <c r="Q813" t="s">
        <v>41</v>
      </c>
      <c r="R813">
        <v>9</v>
      </c>
      <c r="S813" t="s">
        <v>42</v>
      </c>
      <c r="T813">
        <f>IF(orders[[#This Row],[Status]]="Completed",1,0)</f>
        <v>1</v>
      </c>
      <c r="U813">
        <f>IF(orders[[#This Row],[Status]]="Pending",1,0)</f>
        <v>0</v>
      </c>
      <c r="V813">
        <f>IF(orders[[#This Row],[Status]]="Delayed",1,0)</f>
        <v>0</v>
      </c>
      <c r="W813">
        <f>IF(orders[[#This Row],[Status]]="Cancelled",1,0)</f>
        <v>0</v>
      </c>
    </row>
    <row r="814" spans="1:23" x14ac:dyDescent="0.35">
      <c r="A814" t="s">
        <v>1178</v>
      </c>
      <c r="B814" s="1">
        <v>45997</v>
      </c>
      <c r="C814" t="s">
        <v>1040</v>
      </c>
      <c r="D814" t="s">
        <v>38</v>
      </c>
      <c r="E814" t="s">
        <v>78</v>
      </c>
      <c r="F814" t="s">
        <v>72</v>
      </c>
      <c r="G814" t="s">
        <v>129</v>
      </c>
      <c r="H814" s="7">
        <v>4</v>
      </c>
      <c r="I814" s="4">
        <v>24238.959999999999</v>
      </c>
      <c r="J814" s="23">
        <v>0.25</v>
      </c>
      <c r="K814" s="4">
        <v>18179.22</v>
      </c>
      <c r="L814" s="4">
        <v>13695.35</v>
      </c>
      <c r="M814" s="4">
        <v>4483.87</v>
      </c>
      <c r="N814" t="s">
        <v>25</v>
      </c>
      <c r="O814" s="7">
        <v>6</v>
      </c>
      <c r="P814" s="2">
        <v>45997.25</v>
      </c>
      <c r="Q814" t="s">
        <v>34</v>
      </c>
      <c r="R814">
        <v>12</v>
      </c>
      <c r="S814" t="s">
        <v>35</v>
      </c>
      <c r="T814">
        <f>IF(orders[[#This Row],[Status]]="Completed",1,0)</f>
        <v>1</v>
      </c>
      <c r="U814">
        <f>IF(orders[[#This Row],[Status]]="Pending",1,0)</f>
        <v>0</v>
      </c>
      <c r="V814">
        <f>IF(orders[[#This Row],[Status]]="Delayed",1,0)</f>
        <v>0</v>
      </c>
      <c r="W814">
        <f>IF(orders[[#This Row],[Status]]="Cancelled",1,0)</f>
        <v>0</v>
      </c>
    </row>
    <row r="815" spans="1:23" x14ac:dyDescent="0.35">
      <c r="A815" t="s">
        <v>1179</v>
      </c>
      <c r="B815" s="1">
        <v>45726</v>
      </c>
      <c r="C815" t="s">
        <v>612</v>
      </c>
      <c r="D815" t="s">
        <v>30</v>
      </c>
      <c r="E815" t="s">
        <v>31</v>
      </c>
      <c r="F815" t="s">
        <v>72</v>
      </c>
      <c r="G815" t="s">
        <v>119</v>
      </c>
      <c r="H815" s="7">
        <v>2</v>
      </c>
      <c r="I815" s="4">
        <v>6311.88</v>
      </c>
      <c r="J815" s="23">
        <v>0.1</v>
      </c>
      <c r="K815" s="4">
        <v>5680.69</v>
      </c>
      <c r="L815" s="4">
        <v>4059.58</v>
      </c>
      <c r="M815" s="4">
        <v>1621.11</v>
      </c>
      <c r="N815" t="s">
        <v>48</v>
      </c>
      <c r="O815" s="7">
        <v>1</v>
      </c>
      <c r="P815" s="2">
        <v>45726.041666666664</v>
      </c>
      <c r="Q815" t="s">
        <v>54</v>
      </c>
      <c r="R815">
        <v>3</v>
      </c>
      <c r="S815" t="s">
        <v>55</v>
      </c>
      <c r="T815">
        <f>IF(orders[[#This Row],[Status]]="Completed",1,0)</f>
        <v>0</v>
      </c>
      <c r="U815">
        <f>IF(orders[[#This Row],[Status]]="Pending",1,0)</f>
        <v>0</v>
      </c>
      <c r="V815">
        <f>IF(orders[[#This Row],[Status]]="Delayed",1,0)</f>
        <v>0</v>
      </c>
      <c r="W815">
        <f>IF(orders[[#This Row],[Status]]="Cancelled",1,0)</f>
        <v>1</v>
      </c>
    </row>
    <row r="816" spans="1:23" x14ac:dyDescent="0.35">
      <c r="A816" t="s">
        <v>1180</v>
      </c>
      <c r="B816" s="1">
        <v>45691</v>
      </c>
      <c r="C816" t="s">
        <v>392</v>
      </c>
      <c r="D816" t="s">
        <v>30</v>
      </c>
      <c r="E816" t="s">
        <v>113</v>
      </c>
      <c r="F816" t="s">
        <v>39</v>
      </c>
      <c r="G816" t="s">
        <v>40</v>
      </c>
      <c r="H816" s="7">
        <v>5</v>
      </c>
      <c r="I816" s="4">
        <v>3953.2</v>
      </c>
      <c r="J816" s="23">
        <v>0.15</v>
      </c>
      <c r="K816" s="4">
        <v>3360.22</v>
      </c>
      <c r="L816" s="4">
        <v>2945</v>
      </c>
      <c r="M816" s="4">
        <v>415.22</v>
      </c>
      <c r="N816" t="s">
        <v>25</v>
      </c>
      <c r="O816" s="7">
        <v>10</v>
      </c>
      <c r="P816" s="2">
        <v>45691.416666666664</v>
      </c>
      <c r="Q816" t="s">
        <v>139</v>
      </c>
      <c r="R816">
        <v>2</v>
      </c>
      <c r="S816" t="s">
        <v>55</v>
      </c>
      <c r="T816">
        <f>IF(orders[[#This Row],[Status]]="Completed",1,0)</f>
        <v>1</v>
      </c>
      <c r="U816">
        <f>IF(orders[[#This Row],[Status]]="Pending",1,0)</f>
        <v>0</v>
      </c>
      <c r="V816">
        <f>IF(orders[[#This Row],[Status]]="Delayed",1,0)</f>
        <v>0</v>
      </c>
      <c r="W816">
        <f>IF(orders[[#This Row],[Status]]="Cancelled",1,0)</f>
        <v>0</v>
      </c>
    </row>
    <row r="817" spans="1:23" x14ac:dyDescent="0.35">
      <c r="A817" t="s">
        <v>1181</v>
      </c>
      <c r="B817" s="1">
        <v>45919</v>
      </c>
      <c r="C817" t="s">
        <v>959</v>
      </c>
      <c r="D817" t="s">
        <v>58</v>
      </c>
      <c r="E817" t="s">
        <v>113</v>
      </c>
      <c r="F817" t="s">
        <v>23</v>
      </c>
      <c r="G817" t="s">
        <v>122</v>
      </c>
      <c r="H817" s="7">
        <v>1</v>
      </c>
      <c r="I817" s="4">
        <v>3709.59</v>
      </c>
      <c r="J817" s="23">
        <v>0.1</v>
      </c>
      <c r="K817" s="4">
        <v>3338.63</v>
      </c>
      <c r="L817" s="4">
        <v>2345.65</v>
      </c>
      <c r="M817" s="4">
        <v>992.98</v>
      </c>
      <c r="N817" t="s">
        <v>25</v>
      </c>
      <c r="O817" s="7">
        <v>28</v>
      </c>
      <c r="P817" s="2">
        <v>45920.166666666664</v>
      </c>
      <c r="Q817" t="s">
        <v>41</v>
      </c>
      <c r="R817">
        <v>9</v>
      </c>
      <c r="S817" t="s">
        <v>42</v>
      </c>
      <c r="T817">
        <f>IF(orders[[#This Row],[Status]]="Completed",1,0)</f>
        <v>1</v>
      </c>
      <c r="U817">
        <f>IF(orders[[#This Row],[Status]]="Pending",1,0)</f>
        <v>0</v>
      </c>
      <c r="V817">
        <f>IF(orders[[#This Row],[Status]]="Delayed",1,0)</f>
        <v>0</v>
      </c>
      <c r="W817">
        <f>IF(orders[[#This Row],[Status]]="Cancelled",1,0)</f>
        <v>0</v>
      </c>
    </row>
    <row r="818" spans="1:23" x14ac:dyDescent="0.35">
      <c r="A818" t="s">
        <v>1182</v>
      </c>
      <c r="B818" s="1">
        <v>45710</v>
      </c>
      <c r="C818" t="s">
        <v>365</v>
      </c>
      <c r="D818" t="s">
        <v>30</v>
      </c>
      <c r="E818" t="s">
        <v>22</v>
      </c>
      <c r="F818" t="s">
        <v>83</v>
      </c>
      <c r="G818" t="s">
        <v>152</v>
      </c>
      <c r="H818" s="7">
        <v>2</v>
      </c>
      <c r="I818" s="4">
        <v>7687</v>
      </c>
      <c r="J818" s="23">
        <v>0.2</v>
      </c>
      <c r="K818" s="4">
        <v>6149.6</v>
      </c>
      <c r="L818" s="4">
        <v>3533.13</v>
      </c>
      <c r="M818" s="4">
        <v>2616.4699999999998</v>
      </c>
      <c r="N818" t="s">
        <v>25</v>
      </c>
      <c r="O818" s="7">
        <v>6</v>
      </c>
      <c r="P818" s="2">
        <v>45710.25</v>
      </c>
      <c r="Q818" t="s">
        <v>139</v>
      </c>
      <c r="R818">
        <v>2</v>
      </c>
      <c r="S818" t="s">
        <v>55</v>
      </c>
      <c r="T818">
        <f>IF(orders[[#This Row],[Status]]="Completed",1,0)</f>
        <v>1</v>
      </c>
      <c r="U818">
        <f>IF(orders[[#This Row],[Status]]="Pending",1,0)</f>
        <v>0</v>
      </c>
      <c r="V818">
        <f>IF(orders[[#This Row],[Status]]="Delayed",1,0)</f>
        <v>0</v>
      </c>
      <c r="W818">
        <f>IF(orders[[#This Row],[Status]]="Cancelled",1,0)</f>
        <v>0</v>
      </c>
    </row>
    <row r="819" spans="1:23" x14ac:dyDescent="0.35">
      <c r="A819" t="s">
        <v>1183</v>
      </c>
      <c r="B819" s="1">
        <v>45862</v>
      </c>
      <c r="C819" t="s">
        <v>530</v>
      </c>
      <c r="D819" t="s">
        <v>21</v>
      </c>
      <c r="E819" t="s">
        <v>31</v>
      </c>
      <c r="F819" t="s">
        <v>39</v>
      </c>
      <c r="G819" t="s">
        <v>40</v>
      </c>
      <c r="H819" s="7">
        <v>1</v>
      </c>
      <c r="I819" s="4">
        <v>5733.4</v>
      </c>
      <c r="J819" s="23">
        <v>0.2</v>
      </c>
      <c r="K819" s="4">
        <v>4586.72</v>
      </c>
      <c r="L819" s="4">
        <v>4002.06</v>
      </c>
      <c r="M819" s="4">
        <v>584.66</v>
      </c>
      <c r="N819" t="s">
        <v>25</v>
      </c>
      <c r="O819" s="7">
        <v>18</v>
      </c>
      <c r="P819" s="2">
        <v>45862.75</v>
      </c>
      <c r="Q819" t="s">
        <v>60</v>
      </c>
      <c r="R819">
        <v>7</v>
      </c>
      <c r="S819" t="s">
        <v>42</v>
      </c>
      <c r="T819">
        <f>IF(orders[[#This Row],[Status]]="Completed",1,0)</f>
        <v>1</v>
      </c>
      <c r="U819">
        <f>IF(orders[[#This Row],[Status]]="Pending",1,0)</f>
        <v>0</v>
      </c>
      <c r="V819">
        <f>IF(orders[[#This Row],[Status]]="Delayed",1,0)</f>
        <v>0</v>
      </c>
      <c r="W819">
        <f>IF(orders[[#This Row],[Status]]="Cancelled",1,0)</f>
        <v>0</v>
      </c>
    </row>
    <row r="820" spans="1:23" x14ac:dyDescent="0.35">
      <c r="A820" t="s">
        <v>1184</v>
      </c>
      <c r="B820" s="1">
        <v>45783</v>
      </c>
      <c r="C820" t="s">
        <v>288</v>
      </c>
      <c r="D820" t="s">
        <v>77</v>
      </c>
      <c r="E820" t="s">
        <v>113</v>
      </c>
      <c r="F820" t="s">
        <v>39</v>
      </c>
      <c r="G820" t="s">
        <v>47</v>
      </c>
      <c r="H820" s="7">
        <v>5</v>
      </c>
      <c r="I820" s="4">
        <v>13918.65</v>
      </c>
      <c r="J820" s="23">
        <v>0</v>
      </c>
      <c r="K820" s="4">
        <v>13918.65</v>
      </c>
      <c r="L820" s="4">
        <v>11529.98</v>
      </c>
      <c r="M820" s="4">
        <v>2388.67</v>
      </c>
      <c r="N820" t="s">
        <v>25</v>
      </c>
      <c r="O820" s="7">
        <v>32</v>
      </c>
      <c r="P820" s="2">
        <v>45784.333333333336</v>
      </c>
      <c r="Q820" t="s">
        <v>74</v>
      </c>
      <c r="R820">
        <v>5</v>
      </c>
      <c r="S820" t="s">
        <v>27</v>
      </c>
      <c r="T820">
        <f>IF(orders[[#This Row],[Status]]="Completed",1,0)</f>
        <v>1</v>
      </c>
      <c r="U820">
        <f>IF(orders[[#This Row],[Status]]="Pending",1,0)</f>
        <v>0</v>
      </c>
      <c r="V820">
        <f>IF(orders[[#This Row],[Status]]="Delayed",1,0)</f>
        <v>0</v>
      </c>
      <c r="W820">
        <f>IF(orders[[#This Row],[Status]]="Cancelled",1,0)</f>
        <v>0</v>
      </c>
    </row>
    <row r="821" spans="1:23" x14ac:dyDescent="0.35">
      <c r="A821" t="s">
        <v>1185</v>
      </c>
      <c r="B821" s="1">
        <v>45892</v>
      </c>
      <c r="C821" t="s">
        <v>192</v>
      </c>
      <c r="D821" t="s">
        <v>63</v>
      </c>
      <c r="E821" t="s">
        <v>31</v>
      </c>
      <c r="F821" t="s">
        <v>23</v>
      </c>
      <c r="G821" t="s">
        <v>24</v>
      </c>
      <c r="H821" s="7">
        <v>2</v>
      </c>
      <c r="I821" s="4">
        <v>11699.4</v>
      </c>
      <c r="J821" s="23">
        <v>0.05</v>
      </c>
      <c r="K821" s="4">
        <v>11114.43</v>
      </c>
      <c r="L821" s="4">
        <v>6766.72</v>
      </c>
      <c r="M821" s="4">
        <v>4347.71</v>
      </c>
      <c r="N821" t="s">
        <v>25</v>
      </c>
      <c r="O821" s="7">
        <v>32</v>
      </c>
      <c r="P821" s="2">
        <v>45893.333333333336</v>
      </c>
      <c r="Q821" t="s">
        <v>80</v>
      </c>
      <c r="R821">
        <v>8</v>
      </c>
      <c r="S821" t="s">
        <v>42</v>
      </c>
      <c r="T821">
        <f>IF(orders[[#This Row],[Status]]="Completed",1,0)</f>
        <v>1</v>
      </c>
      <c r="U821">
        <f>IF(orders[[#This Row],[Status]]="Pending",1,0)</f>
        <v>0</v>
      </c>
      <c r="V821">
        <f>IF(orders[[#This Row],[Status]]="Delayed",1,0)</f>
        <v>0</v>
      </c>
      <c r="W821">
        <f>IF(orders[[#This Row],[Status]]="Cancelled",1,0)</f>
        <v>0</v>
      </c>
    </row>
    <row r="822" spans="1:23" x14ac:dyDescent="0.35">
      <c r="A822" t="s">
        <v>1186</v>
      </c>
      <c r="B822" s="1">
        <v>45700</v>
      </c>
      <c r="C822" t="s">
        <v>640</v>
      </c>
      <c r="D822" t="s">
        <v>21</v>
      </c>
      <c r="E822" t="s">
        <v>113</v>
      </c>
      <c r="F822" t="s">
        <v>83</v>
      </c>
      <c r="G822" t="s">
        <v>107</v>
      </c>
      <c r="H822" s="7">
        <v>6</v>
      </c>
      <c r="I822" s="4">
        <v>44561.58</v>
      </c>
      <c r="J822" s="23">
        <v>0.05</v>
      </c>
      <c r="K822" s="4">
        <v>42333.5</v>
      </c>
      <c r="L822" s="4">
        <v>35920.81</v>
      </c>
      <c r="M822" s="4">
        <v>6412.69</v>
      </c>
      <c r="N822" t="s">
        <v>25</v>
      </c>
      <c r="O822" s="7">
        <v>13</v>
      </c>
      <c r="P822" s="2">
        <v>45700.541666666664</v>
      </c>
      <c r="Q822" t="s">
        <v>139</v>
      </c>
      <c r="R822">
        <v>2</v>
      </c>
      <c r="S822" t="s">
        <v>55</v>
      </c>
      <c r="T822">
        <f>IF(orders[[#This Row],[Status]]="Completed",1,0)</f>
        <v>1</v>
      </c>
      <c r="U822">
        <f>IF(orders[[#This Row],[Status]]="Pending",1,0)</f>
        <v>0</v>
      </c>
      <c r="V822">
        <f>IF(orders[[#This Row],[Status]]="Delayed",1,0)</f>
        <v>0</v>
      </c>
      <c r="W822">
        <f>IF(orders[[#This Row],[Status]]="Cancelled",1,0)</f>
        <v>0</v>
      </c>
    </row>
    <row r="823" spans="1:23" x14ac:dyDescent="0.35">
      <c r="A823" t="s">
        <v>1187</v>
      </c>
      <c r="B823" s="1">
        <v>45897</v>
      </c>
      <c r="C823" t="s">
        <v>1188</v>
      </c>
      <c r="D823" t="s">
        <v>21</v>
      </c>
      <c r="E823" t="s">
        <v>78</v>
      </c>
      <c r="F823" t="s">
        <v>23</v>
      </c>
      <c r="G823" t="s">
        <v>69</v>
      </c>
      <c r="H823" s="7">
        <v>6</v>
      </c>
      <c r="I823" s="4">
        <v>12798.06</v>
      </c>
      <c r="J823" s="23">
        <v>0.05</v>
      </c>
      <c r="K823" s="4">
        <v>12158.16</v>
      </c>
      <c r="L823" s="4">
        <v>8053.81</v>
      </c>
      <c r="M823" s="4">
        <v>4104.3500000000004</v>
      </c>
      <c r="N823" t="s">
        <v>25</v>
      </c>
      <c r="O823" s="7">
        <v>35</v>
      </c>
      <c r="P823" s="2">
        <v>45898.458333333336</v>
      </c>
      <c r="Q823" t="s">
        <v>80</v>
      </c>
      <c r="R823">
        <v>8</v>
      </c>
      <c r="S823" t="s">
        <v>42</v>
      </c>
      <c r="T823">
        <f>IF(orders[[#This Row],[Status]]="Completed",1,0)</f>
        <v>1</v>
      </c>
      <c r="U823">
        <f>IF(orders[[#This Row],[Status]]="Pending",1,0)</f>
        <v>0</v>
      </c>
      <c r="V823">
        <f>IF(orders[[#This Row],[Status]]="Delayed",1,0)</f>
        <v>0</v>
      </c>
      <c r="W823">
        <f>IF(orders[[#This Row],[Status]]="Cancelled",1,0)</f>
        <v>0</v>
      </c>
    </row>
    <row r="824" spans="1:23" x14ac:dyDescent="0.35">
      <c r="A824" t="s">
        <v>1189</v>
      </c>
      <c r="B824" s="1">
        <v>45768</v>
      </c>
      <c r="C824" t="s">
        <v>415</v>
      </c>
      <c r="D824" t="s">
        <v>68</v>
      </c>
      <c r="E824" t="s">
        <v>52</v>
      </c>
      <c r="F824" t="s">
        <v>83</v>
      </c>
      <c r="G824" t="s">
        <v>152</v>
      </c>
      <c r="H824" s="7">
        <v>5</v>
      </c>
      <c r="I824" s="4">
        <v>41619.9</v>
      </c>
      <c r="J824" s="23">
        <v>0</v>
      </c>
      <c r="K824" s="4">
        <v>41619.9</v>
      </c>
      <c r="L824" s="4">
        <v>28070.41</v>
      </c>
      <c r="M824" s="4">
        <v>13549.49</v>
      </c>
      <c r="N824" t="s">
        <v>85</v>
      </c>
      <c r="O824" s="7">
        <v>50</v>
      </c>
      <c r="P824" s="2">
        <v>45770.083333333336</v>
      </c>
      <c r="Q824" t="s">
        <v>26</v>
      </c>
      <c r="R824">
        <v>4</v>
      </c>
      <c r="S824" t="s">
        <v>27</v>
      </c>
      <c r="T824">
        <f>IF(orders[[#This Row],[Status]]="Completed",1,0)</f>
        <v>0</v>
      </c>
      <c r="U824">
        <f>IF(orders[[#This Row],[Status]]="Pending",1,0)</f>
        <v>0</v>
      </c>
      <c r="V824">
        <f>IF(orders[[#This Row],[Status]]="Delayed",1,0)</f>
        <v>1</v>
      </c>
      <c r="W824">
        <f>IF(orders[[#This Row],[Status]]="Cancelled",1,0)</f>
        <v>0</v>
      </c>
    </row>
    <row r="825" spans="1:23" x14ac:dyDescent="0.35">
      <c r="A825" t="s">
        <v>1190</v>
      </c>
      <c r="B825" s="1">
        <v>45906</v>
      </c>
      <c r="C825" t="s">
        <v>665</v>
      </c>
      <c r="D825" t="s">
        <v>63</v>
      </c>
      <c r="E825" t="s">
        <v>78</v>
      </c>
      <c r="F825" t="s">
        <v>23</v>
      </c>
      <c r="G825" t="s">
        <v>69</v>
      </c>
      <c r="H825" s="7">
        <v>3</v>
      </c>
      <c r="I825" s="4">
        <v>10128.51</v>
      </c>
      <c r="J825" s="23">
        <v>0.15</v>
      </c>
      <c r="K825" s="4">
        <v>8609.23</v>
      </c>
      <c r="L825" s="4">
        <v>7310.18</v>
      </c>
      <c r="M825" s="4">
        <v>1299.05</v>
      </c>
      <c r="N825" t="s">
        <v>98</v>
      </c>
      <c r="O825" s="7">
        <v>6</v>
      </c>
      <c r="P825" s="2">
        <v>45906.25</v>
      </c>
      <c r="Q825" t="s">
        <v>41</v>
      </c>
      <c r="R825">
        <v>9</v>
      </c>
      <c r="S825" t="s">
        <v>42</v>
      </c>
      <c r="T825">
        <f>IF(orders[[#This Row],[Status]]="Completed",1,0)</f>
        <v>0</v>
      </c>
      <c r="U825">
        <f>IF(orders[[#This Row],[Status]]="Pending",1,0)</f>
        <v>1</v>
      </c>
      <c r="V825">
        <f>IF(orders[[#This Row],[Status]]="Delayed",1,0)</f>
        <v>0</v>
      </c>
      <c r="W825">
        <f>IF(orders[[#This Row],[Status]]="Cancelled",1,0)</f>
        <v>0</v>
      </c>
    </row>
    <row r="826" spans="1:23" x14ac:dyDescent="0.35">
      <c r="A826" t="s">
        <v>1191</v>
      </c>
      <c r="B826" s="1">
        <v>45808</v>
      </c>
      <c r="C826" t="s">
        <v>192</v>
      </c>
      <c r="D826" t="s">
        <v>38</v>
      </c>
      <c r="E826" t="s">
        <v>78</v>
      </c>
      <c r="F826" t="s">
        <v>39</v>
      </c>
      <c r="G826" t="s">
        <v>93</v>
      </c>
      <c r="H826" s="7">
        <v>5</v>
      </c>
      <c r="I826" s="4">
        <v>11908.05</v>
      </c>
      <c r="J826" s="23">
        <v>0</v>
      </c>
      <c r="K826" s="4">
        <v>11908.05</v>
      </c>
      <c r="L826" s="4">
        <v>8632.6</v>
      </c>
      <c r="M826" s="4">
        <v>3275.45</v>
      </c>
      <c r="N826" t="s">
        <v>85</v>
      </c>
      <c r="O826" s="7">
        <v>68</v>
      </c>
      <c r="P826" s="2">
        <v>45810.833333333336</v>
      </c>
      <c r="Q826" t="s">
        <v>74</v>
      </c>
      <c r="R826">
        <v>5</v>
      </c>
      <c r="S826" t="s">
        <v>27</v>
      </c>
      <c r="T826">
        <f>IF(orders[[#This Row],[Status]]="Completed",1,0)</f>
        <v>0</v>
      </c>
      <c r="U826">
        <f>IF(orders[[#This Row],[Status]]="Pending",1,0)</f>
        <v>0</v>
      </c>
      <c r="V826">
        <f>IF(orders[[#This Row],[Status]]="Delayed",1,0)</f>
        <v>1</v>
      </c>
      <c r="W826">
        <f>IF(orders[[#This Row],[Status]]="Cancelled",1,0)</f>
        <v>0</v>
      </c>
    </row>
    <row r="827" spans="1:23" x14ac:dyDescent="0.35">
      <c r="A827" t="s">
        <v>1192</v>
      </c>
      <c r="B827" s="1">
        <v>45840</v>
      </c>
      <c r="C827" t="s">
        <v>103</v>
      </c>
      <c r="D827" t="s">
        <v>30</v>
      </c>
      <c r="E827" t="s">
        <v>113</v>
      </c>
      <c r="F827" t="s">
        <v>39</v>
      </c>
      <c r="G827" t="s">
        <v>93</v>
      </c>
      <c r="H827" s="7">
        <v>3</v>
      </c>
      <c r="I827" s="4">
        <v>11008.86</v>
      </c>
      <c r="J827" s="23">
        <v>0.1</v>
      </c>
      <c r="K827" s="4">
        <v>9907.9699999999993</v>
      </c>
      <c r="L827" s="4">
        <v>5899.82</v>
      </c>
      <c r="M827" s="4">
        <v>4008.15</v>
      </c>
      <c r="N827" t="s">
        <v>25</v>
      </c>
      <c r="O827" s="7">
        <v>40</v>
      </c>
      <c r="P827" s="2">
        <v>45841.666666666664</v>
      </c>
      <c r="Q827" t="s">
        <v>60</v>
      </c>
      <c r="R827">
        <v>7</v>
      </c>
      <c r="S827" t="s">
        <v>42</v>
      </c>
      <c r="T827">
        <f>IF(orders[[#This Row],[Status]]="Completed",1,0)</f>
        <v>1</v>
      </c>
      <c r="U827">
        <f>IF(orders[[#This Row],[Status]]="Pending",1,0)</f>
        <v>0</v>
      </c>
      <c r="V827">
        <f>IF(orders[[#This Row],[Status]]="Delayed",1,0)</f>
        <v>0</v>
      </c>
      <c r="W827">
        <f>IF(orders[[#This Row],[Status]]="Cancelled",1,0)</f>
        <v>0</v>
      </c>
    </row>
    <row r="828" spans="1:23" x14ac:dyDescent="0.35">
      <c r="A828" t="s">
        <v>1193</v>
      </c>
      <c r="B828" s="1">
        <v>45993</v>
      </c>
      <c r="C828" t="s">
        <v>1194</v>
      </c>
      <c r="D828" t="s">
        <v>63</v>
      </c>
      <c r="E828" t="s">
        <v>78</v>
      </c>
      <c r="F828" t="s">
        <v>32</v>
      </c>
      <c r="G828" t="s">
        <v>64</v>
      </c>
      <c r="H828" s="7">
        <v>2</v>
      </c>
      <c r="I828" s="4">
        <v>1876.44</v>
      </c>
      <c r="J828" s="23">
        <v>0.1</v>
      </c>
      <c r="K828" s="4">
        <v>1688.8</v>
      </c>
      <c r="L828" s="4">
        <v>1134.52</v>
      </c>
      <c r="M828" s="4">
        <v>554.28</v>
      </c>
      <c r="N828" t="s">
        <v>98</v>
      </c>
      <c r="O828" s="7">
        <v>0</v>
      </c>
      <c r="P828" s="2">
        <v>45993</v>
      </c>
      <c r="Q828" t="s">
        <v>34</v>
      </c>
      <c r="R828">
        <v>12</v>
      </c>
      <c r="S828" t="s">
        <v>35</v>
      </c>
      <c r="T828">
        <f>IF(orders[[#This Row],[Status]]="Completed",1,0)</f>
        <v>0</v>
      </c>
      <c r="U828">
        <f>IF(orders[[#This Row],[Status]]="Pending",1,0)</f>
        <v>1</v>
      </c>
      <c r="V828">
        <f>IF(orders[[#This Row],[Status]]="Delayed",1,0)</f>
        <v>0</v>
      </c>
      <c r="W828">
        <f>IF(orders[[#This Row],[Status]]="Cancelled",1,0)</f>
        <v>0</v>
      </c>
    </row>
    <row r="829" spans="1:23" x14ac:dyDescent="0.35">
      <c r="A829" t="s">
        <v>1195</v>
      </c>
      <c r="B829" s="1">
        <v>45752</v>
      </c>
      <c r="C829" t="s">
        <v>343</v>
      </c>
      <c r="D829" t="s">
        <v>30</v>
      </c>
      <c r="E829" t="s">
        <v>78</v>
      </c>
      <c r="F829" t="s">
        <v>72</v>
      </c>
      <c r="G829" t="s">
        <v>73</v>
      </c>
      <c r="H829" s="7">
        <v>3</v>
      </c>
      <c r="I829" s="4">
        <v>3598.92</v>
      </c>
      <c r="J829" s="23">
        <v>0.05</v>
      </c>
      <c r="K829" s="4">
        <v>3418.97</v>
      </c>
      <c r="L829" s="4">
        <v>2695.15</v>
      </c>
      <c r="M829" s="4">
        <v>723.82</v>
      </c>
      <c r="N829" t="s">
        <v>48</v>
      </c>
      <c r="O829" s="7">
        <v>20</v>
      </c>
      <c r="P829" s="2">
        <v>45752.833333333336</v>
      </c>
      <c r="Q829" t="s">
        <v>26</v>
      </c>
      <c r="R829">
        <v>4</v>
      </c>
      <c r="S829" t="s">
        <v>27</v>
      </c>
      <c r="T829">
        <f>IF(orders[[#This Row],[Status]]="Completed",1,0)</f>
        <v>0</v>
      </c>
      <c r="U829">
        <f>IF(orders[[#This Row],[Status]]="Pending",1,0)</f>
        <v>0</v>
      </c>
      <c r="V829">
        <f>IF(orders[[#This Row],[Status]]="Delayed",1,0)</f>
        <v>0</v>
      </c>
      <c r="W829">
        <f>IF(orders[[#This Row],[Status]]="Cancelled",1,0)</f>
        <v>1</v>
      </c>
    </row>
    <row r="830" spans="1:23" x14ac:dyDescent="0.35">
      <c r="A830" t="s">
        <v>1196</v>
      </c>
      <c r="B830" s="1">
        <v>45665</v>
      </c>
      <c r="C830" t="s">
        <v>478</v>
      </c>
      <c r="D830" t="s">
        <v>58</v>
      </c>
      <c r="E830" t="s">
        <v>78</v>
      </c>
      <c r="F830" t="s">
        <v>23</v>
      </c>
      <c r="G830" t="s">
        <v>110</v>
      </c>
      <c r="H830" s="7">
        <v>2</v>
      </c>
      <c r="I830" s="4">
        <v>7221.04</v>
      </c>
      <c r="J830" s="23">
        <v>0.2</v>
      </c>
      <c r="K830" s="4">
        <v>5776.83</v>
      </c>
      <c r="L830" s="4">
        <v>3509.31</v>
      </c>
      <c r="M830" s="4">
        <v>2267.52</v>
      </c>
      <c r="N830" t="s">
        <v>25</v>
      </c>
      <c r="O830" s="7">
        <v>7</v>
      </c>
      <c r="P830" s="2">
        <v>45665.291666666664</v>
      </c>
      <c r="Q830" t="s">
        <v>65</v>
      </c>
      <c r="R830">
        <v>1</v>
      </c>
      <c r="S830" t="s">
        <v>55</v>
      </c>
      <c r="T830">
        <f>IF(orders[[#This Row],[Status]]="Completed",1,0)</f>
        <v>1</v>
      </c>
      <c r="U830">
        <f>IF(orders[[#This Row],[Status]]="Pending",1,0)</f>
        <v>0</v>
      </c>
      <c r="V830">
        <f>IF(orders[[#This Row],[Status]]="Delayed",1,0)</f>
        <v>0</v>
      </c>
      <c r="W830">
        <f>IF(orders[[#This Row],[Status]]="Cancelled",1,0)</f>
        <v>0</v>
      </c>
    </row>
    <row r="831" spans="1:23" x14ac:dyDescent="0.35">
      <c r="A831" t="s">
        <v>1197</v>
      </c>
      <c r="B831" s="1">
        <v>46017</v>
      </c>
      <c r="C831" t="s">
        <v>1188</v>
      </c>
      <c r="D831" t="s">
        <v>63</v>
      </c>
      <c r="E831" t="s">
        <v>113</v>
      </c>
      <c r="F831" t="s">
        <v>32</v>
      </c>
      <c r="G831" t="s">
        <v>64</v>
      </c>
      <c r="H831" s="7">
        <v>2</v>
      </c>
      <c r="I831" s="4">
        <v>13032.82</v>
      </c>
      <c r="J831" s="23">
        <v>0.15</v>
      </c>
      <c r="K831" s="4">
        <v>11077.9</v>
      </c>
      <c r="L831" s="4">
        <v>8250.56</v>
      </c>
      <c r="M831" s="4">
        <v>2827.34</v>
      </c>
      <c r="N831" t="s">
        <v>25</v>
      </c>
      <c r="O831" s="7">
        <v>23</v>
      </c>
      <c r="P831" s="2">
        <v>46017.958333333336</v>
      </c>
      <c r="Q831" t="s">
        <v>34</v>
      </c>
      <c r="R831">
        <v>12</v>
      </c>
      <c r="S831" t="s">
        <v>35</v>
      </c>
      <c r="T831">
        <f>IF(orders[[#This Row],[Status]]="Completed",1,0)</f>
        <v>1</v>
      </c>
      <c r="U831">
        <f>IF(orders[[#This Row],[Status]]="Pending",1,0)</f>
        <v>0</v>
      </c>
      <c r="V831">
        <f>IF(orders[[#This Row],[Status]]="Delayed",1,0)</f>
        <v>0</v>
      </c>
      <c r="W831">
        <f>IF(orders[[#This Row],[Status]]="Cancelled",1,0)</f>
        <v>0</v>
      </c>
    </row>
    <row r="832" spans="1:23" x14ac:dyDescent="0.35">
      <c r="A832" t="s">
        <v>1198</v>
      </c>
      <c r="B832" s="1">
        <v>45841</v>
      </c>
      <c r="C832" t="s">
        <v>297</v>
      </c>
      <c r="D832" t="s">
        <v>30</v>
      </c>
      <c r="E832" t="s">
        <v>46</v>
      </c>
      <c r="F832" t="s">
        <v>72</v>
      </c>
      <c r="G832" t="s">
        <v>129</v>
      </c>
      <c r="H832" s="7">
        <v>7</v>
      </c>
      <c r="I832" s="4">
        <v>53673.27</v>
      </c>
      <c r="J832" s="23">
        <v>0.1</v>
      </c>
      <c r="K832" s="4">
        <v>48305.94</v>
      </c>
      <c r="L832" s="4">
        <v>37651.599999999999</v>
      </c>
      <c r="M832" s="4">
        <v>10654.34</v>
      </c>
      <c r="N832" t="s">
        <v>25</v>
      </c>
      <c r="O832" s="7">
        <v>31</v>
      </c>
      <c r="P832" s="2">
        <v>45842.291666666664</v>
      </c>
      <c r="Q832" t="s">
        <v>60</v>
      </c>
      <c r="R832">
        <v>7</v>
      </c>
      <c r="S832" t="s">
        <v>42</v>
      </c>
      <c r="T832">
        <f>IF(orders[[#This Row],[Status]]="Completed",1,0)</f>
        <v>1</v>
      </c>
      <c r="U832">
        <f>IF(orders[[#This Row],[Status]]="Pending",1,0)</f>
        <v>0</v>
      </c>
      <c r="V832">
        <f>IF(orders[[#This Row],[Status]]="Delayed",1,0)</f>
        <v>0</v>
      </c>
      <c r="W832">
        <f>IF(orders[[#This Row],[Status]]="Cancelled",1,0)</f>
        <v>0</v>
      </c>
    </row>
    <row r="833" spans="1:23" x14ac:dyDescent="0.35">
      <c r="A833" t="s">
        <v>1199</v>
      </c>
      <c r="B833" s="1">
        <v>45938</v>
      </c>
      <c r="C833" t="s">
        <v>623</v>
      </c>
      <c r="D833" t="s">
        <v>38</v>
      </c>
      <c r="E833" t="s">
        <v>52</v>
      </c>
      <c r="F833" t="s">
        <v>23</v>
      </c>
      <c r="G833" t="s">
        <v>110</v>
      </c>
      <c r="H833" s="7">
        <v>4</v>
      </c>
      <c r="I833" s="4">
        <v>22804.92</v>
      </c>
      <c r="J833" s="23">
        <v>0.05</v>
      </c>
      <c r="K833" s="4">
        <v>21664.67</v>
      </c>
      <c r="L833" s="4">
        <v>14373.9</v>
      </c>
      <c r="M833" s="4">
        <v>7290.77</v>
      </c>
      <c r="N833" t="s">
        <v>25</v>
      </c>
      <c r="O833" s="7">
        <v>17</v>
      </c>
      <c r="P833" s="2">
        <v>45938.708333333336</v>
      </c>
      <c r="Q833" t="s">
        <v>116</v>
      </c>
      <c r="R833">
        <v>10</v>
      </c>
      <c r="S833" t="s">
        <v>35</v>
      </c>
      <c r="T833">
        <f>IF(orders[[#This Row],[Status]]="Completed",1,0)</f>
        <v>1</v>
      </c>
      <c r="U833">
        <f>IF(orders[[#This Row],[Status]]="Pending",1,0)</f>
        <v>0</v>
      </c>
      <c r="V833">
        <f>IF(orders[[#This Row],[Status]]="Delayed",1,0)</f>
        <v>0</v>
      </c>
      <c r="W833">
        <f>IF(orders[[#This Row],[Status]]="Cancelled",1,0)</f>
        <v>0</v>
      </c>
    </row>
    <row r="834" spans="1:23" x14ac:dyDescent="0.35">
      <c r="A834" t="s">
        <v>1200</v>
      </c>
      <c r="B834" s="1">
        <v>45852</v>
      </c>
      <c r="C834" t="s">
        <v>177</v>
      </c>
      <c r="D834" t="s">
        <v>51</v>
      </c>
      <c r="E834" t="s">
        <v>59</v>
      </c>
      <c r="F834" t="s">
        <v>83</v>
      </c>
      <c r="G834" t="s">
        <v>107</v>
      </c>
      <c r="H834" s="7">
        <v>2</v>
      </c>
      <c r="I834" s="4">
        <v>2057.16</v>
      </c>
      <c r="J834" s="23">
        <v>0.05</v>
      </c>
      <c r="K834" s="4">
        <v>1954.3</v>
      </c>
      <c r="L834" s="4">
        <v>1522.36</v>
      </c>
      <c r="M834" s="4">
        <v>431.94</v>
      </c>
      <c r="N834" t="s">
        <v>25</v>
      </c>
      <c r="O834" s="7">
        <v>47</v>
      </c>
      <c r="P834" s="2">
        <v>45853.958333333336</v>
      </c>
      <c r="Q834" t="s">
        <v>60</v>
      </c>
      <c r="R834">
        <v>7</v>
      </c>
      <c r="S834" t="s">
        <v>42</v>
      </c>
      <c r="T834">
        <f>IF(orders[[#This Row],[Status]]="Completed",1,0)</f>
        <v>1</v>
      </c>
      <c r="U834">
        <f>IF(orders[[#This Row],[Status]]="Pending",1,0)</f>
        <v>0</v>
      </c>
      <c r="V834">
        <f>IF(orders[[#This Row],[Status]]="Delayed",1,0)</f>
        <v>0</v>
      </c>
      <c r="W834">
        <f>IF(orders[[#This Row],[Status]]="Cancelled",1,0)</f>
        <v>0</v>
      </c>
    </row>
    <row r="835" spans="1:23" x14ac:dyDescent="0.35">
      <c r="A835" t="s">
        <v>1201</v>
      </c>
      <c r="B835" s="1">
        <v>46009</v>
      </c>
      <c r="C835" t="s">
        <v>131</v>
      </c>
      <c r="D835" t="s">
        <v>45</v>
      </c>
      <c r="E835" t="s">
        <v>31</v>
      </c>
      <c r="F835" t="s">
        <v>72</v>
      </c>
      <c r="G835" t="s">
        <v>146</v>
      </c>
      <c r="H835" s="7">
        <v>3</v>
      </c>
      <c r="I835" s="4">
        <v>17284.11</v>
      </c>
      <c r="J835" s="23">
        <v>0.15</v>
      </c>
      <c r="K835" s="4">
        <v>14691.49</v>
      </c>
      <c r="L835" s="4">
        <v>12367.13</v>
      </c>
      <c r="M835" s="4">
        <v>2324.36</v>
      </c>
      <c r="N835" t="s">
        <v>25</v>
      </c>
      <c r="O835" s="7">
        <v>37</v>
      </c>
      <c r="P835" s="2">
        <v>46010.541666666664</v>
      </c>
      <c r="Q835" t="s">
        <v>34</v>
      </c>
      <c r="R835">
        <v>12</v>
      </c>
      <c r="S835" t="s">
        <v>35</v>
      </c>
      <c r="T835">
        <f>IF(orders[[#This Row],[Status]]="Completed",1,0)</f>
        <v>1</v>
      </c>
      <c r="U835">
        <f>IF(orders[[#This Row],[Status]]="Pending",1,0)</f>
        <v>0</v>
      </c>
      <c r="V835">
        <f>IF(orders[[#This Row],[Status]]="Delayed",1,0)</f>
        <v>0</v>
      </c>
      <c r="W835">
        <f>IF(orders[[#This Row],[Status]]="Cancelled",1,0)</f>
        <v>0</v>
      </c>
    </row>
    <row r="836" spans="1:23" x14ac:dyDescent="0.35">
      <c r="A836" t="s">
        <v>1202</v>
      </c>
      <c r="B836" s="1">
        <v>45852</v>
      </c>
      <c r="C836" t="s">
        <v>836</v>
      </c>
      <c r="D836" t="s">
        <v>45</v>
      </c>
      <c r="E836" t="s">
        <v>46</v>
      </c>
      <c r="F836" t="s">
        <v>39</v>
      </c>
      <c r="G836" t="s">
        <v>93</v>
      </c>
      <c r="H836" s="7">
        <v>4</v>
      </c>
      <c r="I836" s="4">
        <v>21823.279999999999</v>
      </c>
      <c r="J836" s="23">
        <v>0</v>
      </c>
      <c r="K836" s="4">
        <v>21823.279999999999</v>
      </c>
      <c r="L836" s="4">
        <v>15402.84</v>
      </c>
      <c r="M836" s="4">
        <v>6420.44</v>
      </c>
      <c r="N836" t="s">
        <v>98</v>
      </c>
      <c r="O836" s="7">
        <v>13</v>
      </c>
      <c r="P836" s="2">
        <v>45852.541666666664</v>
      </c>
      <c r="Q836" t="s">
        <v>60</v>
      </c>
      <c r="R836">
        <v>7</v>
      </c>
      <c r="S836" t="s">
        <v>42</v>
      </c>
      <c r="T836">
        <f>IF(orders[[#This Row],[Status]]="Completed",1,0)</f>
        <v>0</v>
      </c>
      <c r="U836">
        <f>IF(orders[[#This Row],[Status]]="Pending",1,0)</f>
        <v>1</v>
      </c>
      <c r="V836">
        <f>IF(orders[[#This Row],[Status]]="Delayed",1,0)</f>
        <v>0</v>
      </c>
      <c r="W836">
        <f>IF(orders[[#This Row],[Status]]="Cancelled",1,0)</f>
        <v>0</v>
      </c>
    </row>
    <row r="837" spans="1:23" x14ac:dyDescent="0.35">
      <c r="A837" t="s">
        <v>1203</v>
      </c>
      <c r="B837" s="1">
        <v>45812</v>
      </c>
      <c r="C837" t="s">
        <v>124</v>
      </c>
      <c r="D837" t="s">
        <v>38</v>
      </c>
      <c r="E837" t="s">
        <v>92</v>
      </c>
      <c r="F837" t="s">
        <v>32</v>
      </c>
      <c r="G837" t="s">
        <v>64</v>
      </c>
      <c r="H837" s="7">
        <v>4</v>
      </c>
      <c r="I837" s="4">
        <v>27512.52</v>
      </c>
      <c r="J837" s="23">
        <v>0.1</v>
      </c>
      <c r="K837" s="4">
        <v>24761.27</v>
      </c>
      <c r="L837" s="4">
        <v>16747.53</v>
      </c>
      <c r="M837" s="4">
        <v>8013.74</v>
      </c>
      <c r="N837" t="s">
        <v>25</v>
      </c>
      <c r="O837" s="7">
        <v>34</v>
      </c>
      <c r="P837" s="2">
        <v>45813.416666666664</v>
      </c>
      <c r="Q837" t="s">
        <v>99</v>
      </c>
      <c r="R837">
        <v>6</v>
      </c>
      <c r="S837" t="s">
        <v>27</v>
      </c>
      <c r="T837">
        <f>IF(orders[[#This Row],[Status]]="Completed",1,0)</f>
        <v>1</v>
      </c>
      <c r="U837">
        <f>IF(orders[[#This Row],[Status]]="Pending",1,0)</f>
        <v>0</v>
      </c>
      <c r="V837">
        <f>IF(orders[[#This Row],[Status]]="Delayed",1,0)</f>
        <v>0</v>
      </c>
      <c r="W837">
        <f>IF(orders[[#This Row],[Status]]="Cancelled",1,0)</f>
        <v>0</v>
      </c>
    </row>
    <row r="838" spans="1:23" x14ac:dyDescent="0.35">
      <c r="A838" t="s">
        <v>1204</v>
      </c>
      <c r="B838" s="1">
        <v>45750</v>
      </c>
      <c r="C838" t="s">
        <v>175</v>
      </c>
      <c r="D838" t="s">
        <v>68</v>
      </c>
      <c r="E838" t="s">
        <v>52</v>
      </c>
      <c r="F838" t="s">
        <v>72</v>
      </c>
      <c r="G838" t="s">
        <v>146</v>
      </c>
      <c r="H838" s="7">
        <v>2</v>
      </c>
      <c r="I838" s="4">
        <v>14081.66</v>
      </c>
      <c r="J838" s="23">
        <v>0.15</v>
      </c>
      <c r="K838" s="4">
        <v>11969.41</v>
      </c>
      <c r="L838" s="4">
        <v>7575.23</v>
      </c>
      <c r="M838" s="4">
        <v>4394.18</v>
      </c>
      <c r="N838" t="s">
        <v>25</v>
      </c>
      <c r="O838" s="7">
        <v>36</v>
      </c>
      <c r="P838" s="2">
        <v>45751.5</v>
      </c>
      <c r="Q838" t="s">
        <v>26</v>
      </c>
      <c r="R838">
        <v>4</v>
      </c>
      <c r="S838" t="s">
        <v>27</v>
      </c>
      <c r="T838">
        <f>IF(orders[[#This Row],[Status]]="Completed",1,0)</f>
        <v>1</v>
      </c>
      <c r="U838">
        <f>IF(orders[[#This Row],[Status]]="Pending",1,0)</f>
        <v>0</v>
      </c>
      <c r="V838">
        <f>IF(orders[[#This Row],[Status]]="Delayed",1,0)</f>
        <v>0</v>
      </c>
      <c r="W838">
        <f>IF(orders[[#This Row],[Status]]="Cancelled",1,0)</f>
        <v>0</v>
      </c>
    </row>
    <row r="839" spans="1:23" x14ac:dyDescent="0.35">
      <c r="A839" t="s">
        <v>1205</v>
      </c>
      <c r="B839" s="1">
        <v>45817</v>
      </c>
      <c r="C839" t="s">
        <v>209</v>
      </c>
      <c r="D839" t="s">
        <v>51</v>
      </c>
      <c r="E839" t="s">
        <v>46</v>
      </c>
      <c r="F839" t="s">
        <v>72</v>
      </c>
      <c r="G839" t="s">
        <v>73</v>
      </c>
      <c r="H839" s="7">
        <v>5</v>
      </c>
      <c r="I839" s="4">
        <v>36997.5</v>
      </c>
      <c r="J839" s="23">
        <v>0.05</v>
      </c>
      <c r="K839" s="4">
        <v>35147.620000000003</v>
      </c>
      <c r="L839" s="4">
        <v>26339.200000000001</v>
      </c>
      <c r="M839" s="4">
        <v>8808.42</v>
      </c>
      <c r="N839" t="s">
        <v>25</v>
      </c>
      <c r="O839" s="7">
        <v>42</v>
      </c>
      <c r="P839" s="2">
        <v>45818.75</v>
      </c>
      <c r="Q839" t="s">
        <v>99</v>
      </c>
      <c r="R839">
        <v>6</v>
      </c>
      <c r="S839" t="s">
        <v>27</v>
      </c>
      <c r="T839">
        <f>IF(orders[[#This Row],[Status]]="Completed",1,0)</f>
        <v>1</v>
      </c>
      <c r="U839">
        <f>IF(orders[[#This Row],[Status]]="Pending",1,0)</f>
        <v>0</v>
      </c>
      <c r="V839">
        <f>IF(orders[[#This Row],[Status]]="Delayed",1,0)</f>
        <v>0</v>
      </c>
      <c r="W839">
        <f>IF(orders[[#This Row],[Status]]="Cancelled",1,0)</f>
        <v>0</v>
      </c>
    </row>
    <row r="840" spans="1:23" x14ac:dyDescent="0.35">
      <c r="A840" t="s">
        <v>1206</v>
      </c>
      <c r="B840" s="1">
        <v>45718</v>
      </c>
      <c r="C840" t="s">
        <v>426</v>
      </c>
      <c r="D840" t="s">
        <v>58</v>
      </c>
      <c r="E840" t="s">
        <v>78</v>
      </c>
      <c r="F840" t="s">
        <v>39</v>
      </c>
      <c r="G840" t="s">
        <v>93</v>
      </c>
      <c r="H840" s="7">
        <v>5</v>
      </c>
      <c r="I840" s="4">
        <v>18040</v>
      </c>
      <c r="J840" s="23">
        <v>0.2</v>
      </c>
      <c r="K840" s="4">
        <v>14432</v>
      </c>
      <c r="L840" s="4">
        <v>12127.95</v>
      </c>
      <c r="M840" s="4">
        <v>2304.0500000000002</v>
      </c>
      <c r="N840" t="s">
        <v>25</v>
      </c>
      <c r="O840" s="7">
        <v>31</v>
      </c>
      <c r="P840" s="2">
        <v>45719.291666666664</v>
      </c>
      <c r="Q840" t="s">
        <v>54</v>
      </c>
      <c r="R840">
        <v>3</v>
      </c>
      <c r="S840" t="s">
        <v>55</v>
      </c>
      <c r="T840">
        <f>IF(orders[[#This Row],[Status]]="Completed",1,0)</f>
        <v>1</v>
      </c>
      <c r="U840">
        <f>IF(orders[[#This Row],[Status]]="Pending",1,0)</f>
        <v>0</v>
      </c>
      <c r="V840">
        <f>IF(orders[[#This Row],[Status]]="Delayed",1,0)</f>
        <v>0</v>
      </c>
      <c r="W840">
        <f>IF(orders[[#This Row],[Status]]="Cancelled",1,0)</f>
        <v>0</v>
      </c>
    </row>
    <row r="841" spans="1:23" x14ac:dyDescent="0.35">
      <c r="A841" t="s">
        <v>1207</v>
      </c>
      <c r="B841" s="1">
        <v>45779</v>
      </c>
      <c r="C841" t="s">
        <v>861</v>
      </c>
      <c r="D841" t="s">
        <v>38</v>
      </c>
      <c r="E841" t="s">
        <v>59</v>
      </c>
      <c r="F841" t="s">
        <v>23</v>
      </c>
      <c r="G841" t="s">
        <v>24</v>
      </c>
      <c r="H841" s="7">
        <v>6</v>
      </c>
      <c r="I841" s="4">
        <v>35863.019999999997</v>
      </c>
      <c r="J841" s="23">
        <v>0</v>
      </c>
      <c r="K841" s="4">
        <v>35863.019999999997</v>
      </c>
      <c r="L841" s="4">
        <v>23566.959999999999</v>
      </c>
      <c r="M841" s="4">
        <v>12296.06</v>
      </c>
      <c r="N841" t="s">
        <v>25</v>
      </c>
      <c r="O841" s="7">
        <v>28</v>
      </c>
      <c r="P841" s="2">
        <v>45780.166666666664</v>
      </c>
      <c r="Q841" t="s">
        <v>74</v>
      </c>
      <c r="R841">
        <v>5</v>
      </c>
      <c r="S841" t="s">
        <v>27</v>
      </c>
      <c r="T841">
        <f>IF(orders[[#This Row],[Status]]="Completed",1,0)</f>
        <v>1</v>
      </c>
      <c r="U841">
        <f>IF(orders[[#This Row],[Status]]="Pending",1,0)</f>
        <v>0</v>
      </c>
      <c r="V841">
        <f>IF(orders[[#This Row],[Status]]="Delayed",1,0)</f>
        <v>0</v>
      </c>
      <c r="W841">
        <f>IF(orders[[#This Row],[Status]]="Cancelled",1,0)</f>
        <v>0</v>
      </c>
    </row>
    <row r="842" spans="1:23" x14ac:dyDescent="0.35">
      <c r="A842" t="s">
        <v>1208</v>
      </c>
      <c r="B842" s="1">
        <v>45708</v>
      </c>
      <c r="C842" t="s">
        <v>165</v>
      </c>
      <c r="D842" t="s">
        <v>45</v>
      </c>
      <c r="E842" t="s">
        <v>113</v>
      </c>
      <c r="F842" t="s">
        <v>83</v>
      </c>
      <c r="G842" t="s">
        <v>155</v>
      </c>
      <c r="H842" s="7">
        <v>4</v>
      </c>
      <c r="I842" s="4">
        <v>9559.56</v>
      </c>
      <c r="J842" s="23">
        <v>0.2</v>
      </c>
      <c r="K842" s="4">
        <v>7647.65</v>
      </c>
      <c r="L842" s="4">
        <v>5206.2</v>
      </c>
      <c r="M842" s="4">
        <v>2441.4499999999998</v>
      </c>
      <c r="N842" t="s">
        <v>25</v>
      </c>
      <c r="O842" s="7">
        <v>35</v>
      </c>
      <c r="P842" s="2">
        <v>45709.458333333336</v>
      </c>
      <c r="Q842" t="s">
        <v>139</v>
      </c>
      <c r="R842">
        <v>2</v>
      </c>
      <c r="S842" t="s">
        <v>55</v>
      </c>
      <c r="T842">
        <f>IF(orders[[#This Row],[Status]]="Completed",1,0)</f>
        <v>1</v>
      </c>
      <c r="U842">
        <f>IF(orders[[#This Row],[Status]]="Pending",1,0)</f>
        <v>0</v>
      </c>
      <c r="V842">
        <f>IF(orders[[#This Row],[Status]]="Delayed",1,0)</f>
        <v>0</v>
      </c>
      <c r="W842">
        <f>IF(orders[[#This Row],[Status]]="Cancelled",1,0)</f>
        <v>0</v>
      </c>
    </row>
    <row r="843" spans="1:23" x14ac:dyDescent="0.35">
      <c r="A843" t="s">
        <v>1209</v>
      </c>
      <c r="B843" s="1">
        <v>45934</v>
      </c>
      <c r="C843" t="s">
        <v>668</v>
      </c>
      <c r="D843" t="s">
        <v>45</v>
      </c>
      <c r="E843" t="s">
        <v>22</v>
      </c>
      <c r="F843" t="s">
        <v>39</v>
      </c>
      <c r="G843" t="s">
        <v>114</v>
      </c>
      <c r="H843" s="7">
        <v>2</v>
      </c>
      <c r="I843" s="4">
        <v>16988.919999999998</v>
      </c>
      <c r="J843" s="23">
        <v>0</v>
      </c>
      <c r="K843" s="4">
        <v>16988.919999999998</v>
      </c>
      <c r="L843" s="4">
        <v>11623.59</v>
      </c>
      <c r="M843" s="4">
        <v>5365.33</v>
      </c>
      <c r="N843" t="s">
        <v>25</v>
      </c>
      <c r="O843" s="7">
        <v>12</v>
      </c>
      <c r="P843" s="2">
        <v>45934.5</v>
      </c>
      <c r="Q843" t="s">
        <v>116</v>
      </c>
      <c r="R843">
        <v>10</v>
      </c>
      <c r="S843" t="s">
        <v>35</v>
      </c>
      <c r="T843">
        <f>IF(orders[[#This Row],[Status]]="Completed",1,0)</f>
        <v>1</v>
      </c>
      <c r="U843">
        <f>IF(orders[[#This Row],[Status]]="Pending",1,0)</f>
        <v>0</v>
      </c>
      <c r="V843">
        <f>IF(orders[[#This Row],[Status]]="Delayed",1,0)</f>
        <v>0</v>
      </c>
      <c r="W843">
        <f>IF(orders[[#This Row],[Status]]="Cancelled",1,0)</f>
        <v>0</v>
      </c>
    </row>
    <row r="844" spans="1:23" x14ac:dyDescent="0.35">
      <c r="A844" t="s">
        <v>1210</v>
      </c>
      <c r="B844" s="1">
        <v>45662</v>
      </c>
      <c r="C844" t="s">
        <v>388</v>
      </c>
      <c r="D844" t="s">
        <v>45</v>
      </c>
      <c r="E844" t="s">
        <v>59</v>
      </c>
      <c r="F844" t="s">
        <v>83</v>
      </c>
      <c r="G844" t="s">
        <v>152</v>
      </c>
      <c r="H844" s="7">
        <v>7</v>
      </c>
      <c r="I844" s="4">
        <v>11298.28</v>
      </c>
      <c r="J844" s="23">
        <v>0.1</v>
      </c>
      <c r="K844" s="4">
        <v>10168.450000000001</v>
      </c>
      <c r="L844" s="4">
        <v>7474.5</v>
      </c>
      <c r="M844" s="4">
        <v>2693.95</v>
      </c>
      <c r="N844" t="s">
        <v>98</v>
      </c>
      <c r="O844" s="7">
        <v>15</v>
      </c>
      <c r="P844" s="2">
        <v>45662.625</v>
      </c>
      <c r="Q844" t="s">
        <v>65</v>
      </c>
      <c r="R844">
        <v>1</v>
      </c>
      <c r="S844" t="s">
        <v>55</v>
      </c>
      <c r="T844">
        <f>IF(orders[[#This Row],[Status]]="Completed",1,0)</f>
        <v>0</v>
      </c>
      <c r="U844">
        <f>IF(orders[[#This Row],[Status]]="Pending",1,0)</f>
        <v>1</v>
      </c>
      <c r="V844">
        <f>IF(orders[[#This Row],[Status]]="Delayed",1,0)</f>
        <v>0</v>
      </c>
      <c r="W844">
        <f>IF(orders[[#This Row],[Status]]="Cancelled",1,0)</f>
        <v>0</v>
      </c>
    </row>
    <row r="845" spans="1:23" x14ac:dyDescent="0.35">
      <c r="A845" t="s">
        <v>1211</v>
      </c>
      <c r="B845" s="1">
        <v>45749</v>
      </c>
      <c r="C845" t="s">
        <v>281</v>
      </c>
      <c r="D845" t="s">
        <v>149</v>
      </c>
      <c r="E845" t="s">
        <v>52</v>
      </c>
      <c r="F845" t="s">
        <v>23</v>
      </c>
      <c r="G845" t="s">
        <v>122</v>
      </c>
      <c r="H845" s="7">
        <v>5</v>
      </c>
      <c r="I845" s="4">
        <v>1172.3</v>
      </c>
      <c r="J845" s="23">
        <v>0.05</v>
      </c>
      <c r="K845" s="4">
        <v>1113.68</v>
      </c>
      <c r="L845" s="4">
        <v>696.47</v>
      </c>
      <c r="M845" s="4">
        <v>417.21</v>
      </c>
      <c r="N845" t="s">
        <v>25</v>
      </c>
      <c r="O845" s="7">
        <v>34</v>
      </c>
      <c r="P845" s="2">
        <v>45750.416666666664</v>
      </c>
      <c r="Q845" t="s">
        <v>26</v>
      </c>
      <c r="R845">
        <v>4</v>
      </c>
      <c r="S845" t="s">
        <v>27</v>
      </c>
      <c r="T845">
        <f>IF(orders[[#This Row],[Status]]="Completed",1,0)</f>
        <v>1</v>
      </c>
      <c r="U845">
        <f>IF(orders[[#This Row],[Status]]="Pending",1,0)</f>
        <v>0</v>
      </c>
      <c r="V845">
        <f>IF(orders[[#This Row],[Status]]="Delayed",1,0)</f>
        <v>0</v>
      </c>
      <c r="W845">
        <f>IF(orders[[#This Row],[Status]]="Cancelled",1,0)</f>
        <v>0</v>
      </c>
    </row>
    <row r="846" spans="1:23" x14ac:dyDescent="0.35">
      <c r="A846" t="s">
        <v>1212</v>
      </c>
      <c r="B846" s="1">
        <v>45827</v>
      </c>
      <c r="C846" t="s">
        <v>873</v>
      </c>
      <c r="D846" t="s">
        <v>38</v>
      </c>
      <c r="E846" t="s">
        <v>22</v>
      </c>
      <c r="F846" t="s">
        <v>72</v>
      </c>
      <c r="G846" t="s">
        <v>129</v>
      </c>
      <c r="H846" s="7">
        <v>7</v>
      </c>
      <c r="I846" s="4">
        <v>9747.85</v>
      </c>
      <c r="J846" s="23">
        <v>0.15</v>
      </c>
      <c r="K846" s="4">
        <v>8285.67</v>
      </c>
      <c r="L846" s="4">
        <v>6805.27</v>
      </c>
      <c r="M846" s="4">
        <v>1480.4</v>
      </c>
      <c r="N846" t="s">
        <v>48</v>
      </c>
      <c r="O846" s="7">
        <v>11</v>
      </c>
      <c r="P846" s="2">
        <v>45827.458333333336</v>
      </c>
      <c r="Q846" t="s">
        <v>99</v>
      </c>
      <c r="R846">
        <v>6</v>
      </c>
      <c r="S846" t="s">
        <v>27</v>
      </c>
      <c r="T846">
        <f>IF(orders[[#This Row],[Status]]="Completed",1,0)</f>
        <v>0</v>
      </c>
      <c r="U846">
        <f>IF(orders[[#This Row],[Status]]="Pending",1,0)</f>
        <v>0</v>
      </c>
      <c r="V846">
        <f>IF(orders[[#This Row],[Status]]="Delayed",1,0)</f>
        <v>0</v>
      </c>
      <c r="W846">
        <f>IF(orders[[#This Row],[Status]]="Cancelled",1,0)</f>
        <v>1</v>
      </c>
    </row>
    <row r="847" spans="1:23" x14ac:dyDescent="0.35">
      <c r="A847" t="s">
        <v>1213</v>
      </c>
      <c r="B847" s="1">
        <v>45974</v>
      </c>
      <c r="C847" t="s">
        <v>1099</v>
      </c>
      <c r="D847" t="s">
        <v>21</v>
      </c>
      <c r="E847" t="s">
        <v>113</v>
      </c>
      <c r="F847" t="s">
        <v>83</v>
      </c>
      <c r="G847" t="s">
        <v>84</v>
      </c>
      <c r="H847" s="7">
        <v>2</v>
      </c>
      <c r="I847" s="4">
        <v>13257.06</v>
      </c>
      <c r="J847" s="23">
        <v>0.1</v>
      </c>
      <c r="K847" s="4">
        <v>11931.35</v>
      </c>
      <c r="L847" s="4">
        <v>7726.13</v>
      </c>
      <c r="M847" s="4">
        <v>4205.22</v>
      </c>
      <c r="N847" t="s">
        <v>25</v>
      </c>
      <c r="O847" s="7">
        <v>26</v>
      </c>
      <c r="P847" s="2">
        <v>45975.083333333336</v>
      </c>
      <c r="Q847" t="s">
        <v>86</v>
      </c>
      <c r="R847">
        <v>11</v>
      </c>
      <c r="S847" t="s">
        <v>35</v>
      </c>
      <c r="T847">
        <f>IF(orders[[#This Row],[Status]]="Completed",1,0)</f>
        <v>1</v>
      </c>
      <c r="U847">
        <f>IF(orders[[#This Row],[Status]]="Pending",1,0)</f>
        <v>0</v>
      </c>
      <c r="V847">
        <f>IF(orders[[#This Row],[Status]]="Delayed",1,0)</f>
        <v>0</v>
      </c>
      <c r="W847">
        <f>IF(orders[[#This Row],[Status]]="Cancelled",1,0)</f>
        <v>0</v>
      </c>
    </row>
    <row r="848" spans="1:23" x14ac:dyDescent="0.35">
      <c r="A848" t="s">
        <v>1214</v>
      </c>
      <c r="B848" s="1">
        <v>45679</v>
      </c>
      <c r="C848" t="s">
        <v>575</v>
      </c>
      <c r="D848" t="s">
        <v>58</v>
      </c>
      <c r="E848" t="s">
        <v>59</v>
      </c>
      <c r="F848" t="s">
        <v>32</v>
      </c>
      <c r="G848" t="s">
        <v>64</v>
      </c>
      <c r="H848" s="7">
        <v>2</v>
      </c>
      <c r="I848" s="4">
        <v>7761.28</v>
      </c>
      <c r="J848" s="23">
        <v>0</v>
      </c>
      <c r="K848" s="4">
        <v>7761.28</v>
      </c>
      <c r="L848" s="4">
        <v>6075.29</v>
      </c>
      <c r="M848" s="4">
        <v>1685.99</v>
      </c>
      <c r="N848" t="s">
        <v>85</v>
      </c>
      <c r="O848" s="7">
        <v>60</v>
      </c>
      <c r="P848" s="2">
        <v>45681.5</v>
      </c>
      <c r="Q848" t="s">
        <v>65</v>
      </c>
      <c r="R848">
        <v>1</v>
      </c>
      <c r="S848" t="s">
        <v>55</v>
      </c>
      <c r="T848">
        <f>IF(orders[[#This Row],[Status]]="Completed",1,0)</f>
        <v>0</v>
      </c>
      <c r="U848">
        <f>IF(orders[[#This Row],[Status]]="Pending",1,0)</f>
        <v>0</v>
      </c>
      <c r="V848">
        <f>IF(orders[[#This Row],[Status]]="Delayed",1,0)</f>
        <v>1</v>
      </c>
      <c r="W848">
        <f>IF(orders[[#This Row],[Status]]="Cancelled",1,0)</f>
        <v>0</v>
      </c>
    </row>
    <row r="849" spans="1:23" x14ac:dyDescent="0.35">
      <c r="A849" t="s">
        <v>1215</v>
      </c>
      <c r="B849" s="1">
        <v>45983</v>
      </c>
      <c r="C849" t="s">
        <v>498</v>
      </c>
      <c r="D849" t="s">
        <v>45</v>
      </c>
      <c r="E849" t="s">
        <v>92</v>
      </c>
      <c r="F849" t="s">
        <v>32</v>
      </c>
      <c r="G849" t="s">
        <v>53</v>
      </c>
      <c r="H849" s="7">
        <v>4</v>
      </c>
      <c r="I849" s="4">
        <v>15546.52</v>
      </c>
      <c r="J849" s="23">
        <v>0.1</v>
      </c>
      <c r="K849" s="4">
        <v>13991.87</v>
      </c>
      <c r="L849" s="4">
        <v>10065.209999999999</v>
      </c>
      <c r="M849" s="4">
        <v>3926.66</v>
      </c>
      <c r="N849" t="s">
        <v>25</v>
      </c>
      <c r="O849" s="7">
        <v>13</v>
      </c>
      <c r="P849" s="2">
        <v>45983.541666666664</v>
      </c>
      <c r="Q849" t="s">
        <v>86</v>
      </c>
      <c r="R849">
        <v>11</v>
      </c>
      <c r="S849" t="s">
        <v>35</v>
      </c>
      <c r="T849">
        <f>IF(orders[[#This Row],[Status]]="Completed",1,0)</f>
        <v>1</v>
      </c>
      <c r="U849">
        <f>IF(orders[[#This Row],[Status]]="Pending",1,0)</f>
        <v>0</v>
      </c>
      <c r="V849">
        <f>IF(orders[[#This Row],[Status]]="Delayed",1,0)</f>
        <v>0</v>
      </c>
      <c r="W849">
        <f>IF(orders[[#This Row],[Status]]="Cancelled",1,0)</f>
        <v>0</v>
      </c>
    </row>
    <row r="850" spans="1:23" x14ac:dyDescent="0.35">
      <c r="A850" t="s">
        <v>1216</v>
      </c>
      <c r="B850" s="1">
        <v>45658</v>
      </c>
      <c r="C850" t="s">
        <v>1050</v>
      </c>
      <c r="D850" t="s">
        <v>30</v>
      </c>
      <c r="E850" t="s">
        <v>31</v>
      </c>
      <c r="F850" t="s">
        <v>39</v>
      </c>
      <c r="G850" t="s">
        <v>40</v>
      </c>
      <c r="H850" s="7">
        <v>7</v>
      </c>
      <c r="I850" s="4">
        <v>56871.08</v>
      </c>
      <c r="J850" s="23">
        <v>0.05</v>
      </c>
      <c r="K850" s="4">
        <v>54027.53</v>
      </c>
      <c r="L850" s="4">
        <v>40161.160000000003</v>
      </c>
      <c r="M850" s="4">
        <v>13866.37</v>
      </c>
      <c r="N850" t="s">
        <v>25</v>
      </c>
      <c r="O850" s="7">
        <v>19</v>
      </c>
      <c r="P850" s="2">
        <v>45658.791666666664</v>
      </c>
      <c r="Q850" t="s">
        <v>65</v>
      </c>
      <c r="R850">
        <v>1</v>
      </c>
      <c r="S850" t="s">
        <v>55</v>
      </c>
      <c r="T850">
        <f>IF(orders[[#This Row],[Status]]="Completed",1,0)</f>
        <v>1</v>
      </c>
      <c r="U850">
        <f>IF(orders[[#This Row],[Status]]="Pending",1,0)</f>
        <v>0</v>
      </c>
      <c r="V850">
        <f>IF(orders[[#This Row],[Status]]="Delayed",1,0)</f>
        <v>0</v>
      </c>
      <c r="W850">
        <f>IF(orders[[#This Row],[Status]]="Cancelled",1,0)</f>
        <v>0</v>
      </c>
    </row>
    <row r="851" spans="1:23" x14ac:dyDescent="0.35">
      <c r="A851" t="s">
        <v>1217</v>
      </c>
      <c r="B851" s="1">
        <v>45790</v>
      </c>
      <c r="C851" t="s">
        <v>1089</v>
      </c>
      <c r="D851" t="s">
        <v>38</v>
      </c>
      <c r="E851" t="s">
        <v>31</v>
      </c>
      <c r="F851" t="s">
        <v>23</v>
      </c>
      <c r="G851" t="s">
        <v>69</v>
      </c>
      <c r="H851" s="7">
        <v>6</v>
      </c>
      <c r="I851" s="4">
        <v>46973.7</v>
      </c>
      <c r="J851" s="23">
        <v>0.1</v>
      </c>
      <c r="K851" s="4">
        <v>42276.33</v>
      </c>
      <c r="L851" s="4">
        <v>25757.74</v>
      </c>
      <c r="M851" s="4">
        <v>16518.59</v>
      </c>
      <c r="N851" t="s">
        <v>98</v>
      </c>
      <c r="O851" s="7">
        <v>8</v>
      </c>
      <c r="P851" s="2">
        <v>45790.333333333336</v>
      </c>
      <c r="Q851" t="s">
        <v>74</v>
      </c>
      <c r="R851">
        <v>5</v>
      </c>
      <c r="S851" t="s">
        <v>27</v>
      </c>
      <c r="T851">
        <f>IF(orders[[#This Row],[Status]]="Completed",1,0)</f>
        <v>0</v>
      </c>
      <c r="U851">
        <f>IF(orders[[#This Row],[Status]]="Pending",1,0)</f>
        <v>1</v>
      </c>
      <c r="V851">
        <f>IF(orders[[#This Row],[Status]]="Delayed",1,0)</f>
        <v>0</v>
      </c>
      <c r="W851">
        <f>IF(orders[[#This Row],[Status]]="Cancelled",1,0)</f>
        <v>0</v>
      </c>
    </row>
    <row r="852" spans="1:23" x14ac:dyDescent="0.35">
      <c r="A852" t="s">
        <v>1218</v>
      </c>
      <c r="B852" s="1">
        <v>45890</v>
      </c>
      <c r="C852" t="s">
        <v>259</v>
      </c>
      <c r="D852" t="s">
        <v>149</v>
      </c>
      <c r="E852" t="s">
        <v>52</v>
      </c>
      <c r="F852" t="s">
        <v>39</v>
      </c>
      <c r="G852" t="s">
        <v>93</v>
      </c>
      <c r="H852" s="7">
        <v>4</v>
      </c>
      <c r="I852" s="4">
        <v>10993.92</v>
      </c>
      <c r="J852" s="23">
        <v>0.2</v>
      </c>
      <c r="K852" s="4">
        <v>8795.14</v>
      </c>
      <c r="L852" s="4">
        <v>6970.66</v>
      </c>
      <c r="M852" s="4">
        <v>1824.48</v>
      </c>
      <c r="N852" t="s">
        <v>48</v>
      </c>
      <c r="O852" s="7">
        <v>6</v>
      </c>
      <c r="P852" s="2">
        <v>45890.25</v>
      </c>
      <c r="Q852" t="s">
        <v>80</v>
      </c>
      <c r="R852">
        <v>8</v>
      </c>
      <c r="S852" t="s">
        <v>42</v>
      </c>
      <c r="T852">
        <f>IF(orders[[#This Row],[Status]]="Completed",1,0)</f>
        <v>0</v>
      </c>
      <c r="U852">
        <f>IF(orders[[#This Row],[Status]]="Pending",1,0)</f>
        <v>0</v>
      </c>
      <c r="V852">
        <f>IF(orders[[#This Row],[Status]]="Delayed",1,0)</f>
        <v>0</v>
      </c>
      <c r="W852">
        <f>IF(orders[[#This Row],[Status]]="Cancelled",1,0)</f>
        <v>1</v>
      </c>
    </row>
    <row r="853" spans="1:23" x14ac:dyDescent="0.35">
      <c r="A853" t="s">
        <v>1219</v>
      </c>
      <c r="B853" s="1">
        <v>45669</v>
      </c>
      <c r="C853" t="s">
        <v>467</v>
      </c>
      <c r="D853" t="s">
        <v>38</v>
      </c>
      <c r="E853" t="s">
        <v>46</v>
      </c>
      <c r="F853" t="s">
        <v>39</v>
      </c>
      <c r="G853" t="s">
        <v>114</v>
      </c>
      <c r="H853" s="7">
        <v>1</v>
      </c>
      <c r="I853" s="4">
        <v>1895.64</v>
      </c>
      <c r="J853" s="23">
        <v>0.05</v>
      </c>
      <c r="K853" s="4">
        <v>1800.86</v>
      </c>
      <c r="L853" s="4">
        <v>1102.57</v>
      </c>
      <c r="M853" s="4">
        <v>698.29</v>
      </c>
      <c r="N853" t="s">
        <v>85</v>
      </c>
      <c r="O853" s="7">
        <v>78</v>
      </c>
      <c r="P853" s="2">
        <v>45672.25</v>
      </c>
      <c r="Q853" t="s">
        <v>65</v>
      </c>
      <c r="R853">
        <v>1</v>
      </c>
      <c r="S853" t="s">
        <v>55</v>
      </c>
      <c r="T853">
        <f>IF(orders[[#This Row],[Status]]="Completed",1,0)</f>
        <v>0</v>
      </c>
      <c r="U853">
        <f>IF(orders[[#This Row],[Status]]="Pending",1,0)</f>
        <v>0</v>
      </c>
      <c r="V853">
        <f>IF(orders[[#This Row],[Status]]="Delayed",1,0)</f>
        <v>1</v>
      </c>
      <c r="W853">
        <f>IF(orders[[#This Row],[Status]]="Cancelled",1,0)</f>
        <v>0</v>
      </c>
    </row>
    <row r="854" spans="1:23" x14ac:dyDescent="0.35">
      <c r="A854" t="s">
        <v>1220</v>
      </c>
      <c r="B854" s="1">
        <v>46003</v>
      </c>
      <c r="C854" t="s">
        <v>71</v>
      </c>
      <c r="D854" t="s">
        <v>58</v>
      </c>
      <c r="E854" t="s">
        <v>113</v>
      </c>
      <c r="F854" t="s">
        <v>39</v>
      </c>
      <c r="G854" t="s">
        <v>40</v>
      </c>
      <c r="H854" s="7">
        <v>7</v>
      </c>
      <c r="I854" s="4">
        <v>50643.81</v>
      </c>
      <c r="J854" s="23">
        <v>0.05</v>
      </c>
      <c r="K854" s="4">
        <v>48111.62</v>
      </c>
      <c r="L854" s="4">
        <v>28262.99</v>
      </c>
      <c r="M854" s="4">
        <v>19848.63</v>
      </c>
      <c r="N854" t="s">
        <v>25</v>
      </c>
      <c r="O854" s="7">
        <v>31</v>
      </c>
      <c r="P854" s="2">
        <v>46004.291666666664</v>
      </c>
      <c r="Q854" t="s">
        <v>34</v>
      </c>
      <c r="R854">
        <v>12</v>
      </c>
      <c r="S854" t="s">
        <v>35</v>
      </c>
      <c r="T854">
        <f>IF(orders[[#This Row],[Status]]="Completed",1,0)</f>
        <v>1</v>
      </c>
      <c r="U854">
        <f>IF(orders[[#This Row],[Status]]="Pending",1,0)</f>
        <v>0</v>
      </c>
      <c r="V854">
        <f>IF(orders[[#This Row],[Status]]="Delayed",1,0)</f>
        <v>0</v>
      </c>
      <c r="W854">
        <f>IF(orders[[#This Row],[Status]]="Cancelled",1,0)</f>
        <v>0</v>
      </c>
    </row>
    <row r="855" spans="1:23" x14ac:dyDescent="0.35">
      <c r="A855" t="s">
        <v>1221</v>
      </c>
      <c r="B855" s="1">
        <v>45703</v>
      </c>
      <c r="C855" t="s">
        <v>240</v>
      </c>
      <c r="D855" t="s">
        <v>149</v>
      </c>
      <c r="E855" t="s">
        <v>113</v>
      </c>
      <c r="F855" t="s">
        <v>32</v>
      </c>
      <c r="G855" t="s">
        <v>33</v>
      </c>
      <c r="H855" s="7">
        <v>5</v>
      </c>
      <c r="I855" s="4">
        <v>38576.300000000003</v>
      </c>
      <c r="J855" s="23">
        <v>0</v>
      </c>
      <c r="K855" s="4">
        <v>38576.300000000003</v>
      </c>
      <c r="L855" s="4">
        <v>28176.29</v>
      </c>
      <c r="M855" s="4">
        <v>10400.01</v>
      </c>
      <c r="N855" t="s">
        <v>48</v>
      </c>
      <c r="O855" s="7">
        <v>17</v>
      </c>
      <c r="P855" s="2">
        <v>45703.708333333336</v>
      </c>
      <c r="Q855" t="s">
        <v>139</v>
      </c>
      <c r="R855">
        <v>2</v>
      </c>
      <c r="S855" t="s">
        <v>55</v>
      </c>
      <c r="T855">
        <f>IF(orders[[#This Row],[Status]]="Completed",1,0)</f>
        <v>0</v>
      </c>
      <c r="U855">
        <f>IF(orders[[#This Row],[Status]]="Pending",1,0)</f>
        <v>0</v>
      </c>
      <c r="V855">
        <f>IF(orders[[#This Row],[Status]]="Delayed",1,0)</f>
        <v>0</v>
      </c>
      <c r="W855">
        <f>IF(orders[[#This Row],[Status]]="Cancelled",1,0)</f>
        <v>1</v>
      </c>
    </row>
    <row r="856" spans="1:23" x14ac:dyDescent="0.35">
      <c r="A856" t="s">
        <v>1222</v>
      </c>
      <c r="B856" s="1">
        <v>45691</v>
      </c>
      <c r="C856" t="s">
        <v>101</v>
      </c>
      <c r="D856" t="s">
        <v>58</v>
      </c>
      <c r="E856" t="s">
        <v>31</v>
      </c>
      <c r="F856" t="s">
        <v>32</v>
      </c>
      <c r="G856" t="s">
        <v>89</v>
      </c>
      <c r="H856" s="7">
        <v>5</v>
      </c>
      <c r="I856" s="4">
        <v>23361.65</v>
      </c>
      <c r="J856" s="23">
        <v>0.1</v>
      </c>
      <c r="K856" s="4">
        <v>21025.48</v>
      </c>
      <c r="L856" s="4">
        <v>16485.41</v>
      </c>
      <c r="M856" s="4">
        <v>4540.07</v>
      </c>
      <c r="N856" t="s">
        <v>25</v>
      </c>
      <c r="O856" s="7">
        <v>18</v>
      </c>
      <c r="P856" s="2">
        <v>45691.75</v>
      </c>
      <c r="Q856" t="s">
        <v>139</v>
      </c>
      <c r="R856">
        <v>2</v>
      </c>
      <c r="S856" t="s">
        <v>55</v>
      </c>
      <c r="T856">
        <f>IF(orders[[#This Row],[Status]]="Completed",1,0)</f>
        <v>1</v>
      </c>
      <c r="U856">
        <f>IF(orders[[#This Row],[Status]]="Pending",1,0)</f>
        <v>0</v>
      </c>
      <c r="V856">
        <f>IF(orders[[#This Row],[Status]]="Delayed",1,0)</f>
        <v>0</v>
      </c>
      <c r="W856">
        <f>IF(orders[[#This Row],[Status]]="Cancelled",1,0)</f>
        <v>0</v>
      </c>
    </row>
    <row r="857" spans="1:23" x14ac:dyDescent="0.35">
      <c r="A857" t="s">
        <v>1223</v>
      </c>
      <c r="B857" s="1">
        <v>45735</v>
      </c>
      <c r="C857" t="s">
        <v>200</v>
      </c>
      <c r="D857" t="s">
        <v>38</v>
      </c>
      <c r="E857" t="s">
        <v>59</v>
      </c>
      <c r="F857" t="s">
        <v>39</v>
      </c>
      <c r="G857" t="s">
        <v>114</v>
      </c>
      <c r="H857" s="7">
        <v>5</v>
      </c>
      <c r="I857" s="4">
        <v>27028.45</v>
      </c>
      <c r="J857" s="23">
        <v>0.05</v>
      </c>
      <c r="K857" s="4">
        <v>25677.03</v>
      </c>
      <c r="L857" s="4">
        <v>14546.34</v>
      </c>
      <c r="M857" s="4">
        <v>11130.69</v>
      </c>
      <c r="N857" t="s">
        <v>25</v>
      </c>
      <c r="O857" s="7">
        <v>16</v>
      </c>
      <c r="P857" s="2">
        <v>45735.666666666664</v>
      </c>
      <c r="Q857" t="s">
        <v>54</v>
      </c>
      <c r="R857">
        <v>3</v>
      </c>
      <c r="S857" t="s">
        <v>55</v>
      </c>
      <c r="T857">
        <f>IF(orders[[#This Row],[Status]]="Completed",1,0)</f>
        <v>1</v>
      </c>
      <c r="U857">
        <f>IF(orders[[#This Row],[Status]]="Pending",1,0)</f>
        <v>0</v>
      </c>
      <c r="V857">
        <f>IF(orders[[#This Row],[Status]]="Delayed",1,0)</f>
        <v>0</v>
      </c>
      <c r="W857">
        <f>IF(orders[[#This Row],[Status]]="Cancelled",1,0)</f>
        <v>0</v>
      </c>
    </row>
    <row r="858" spans="1:23" x14ac:dyDescent="0.35">
      <c r="A858" t="s">
        <v>1224</v>
      </c>
      <c r="B858" s="1">
        <v>45875</v>
      </c>
      <c r="C858" t="s">
        <v>612</v>
      </c>
      <c r="D858" t="s">
        <v>21</v>
      </c>
      <c r="E858" t="s">
        <v>113</v>
      </c>
      <c r="F858" t="s">
        <v>32</v>
      </c>
      <c r="G858" t="s">
        <v>64</v>
      </c>
      <c r="H858" s="7">
        <v>3</v>
      </c>
      <c r="I858" s="4">
        <v>6885.69</v>
      </c>
      <c r="J858" s="23">
        <v>0.05</v>
      </c>
      <c r="K858" s="4">
        <v>6541.41</v>
      </c>
      <c r="L858" s="4">
        <v>3747.58</v>
      </c>
      <c r="M858" s="4">
        <v>2793.83</v>
      </c>
      <c r="N858" t="s">
        <v>25</v>
      </c>
      <c r="O858" s="7">
        <v>45</v>
      </c>
      <c r="P858" s="2">
        <v>45876.875</v>
      </c>
      <c r="Q858" t="s">
        <v>80</v>
      </c>
      <c r="R858">
        <v>8</v>
      </c>
      <c r="S858" t="s">
        <v>42</v>
      </c>
      <c r="T858">
        <f>IF(orders[[#This Row],[Status]]="Completed",1,0)</f>
        <v>1</v>
      </c>
      <c r="U858">
        <f>IF(orders[[#This Row],[Status]]="Pending",1,0)</f>
        <v>0</v>
      </c>
      <c r="V858">
        <f>IF(orders[[#This Row],[Status]]="Delayed",1,0)</f>
        <v>0</v>
      </c>
      <c r="W858">
        <f>IF(orders[[#This Row],[Status]]="Cancelled",1,0)</f>
        <v>0</v>
      </c>
    </row>
    <row r="859" spans="1:23" x14ac:dyDescent="0.35">
      <c r="A859" t="s">
        <v>1225</v>
      </c>
      <c r="B859" s="1">
        <v>45958</v>
      </c>
      <c r="C859" t="s">
        <v>1080</v>
      </c>
      <c r="D859" t="s">
        <v>58</v>
      </c>
      <c r="E859" t="s">
        <v>92</v>
      </c>
      <c r="F859" t="s">
        <v>23</v>
      </c>
      <c r="G859" t="s">
        <v>122</v>
      </c>
      <c r="H859" s="7">
        <v>2</v>
      </c>
      <c r="I859" s="4">
        <v>13673.4</v>
      </c>
      <c r="J859" s="23">
        <v>0</v>
      </c>
      <c r="K859" s="4">
        <v>13673.4</v>
      </c>
      <c r="L859" s="4">
        <v>11142.24</v>
      </c>
      <c r="M859" s="4">
        <v>2531.16</v>
      </c>
      <c r="N859" t="s">
        <v>48</v>
      </c>
      <c r="O859" s="7">
        <v>8</v>
      </c>
      <c r="P859" s="2">
        <v>45958.333333333336</v>
      </c>
      <c r="Q859" t="s">
        <v>116</v>
      </c>
      <c r="R859">
        <v>10</v>
      </c>
      <c r="S859" t="s">
        <v>35</v>
      </c>
      <c r="T859">
        <f>IF(orders[[#This Row],[Status]]="Completed",1,0)</f>
        <v>0</v>
      </c>
      <c r="U859">
        <f>IF(orders[[#This Row],[Status]]="Pending",1,0)</f>
        <v>0</v>
      </c>
      <c r="V859">
        <f>IF(orders[[#This Row],[Status]]="Delayed",1,0)</f>
        <v>0</v>
      </c>
      <c r="W859">
        <f>IF(orders[[#This Row],[Status]]="Cancelled",1,0)</f>
        <v>1</v>
      </c>
    </row>
    <row r="860" spans="1:23" x14ac:dyDescent="0.35">
      <c r="A860" t="s">
        <v>1226</v>
      </c>
      <c r="B860" s="1">
        <v>45730</v>
      </c>
      <c r="C860" t="s">
        <v>184</v>
      </c>
      <c r="D860" t="s">
        <v>149</v>
      </c>
      <c r="E860" t="s">
        <v>92</v>
      </c>
      <c r="F860" t="s">
        <v>39</v>
      </c>
      <c r="G860" t="s">
        <v>188</v>
      </c>
      <c r="H860" s="7">
        <v>4</v>
      </c>
      <c r="I860" s="4">
        <v>21712.880000000001</v>
      </c>
      <c r="J860" s="23">
        <v>0.05</v>
      </c>
      <c r="K860" s="4">
        <v>20627.240000000002</v>
      </c>
      <c r="L860" s="4">
        <v>16852.060000000001</v>
      </c>
      <c r="M860" s="4">
        <v>3775.18</v>
      </c>
      <c r="N860" t="s">
        <v>25</v>
      </c>
      <c r="O860" s="7">
        <v>20</v>
      </c>
      <c r="P860" s="2">
        <v>45730.833333333336</v>
      </c>
      <c r="Q860" t="s">
        <v>54</v>
      </c>
      <c r="R860">
        <v>3</v>
      </c>
      <c r="S860" t="s">
        <v>55</v>
      </c>
      <c r="T860">
        <f>IF(orders[[#This Row],[Status]]="Completed",1,0)</f>
        <v>1</v>
      </c>
      <c r="U860">
        <f>IF(orders[[#This Row],[Status]]="Pending",1,0)</f>
        <v>0</v>
      </c>
      <c r="V860">
        <f>IF(orders[[#This Row],[Status]]="Delayed",1,0)</f>
        <v>0</v>
      </c>
      <c r="W860">
        <f>IF(orders[[#This Row],[Status]]="Cancelled",1,0)</f>
        <v>0</v>
      </c>
    </row>
    <row r="861" spans="1:23" x14ac:dyDescent="0.35">
      <c r="A861" t="s">
        <v>1227</v>
      </c>
      <c r="B861" s="1">
        <v>45939</v>
      </c>
      <c r="C861" t="s">
        <v>167</v>
      </c>
      <c r="D861" t="s">
        <v>149</v>
      </c>
      <c r="E861" t="s">
        <v>113</v>
      </c>
      <c r="F861" t="s">
        <v>32</v>
      </c>
      <c r="G861" t="s">
        <v>89</v>
      </c>
      <c r="H861" s="7">
        <v>5</v>
      </c>
      <c r="I861" s="4">
        <v>21771.7</v>
      </c>
      <c r="J861" s="23">
        <v>0.25</v>
      </c>
      <c r="K861" s="4">
        <v>16328.78</v>
      </c>
      <c r="L861" s="4">
        <v>10302.65</v>
      </c>
      <c r="M861" s="4">
        <v>6026.13</v>
      </c>
      <c r="N861" t="s">
        <v>25</v>
      </c>
      <c r="O861" s="7">
        <v>10</v>
      </c>
      <c r="P861" s="2">
        <v>45939.416666666664</v>
      </c>
      <c r="Q861" t="s">
        <v>116</v>
      </c>
      <c r="R861">
        <v>10</v>
      </c>
      <c r="S861" t="s">
        <v>35</v>
      </c>
      <c r="T861">
        <f>IF(orders[[#This Row],[Status]]="Completed",1,0)</f>
        <v>1</v>
      </c>
      <c r="U861">
        <f>IF(orders[[#This Row],[Status]]="Pending",1,0)</f>
        <v>0</v>
      </c>
      <c r="V861">
        <f>IF(orders[[#This Row],[Status]]="Delayed",1,0)</f>
        <v>0</v>
      </c>
      <c r="W861">
        <f>IF(orders[[#This Row],[Status]]="Cancelled",1,0)</f>
        <v>0</v>
      </c>
    </row>
    <row r="862" spans="1:23" x14ac:dyDescent="0.35">
      <c r="A862" t="s">
        <v>1228</v>
      </c>
      <c r="B862" s="1">
        <v>45906</v>
      </c>
      <c r="C862" t="s">
        <v>76</v>
      </c>
      <c r="D862" t="s">
        <v>58</v>
      </c>
      <c r="E862" t="s">
        <v>113</v>
      </c>
      <c r="F862" t="s">
        <v>83</v>
      </c>
      <c r="G862" t="s">
        <v>152</v>
      </c>
      <c r="H862" s="7">
        <v>1</v>
      </c>
      <c r="I862" s="4">
        <v>651.91</v>
      </c>
      <c r="J862" s="23">
        <v>0.05</v>
      </c>
      <c r="K862" s="4">
        <v>619.30999999999995</v>
      </c>
      <c r="L862" s="4">
        <v>466.36</v>
      </c>
      <c r="M862" s="4">
        <v>152.94999999999999</v>
      </c>
      <c r="N862" t="s">
        <v>85</v>
      </c>
      <c r="O862" s="7">
        <v>87</v>
      </c>
      <c r="P862" s="2">
        <v>45909.625</v>
      </c>
      <c r="Q862" t="s">
        <v>41</v>
      </c>
      <c r="R862">
        <v>9</v>
      </c>
      <c r="S862" t="s">
        <v>42</v>
      </c>
      <c r="T862">
        <f>IF(orders[[#This Row],[Status]]="Completed",1,0)</f>
        <v>0</v>
      </c>
      <c r="U862">
        <f>IF(orders[[#This Row],[Status]]="Pending",1,0)</f>
        <v>0</v>
      </c>
      <c r="V862">
        <f>IF(orders[[#This Row],[Status]]="Delayed",1,0)</f>
        <v>1</v>
      </c>
      <c r="W862">
        <f>IF(orders[[#This Row],[Status]]="Cancelled",1,0)</f>
        <v>0</v>
      </c>
    </row>
    <row r="863" spans="1:23" x14ac:dyDescent="0.35">
      <c r="A863" t="s">
        <v>1229</v>
      </c>
      <c r="B863" s="1">
        <v>45704</v>
      </c>
      <c r="C863" t="s">
        <v>126</v>
      </c>
      <c r="D863" t="s">
        <v>77</v>
      </c>
      <c r="E863" t="s">
        <v>31</v>
      </c>
      <c r="F863" t="s">
        <v>39</v>
      </c>
      <c r="G863" t="s">
        <v>47</v>
      </c>
      <c r="H863" s="7">
        <v>5</v>
      </c>
      <c r="I863" s="4">
        <v>38990.300000000003</v>
      </c>
      <c r="J863" s="23">
        <v>0.1</v>
      </c>
      <c r="K863" s="4">
        <v>35091.269999999997</v>
      </c>
      <c r="L863" s="4">
        <v>24432.28</v>
      </c>
      <c r="M863" s="4">
        <v>10658.99</v>
      </c>
      <c r="N863" t="s">
        <v>85</v>
      </c>
      <c r="O863" s="7">
        <v>59</v>
      </c>
      <c r="P863" s="2">
        <v>45706.458333333336</v>
      </c>
      <c r="Q863" t="s">
        <v>139</v>
      </c>
      <c r="R863">
        <v>2</v>
      </c>
      <c r="S863" t="s">
        <v>55</v>
      </c>
      <c r="T863">
        <f>IF(orders[[#This Row],[Status]]="Completed",1,0)</f>
        <v>0</v>
      </c>
      <c r="U863">
        <f>IF(orders[[#This Row],[Status]]="Pending",1,0)</f>
        <v>0</v>
      </c>
      <c r="V863">
        <f>IF(orders[[#This Row],[Status]]="Delayed",1,0)</f>
        <v>1</v>
      </c>
      <c r="W863">
        <f>IF(orders[[#This Row],[Status]]="Cancelled",1,0)</f>
        <v>0</v>
      </c>
    </row>
    <row r="864" spans="1:23" x14ac:dyDescent="0.35">
      <c r="A864" t="s">
        <v>1230</v>
      </c>
      <c r="B864" s="1">
        <v>45778</v>
      </c>
      <c r="C864" t="s">
        <v>363</v>
      </c>
      <c r="D864" t="s">
        <v>38</v>
      </c>
      <c r="E864" t="s">
        <v>52</v>
      </c>
      <c r="F864" t="s">
        <v>39</v>
      </c>
      <c r="G864" t="s">
        <v>114</v>
      </c>
      <c r="H864" s="7">
        <v>6</v>
      </c>
      <c r="I864" s="4">
        <v>31734.12</v>
      </c>
      <c r="J864" s="23">
        <v>0.15</v>
      </c>
      <c r="K864" s="4">
        <v>26974</v>
      </c>
      <c r="L864" s="4">
        <v>20467.59</v>
      </c>
      <c r="M864" s="4">
        <v>6506.41</v>
      </c>
      <c r="N864" t="s">
        <v>25</v>
      </c>
      <c r="O864" s="7">
        <v>16</v>
      </c>
      <c r="P864" s="2">
        <v>45778.666666666664</v>
      </c>
      <c r="Q864" t="s">
        <v>74</v>
      </c>
      <c r="R864">
        <v>5</v>
      </c>
      <c r="S864" t="s">
        <v>27</v>
      </c>
      <c r="T864">
        <f>IF(orders[[#This Row],[Status]]="Completed",1,0)</f>
        <v>1</v>
      </c>
      <c r="U864">
        <f>IF(orders[[#This Row],[Status]]="Pending",1,0)</f>
        <v>0</v>
      </c>
      <c r="V864">
        <f>IF(orders[[#This Row],[Status]]="Delayed",1,0)</f>
        <v>0</v>
      </c>
      <c r="W864">
        <f>IF(orders[[#This Row],[Status]]="Cancelled",1,0)</f>
        <v>0</v>
      </c>
    </row>
    <row r="865" spans="1:23" x14ac:dyDescent="0.35">
      <c r="A865" t="s">
        <v>1231</v>
      </c>
      <c r="B865" s="1">
        <v>45871</v>
      </c>
      <c r="C865" t="s">
        <v>88</v>
      </c>
      <c r="D865" t="s">
        <v>77</v>
      </c>
      <c r="E865" t="s">
        <v>31</v>
      </c>
      <c r="F865" t="s">
        <v>23</v>
      </c>
      <c r="G865" t="s">
        <v>69</v>
      </c>
      <c r="H865" s="7">
        <v>2</v>
      </c>
      <c r="I865" s="4">
        <v>3517.94</v>
      </c>
      <c r="J865" s="23">
        <v>0.15</v>
      </c>
      <c r="K865" s="4">
        <v>2990.25</v>
      </c>
      <c r="L865" s="4">
        <v>2496.11</v>
      </c>
      <c r="M865" s="4">
        <v>494.14</v>
      </c>
      <c r="N865" t="s">
        <v>25</v>
      </c>
      <c r="O865" s="7">
        <v>20</v>
      </c>
      <c r="P865" s="2">
        <v>45871.833333333336</v>
      </c>
      <c r="Q865" t="s">
        <v>80</v>
      </c>
      <c r="R865">
        <v>8</v>
      </c>
      <c r="S865" t="s">
        <v>42</v>
      </c>
      <c r="T865">
        <f>IF(orders[[#This Row],[Status]]="Completed",1,0)</f>
        <v>1</v>
      </c>
      <c r="U865">
        <f>IF(orders[[#This Row],[Status]]="Pending",1,0)</f>
        <v>0</v>
      </c>
      <c r="V865">
        <f>IF(orders[[#This Row],[Status]]="Delayed",1,0)</f>
        <v>0</v>
      </c>
      <c r="W865">
        <f>IF(orders[[#This Row],[Status]]="Cancelled",1,0)</f>
        <v>0</v>
      </c>
    </row>
    <row r="866" spans="1:23" x14ac:dyDescent="0.35">
      <c r="A866" t="s">
        <v>1232</v>
      </c>
      <c r="B866" s="1">
        <v>45896</v>
      </c>
      <c r="C866" t="s">
        <v>297</v>
      </c>
      <c r="D866" t="s">
        <v>68</v>
      </c>
      <c r="E866" t="s">
        <v>52</v>
      </c>
      <c r="F866" t="s">
        <v>72</v>
      </c>
      <c r="G866" t="s">
        <v>104</v>
      </c>
      <c r="H866" s="7">
        <v>7</v>
      </c>
      <c r="I866" s="4">
        <v>36493.24</v>
      </c>
      <c r="J866" s="23">
        <v>0.05</v>
      </c>
      <c r="K866" s="4">
        <v>34668.58</v>
      </c>
      <c r="L866" s="4">
        <v>19981.330000000002</v>
      </c>
      <c r="M866" s="4">
        <v>14687.25</v>
      </c>
      <c r="N866" t="s">
        <v>98</v>
      </c>
      <c r="O866" s="7">
        <v>7</v>
      </c>
      <c r="P866" s="2">
        <v>45896.291666666664</v>
      </c>
      <c r="Q866" t="s">
        <v>80</v>
      </c>
      <c r="R866">
        <v>8</v>
      </c>
      <c r="S866" t="s">
        <v>42</v>
      </c>
      <c r="T866">
        <f>IF(orders[[#This Row],[Status]]="Completed",1,0)</f>
        <v>0</v>
      </c>
      <c r="U866">
        <f>IF(orders[[#This Row],[Status]]="Pending",1,0)</f>
        <v>1</v>
      </c>
      <c r="V866">
        <f>IF(orders[[#This Row],[Status]]="Delayed",1,0)</f>
        <v>0</v>
      </c>
      <c r="W866">
        <f>IF(orders[[#This Row],[Status]]="Cancelled",1,0)</f>
        <v>0</v>
      </c>
    </row>
    <row r="867" spans="1:23" x14ac:dyDescent="0.35">
      <c r="A867" t="s">
        <v>1233</v>
      </c>
      <c r="B867" s="1">
        <v>45713</v>
      </c>
      <c r="C867" t="s">
        <v>106</v>
      </c>
      <c r="D867" t="s">
        <v>38</v>
      </c>
      <c r="E867" t="s">
        <v>78</v>
      </c>
      <c r="F867" t="s">
        <v>72</v>
      </c>
      <c r="G867" t="s">
        <v>146</v>
      </c>
      <c r="H867" s="7">
        <v>2</v>
      </c>
      <c r="I867" s="4">
        <v>11613.64</v>
      </c>
      <c r="J867" s="23">
        <v>0.1</v>
      </c>
      <c r="K867" s="4">
        <v>10452.280000000001</v>
      </c>
      <c r="L867" s="4">
        <v>8432.2199999999993</v>
      </c>
      <c r="M867" s="4">
        <v>2020.06</v>
      </c>
      <c r="N867" t="s">
        <v>25</v>
      </c>
      <c r="O867" s="7">
        <v>39</v>
      </c>
      <c r="P867" s="2">
        <v>45714.625</v>
      </c>
      <c r="Q867" t="s">
        <v>139</v>
      </c>
      <c r="R867">
        <v>2</v>
      </c>
      <c r="S867" t="s">
        <v>55</v>
      </c>
      <c r="T867">
        <f>IF(orders[[#This Row],[Status]]="Completed",1,0)</f>
        <v>1</v>
      </c>
      <c r="U867">
        <f>IF(orders[[#This Row],[Status]]="Pending",1,0)</f>
        <v>0</v>
      </c>
      <c r="V867">
        <f>IF(orders[[#This Row],[Status]]="Delayed",1,0)</f>
        <v>0</v>
      </c>
      <c r="W867">
        <f>IF(orders[[#This Row],[Status]]="Cancelled",1,0)</f>
        <v>0</v>
      </c>
    </row>
    <row r="868" spans="1:23" x14ac:dyDescent="0.35">
      <c r="A868" t="s">
        <v>1234</v>
      </c>
      <c r="B868" s="1">
        <v>46007</v>
      </c>
      <c r="C868" t="s">
        <v>126</v>
      </c>
      <c r="D868" t="s">
        <v>58</v>
      </c>
      <c r="E868" t="s">
        <v>92</v>
      </c>
      <c r="F868" t="s">
        <v>23</v>
      </c>
      <c r="G868" t="s">
        <v>136</v>
      </c>
      <c r="H868" s="7">
        <v>7</v>
      </c>
      <c r="I868" s="4">
        <v>31781.26</v>
      </c>
      <c r="J868" s="23">
        <v>0.2</v>
      </c>
      <c r="K868" s="4">
        <v>25425.01</v>
      </c>
      <c r="L868" s="4">
        <v>18120.39</v>
      </c>
      <c r="M868" s="4">
        <v>7304.62</v>
      </c>
      <c r="N868" t="s">
        <v>48</v>
      </c>
      <c r="O868" s="7">
        <v>14</v>
      </c>
      <c r="P868" s="2">
        <v>46007.583333333336</v>
      </c>
      <c r="Q868" t="s">
        <v>34</v>
      </c>
      <c r="R868">
        <v>12</v>
      </c>
      <c r="S868" t="s">
        <v>35</v>
      </c>
      <c r="T868">
        <f>IF(orders[[#This Row],[Status]]="Completed",1,0)</f>
        <v>0</v>
      </c>
      <c r="U868">
        <f>IF(orders[[#This Row],[Status]]="Pending",1,0)</f>
        <v>0</v>
      </c>
      <c r="V868">
        <f>IF(orders[[#This Row],[Status]]="Delayed",1,0)</f>
        <v>0</v>
      </c>
      <c r="W868">
        <f>IF(orders[[#This Row],[Status]]="Cancelled",1,0)</f>
        <v>1</v>
      </c>
    </row>
    <row r="869" spans="1:23" x14ac:dyDescent="0.35">
      <c r="A869" t="s">
        <v>1235</v>
      </c>
      <c r="B869" s="1">
        <v>45764</v>
      </c>
      <c r="C869" t="s">
        <v>580</v>
      </c>
      <c r="D869" t="s">
        <v>51</v>
      </c>
      <c r="E869" t="s">
        <v>52</v>
      </c>
      <c r="F869" t="s">
        <v>23</v>
      </c>
      <c r="G869" t="s">
        <v>136</v>
      </c>
      <c r="H869" s="7">
        <v>7</v>
      </c>
      <c r="I869" s="4">
        <v>43023.05</v>
      </c>
      <c r="J869" s="23">
        <v>0</v>
      </c>
      <c r="K869" s="4">
        <v>43023.05</v>
      </c>
      <c r="L869" s="4">
        <v>31671.93</v>
      </c>
      <c r="M869" s="4">
        <v>11351.12</v>
      </c>
      <c r="N869" t="s">
        <v>85</v>
      </c>
      <c r="O869" s="7">
        <v>81</v>
      </c>
      <c r="P869" s="2">
        <v>45767.375</v>
      </c>
      <c r="Q869" t="s">
        <v>26</v>
      </c>
      <c r="R869">
        <v>4</v>
      </c>
      <c r="S869" t="s">
        <v>27</v>
      </c>
      <c r="T869">
        <f>IF(orders[[#This Row],[Status]]="Completed",1,0)</f>
        <v>0</v>
      </c>
      <c r="U869">
        <f>IF(orders[[#This Row],[Status]]="Pending",1,0)</f>
        <v>0</v>
      </c>
      <c r="V869">
        <f>IF(orders[[#This Row],[Status]]="Delayed",1,0)</f>
        <v>1</v>
      </c>
      <c r="W869">
        <f>IF(orders[[#This Row],[Status]]="Cancelled",1,0)</f>
        <v>0</v>
      </c>
    </row>
    <row r="870" spans="1:23" x14ac:dyDescent="0.35">
      <c r="A870" t="s">
        <v>1236</v>
      </c>
      <c r="B870" s="1">
        <v>45976</v>
      </c>
      <c r="C870" t="s">
        <v>404</v>
      </c>
      <c r="D870" t="s">
        <v>58</v>
      </c>
      <c r="E870" t="s">
        <v>31</v>
      </c>
      <c r="F870" t="s">
        <v>23</v>
      </c>
      <c r="G870" t="s">
        <v>24</v>
      </c>
      <c r="H870" s="7">
        <v>4</v>
      </c>
      <c r="I870" s="4">
        <v>20020.560000000001</v>
      </c>
      <c r="J870" s="23">
        <v>0.05</v>
      </c>
      <c r="K870" s="4">
        <v>19019.53</v>
      </c>
      <c r="L870" s="4">
        <v>14565.11</v>
      </c>
      <c r="M870" s="4">
        <v>4454.42</v>
      </c>
      <c r="N870" t="s">
        <v>98</v>
      </c>
      <c r="O870" s="7">
        <v>1</v>
      </c>
      <c r="P870" s="2">
        <v>45976.041666666664</v>
      </c>
      <c r="Q870" t="s">
        <v>86</v>
      </c>
      <c r="R870">
        <v>11</v>
      </c>
      <c r="S870" t="s">
        <v>35</v>
      </c>
      <c r="T870">
        <f>IF(orders[[#This Row],[Status]]="Completed",1,0)</f>
        <v>0</v>
      </c>
      <c r="U870">
        <f>IF(orders[[#This Row],[Status]]="Pending",1,0)</f>
        <v>1</v>
      </c>
      <c r="V870">
        <f>IF(orders[[#This Row],[Status]]="Delayed",1,0)</f>
        <v>0</v>
      </c>
      <c r="W870">
        <f>IF(orders[[#This Row],[Status]]="Cancelled",1,0)</f>
        <v>0</v>
      </c>
    </row>
    <row r="871" spans="1:23" x14ac:dyDescent="0.35">
      <c r="A871" t="s">
        <v>1237</v>
      </c>
      <c r="B871" s="1">
        <v>45705</v>
      </c>
      <c r="C871" t="s">
        <v>392</v>
      </c>
      <c r="D871" t="s">
        <v>77</v>
      </c>
      <c r="E871" t="s">
        <v>113</v>
      </c>
      <c r="F871" t="s">
        <v>72</v>
      </c>
      <c r="G871" t="s">
        <v>73</v>
      </c>
      <c r="H871" s="7">
        <v>3</v>
      </c>
      <c r="I871" s="4">
        <v>24191.64</v>
      </c>
      <c r="J871" s="23">
        <v>0.05</v>
      </c>
      <c r="K871" s="4">
        <v>22982.06</v>
      </c>
      <c r="L871" s="4">
        <v>19637.38</v>
      </c>
      <c r="M871" s="4">
        <v>3344.68</v>
      </c>
      <c r="N871" t="s">
        <v>85</v>
      </c>
      <c r="O871" s="7">
        <v>62</v>
      </c>
      <c r="P871" s="2">
        <v>45707.583333333336</v>
      </c>
      <c r="Q871" t="s">
        <v>139</v>
      </c>
      <c r="R871">
        <v>2</v>
      </c>
      <c r="S871" t="s">
        <v>55</v>
      </c>
      <c r="T871">
        <f>IF(orders[[#This Row],[Status]]="Completed",1,0)</f>
        <v>0</v>
      </c>
      <c r="U871">
        <f>IF(orders[[#This Row],[Status]]="Pending",1,0)</f>
        <v>0</v>
      </c>
      <c r="V871">
        <f>IF(orders[[#This Row],[Status]]="Delayed",1,0)</f>
        <v>1</v>
      </c>
      <c r="W871">
        <f>IF(orders[[#This Row],[Status]]="Cancelled",1,0)</f>
        <v>0</v>
      </c>
    </row>
    <row r="872" spans="1:23" x14ac:dyDescent="0.35">
      <c r="A872" t="s">
        <v>1238</v>
      </c>
      <c r="B872" s="1">
        <v>45718</v>
      </c>
      <c r="C872" t="s">
        <v>455</v>
      </c>
      <c r="D872" t="s">
        <v>21</v>
      </c>
      <c r="E872" t="s">
        <v>52</v>
      </c>
      <c r="F872" t="s">
        <v>23</v>
      </c>
      <c r="G872" t="s">
        <v>136</v>
      </c>
      <c r="H872" s="7">
        <v>7</v>
      </c>
      <c r="I872" s="4">
        <v>4188.59</v>
      </c>
      <c r="J872" s="23">
        <v>0.05</v>
      </c>
      <c r="K872" s="4">
        <v>3979.16</v>
      </c>
      <c r="L872" s="4">
        <v>2263.02</v>
      </c>
      <c r="M872" s="4">
        <v>1716.14</v>
      </c>
      <c r="N872" t="s">
        <v>85</v>
      </c>
      <c r="O872" s="7">
        <v>67</v>
      </c>
      <c r="P872" s="2">
        <v>45720.791666666664</v>
      </c>
      <c r="Q872" t="s">
        <v>54</v>
      </c>
      <c r="R872">
        <v>3</v>
      </c>
      <c r="S872" t="s">
        <v>55</v>
      </c>
      <c r="T872">
        <f>IF(orders[[#This Row],[Status]]="Completed",1,0)</f>
        <v>0</v>
      </c>
      <c r="U872">
        <f>IF(orders[[#This Row],[Status]]="Pending",1,0)</f>
        <v>0</v>
      </c>
      <c r="V872">
        <f>IF(orders[[#This Row],[Status]]="Delayed",1,0)</f>
        <v>1</v>
      </c>
      <c r="W872">
        <f>IF(orders[[#This Row],[Status]]="Cancelled",1,0)</f>
        <v>0</v>
      </c>
    </row>
    <row r="873" spans="1:23" x14ac:dyDescent="0.35">
      <c r="A873" t="s">
        <v>1239</v>
      </c>
      <c r="B873" s="1">
        <v>45994</v>
      </c>
      <c r="C873" t="s">
        <v>519</v>
      </c>
      <c r="D873" t="s">
        <v>58</v>
      </c>
      <c r="E873" t="s">
        <v>31</v>
      </c>
      <c r="F873" t="s">
        <v>32</v>
      </c>
      <c r="G873" t="s">
        <v>89</v>
      </c>
      <c r="H873" s="7">
        <v>7</v>
      </c>
      <c r="I873" s="4">
        <v>7260.05</v>
      </c>
      <c r="J873" s="23">
        <v>0.05</v>
      </c>
      <c r="K873" s="4">
        <v>6897.05</v>
      </c>
      <c r="L873" s="4">
        <v>3860.47</v>
      </c>
      <c r="M873" s="4">
        <v>3036.58</v>
      </c>
      <c r="N873" t="s">
        <v>85</v>
      </c>
      <c r="O873" s="7">
        <v>53</v>
      </c>
      <c r="P873" s="2">
        <v>45996.208333333336</v>
      </c>
      <c r="Q873" t="s">
        <v>34</v>
      </c>
      <c r="R873">
        <v>12</v>
      </c>
      <c r="S873" t="s">
        <v>35</v>
      </c>
      <c r="T873">
        <f>IF(orders[[#This Row],[Status]]="Completed",1,0)</f>
        <v>0</v>
      </c>
      <c r="U873">
        <f>IF(orders[[#This Row],[Status]]="Pending",1,0)</f>
        <v>0</v>
      </c>
      <c r="V873">
        <f>IF(orders[[#This Row],[Status]]="Delayed",1,0)</f>
        <v>1</v>
      </c>
      <c r="W873">
        <f>IF(orders[[#This Row],[Status]]="Cancelled",1,0)</f>
        <v>0</v>
      </c>
    </row>
    <row r="874" spans="1:23" x14ac:dyDescent="0.35">
      <c r="A874" t="s">
        <v>1240</v>
      </c>
      <c r="B874" s="1">
        <v>45683</v>
      </c>
      <c r="C874" t="s">
        <v>321</v>
      </c>
      <c r="D874" t="s">
        <v>58</v>
      </c>
      <c r="E874" t="s">
        <v>92</v>
      </c>
      <c r="F874" t="s">
        <v>39</v>
      </c>
      <c r="G874" t="s">
        <v>93</v>
      </c>
      <c r="H874" s="7">
        <v>4</v>
      </c>
      <c r="I874" s="4">
        <v>6400.64</v>
      </c>
      <c r="J874" s="23">
        <v>0.15</v>
      </c>
      <c r="K874" s="4">
        <v>5440.54</v>
      </c>
      <c r="L874" s="4">
        <v>3312.34</v>
      </c>
      <c r="M874" s="4">
        <v>2128.1999999999998</v>
      </c>
      <c r="N874" t="s">
        <v>25</v>
      </c>
      <c r="O874" s="7">
        <v>37</v>
      </c>
      <c r="P874" s="2">
        <v>45684.541666666664</v>
      </c>
      <c r="Q874" t="s">
        <v>65</v>
      </c>
      <c r="R874">
        <v>1</v>
      </c>
      <c r="S874" t="s">
        <v>55</v>
      </c>
      <c r="T874">
        <f>IF(orders[[#This Row],[Status]]="Completed",1,0)</f>
        <v>1</v>
      </c>
      <c r="U874">
        <f>IF(orders[[#This Row],[Status]]="Pending",1,0)</f>
        <v>0</v>
      </c>
      <c r="V874">
        <f>IF(orders[[#This Row],[Status]]="Delayed",1,0)</f>
        <v>0</v>
      </c>
      <c r="W874">
        <f>IF(orders[[#This Row],[Status]]="Cancelled",1,0)</f>
        <v>0</v>
      </c>
    </row>
    <row r="875" spans="1:23" x14ac:dyDescent="0.35">
      <c r="A875" t="s">
        <v>1241</v>
      </c>
      <c r="B875" s="1">
        <v>45949</v>
      </c>
      <c r="C875" t="s">
        <v>44</v>
      </c>
      <c r="D875" t="s">
        <v>21</v>
      </c>
      <c r="E875" t="s">
        <v>22</v>
      </c>
      <c r="F875" t="s">
        <v>39</v>
      </c>
      <c r="G875" t="s">
        <v>40</v>
      </c>
      <c r="H875" s="7">
        <v>5</v>
      </c>
      <c r="I875" s="4">
        <v>29564.65</v>
      </c>
      <c r="J875" s="23">
        <v>0</v>
      </c>
      <c r="K875" s="4">
        <v>29564.65</v>
      </c>
      <c r="L875" s="4">
        <v>25884.67</v>
      </c>
      <c r="M875" s="4">
        <v>3679.98</v>
      </c>
      <c r="N875" t="s">
        <v>25</v>
      </c>
      <c r="O875" s="7">
        <v>30</v>
      </c>
      <c r="P875" s="2">
        <v>45950.25</v>
      </c>
      <c r="Q875" t="s">
        <v>116</v>
      </c>
      <c r="R875">
        <v>10</v>
      </c>
      <c r="S875" t="s">
        <v>35</v>
      </c>
      <c r="T875">
        <f>IF(orders[[#This Row],[Status]]="Completed",1,0)</f>
        <v>1</v>
      </c>
      <c r="U875">
        <f>IF(orders[[#This Row],[Status]]="Pending",1,0)</f>
        <v>0</v>
      </c>
      <c r="V875">
        <f>IF(orders[[#This Row],[Status]]="Delayed",1,0)</f>
        <v>0</v>
      </c>
      <c r="W875">
        <f>IF(orders[[#This Row],[Status]]="Cancelled",1,0)</f>
        <v>0</v>
      </c>
    </row>
    <row r="876" spans="1:23" x14ac:dyDescent="0.35">
      <c r="A876" t="s">
        <v>1242</v>
      </c>
      <c r="B876" s="1">
        <v>45914</v>
      </c>
      <c r="C876" t="s">
        <v>1074</v>
      </c>
      <c r="D876" t="s">
        <v>58</v>
      </c>
      <c r="E876" t="s">
        <v>78</v>
      </c>
      <c r="F876" t="s">
        <v>83</v>
      </c>
      <c r="G876" t="s">
        <v>182</v>
      </c>
      <c r="H876" s="7">
        <v>6</v>
      </c>
      <c r="I876" s="4">
        <v>33244.379999999997</v>
      </c>
      <c r="J876" s="23">
        <v>0.1</v>
      </c>
      <c r="K876" s="4">
        <v>29919.94</v>
      </c>
      <c r="L876" s="4">
        <v>23516.33</v>
      </c>
      <c r="M876" s="4">
        <v>6403.61</v>
      </c>
      <c r="N876" t="s">
        <v>25</v>
      </c>
      <c r="O876" s="7">
        <v>13</v>
      </c>
      <c r="P876" s="2">
        <v>45914.541666666664</v>
      </c>
      <c r="Q876" t="s">
        <v>41</v>
      </c>
      <c r="R876">
        <v>9</v>
      </c>
      <c r="S876" t="s">
        <v>42</v>
      </c>
      <c r="T876">
        <f>IF(orders[[#This Row],[Status]]="Completed",1,0)</f>
        <v>1</v>
      </c>
      <c r="U876">
        <f>IF(orders[[#This Row],[Status]]="Pending",1,0)</f>
        <v>0</v>
      </c>
      <c r="V876">
        <f>IF(orders[[#This Row],[Status]]="Delayed",1,0)</f>
        <v>0</v>
      </c>
      <c r="W876">
        <f>IF(orders[[#This Row],[Status]]="Cancelled",1,0)</f>
        <v>0</v>
      </c>
    </row>
    <row r="877" spans="1:23" x14ac:dyDescent="0.35">
      <c r="A877" t="s">
        <v>1243</v>
      </c>
      <c r="B877" s="1">
        <v>45665</v>
      </c>
      <c r="C877" t="s">
        <v>385</v>
      </c>
      <c r="D877" t="s">
        <v>45</v>
      </c>
      <c r="E877" t="s">
        <v>52</v>
      </c>
      <c r="F877" t="s">
        <v>83</v>
      </c>
      <c r="G877" t="s">
        <v>84</v>
      </c>
      <c r="H877" s="7">
        <v>1</v>
      </c>
      <c r="I877" s="4">
        <v>7598.69</v>
      </c>
      <c r="J877" s="23">
        <v>0.1</v>
      </c>
      <c r="K877" s="4">
        <v>6838.82</v>
      </c>
      <c r="L877" s="4">
        <v>5148.4799999999996</v>
      </c>
      <c r="M877" s="4">
        <v>1690.34</v>
      </c>
      <c r="N877" t="s">
        <v>85</v>
      </c>
      <c r="O877" s="7">
        <v>66</v>
      </c>
      <c r="P877" s="2">
        <v>45667.75</v>
      </c>
      <c r="Q877" t="s">
        <v>65</v>
      </c>
      <c r="R877">
        <v>1</v>
      </c>
      <c r="S877" t="s">
        <v>55</v>
      </c>
      <c r="T877">
        <f>IF(orders[[#This Row],[Status]]="Completed",1,0)</f>
        <v>0</v>
      </c>
      <c r="U877">
        <f>IF(orders[[#This Row],[Status]]="Pending",1,0)</f>
        <v>0</v>
      </c>
      <c r="V877">
        <f>IF(orders[[#This Row],[Status]]="Delayed",1,0)</f>
        <v>1</v>
      </c>
      <c r="W877">
        <f>IF(orders[[#This Row],[Status]]="Cancelled",1,0)</f>
        <v>0</v>
      </c>
    </row>
    <row r="878" spans="1:23" x14ac:dyDescent="0.35">
      <c r="A878" t="s">
        <v>1244</v>
      </c>
      <c r="B878" s="1">
        <v>45770</v>
      </c>
      <c r="C878" t="s">
        <v>587</v>
      </c>
      <c r="D878" t="s">
        <v>51</v>
      </c>
      <c r="E878" t="s">
        <v>92</v>
      </c>
      <c r="F878" t="s">
        <v>39</v>
      </c>
      <c r="G878" t="s">
        <v>93</v>
      </c>
      <c r="H878" s="7">
        <v>4</v>
      </c>
      <c r="I878" s="4">
        <v>25078.12</v>
      </c>
      <c r="J878" s="23">
        <v>0.1</v>
      </c>
      <c r="K878" s="4">
        <v>22570.31</v>
      </c>
      <c r="L878" s="4">
        <v>12764.03</v>
      </c>
      <c r="M878" s="4">
        <v>9806.2800000000007</v>
      </c>
      <c r="N878" t="s">
        <v>98</v>
      </c>
      <c r="O878" s="7">
        <v>1</v>
      </c>
      <c r="P878" s="2">
        <v>45770.041666666664</v>
      </c>
      <c r="Q878" t="s">
        <v>26</v>
      </c>
      <c r="R878">
        <v>4</v>
      </c>
      <c r="S878" t="s">
        <v>27</v>
      </c>
      <c r="T878">
        <f>IF(orders[[#This Row],[Status]]="Completed",1,0)</f>
        <v>0</v>
      </c>
      <c r="U878">
        <f>IF(orders[[#This Row],[Status]]="Pending",1,0)</f>
        <v>1</v>
      </c>
      <c r="V878">
        <f>IF(orders[[#This Row],[Status]]="Delayed",1,0)</f>
        <v>0</v>
      </c>
      <c r="W878">
        <f>IF(orders[[#This Row],[Status]]="Cancelled",1,0)</f>
        <v>0</v>
      </c>
    </row>
    <row r="879" spans="1:23" x14ac:dyDescent="0.35">
      <c r="A879" t="s">
        <v>1245</v>
      </c>
      <c r="B879" s="1">
        <v>46012</v>
      </c>
      <c r="C879" t="s">
        <v>246</v>
      </c>
      <c r="D879" t="s">
        <v>30</v>
      </c>
      <c r="E879" t="s">
        <v>92</v>
      </c>
      <c r="F879" t="s">
        <v>32</v>
      </c>
      <c r="G879" t="s">
        <v>53</v>
      </c>
      <c r="H879" s="7">
        <v>3</v>
      </c>
      <c r="I879" s="4">
        <v>13184.31</v>
      </c>
      <c r="J879" s="23">
        <v>0.15</v>
      </c>
      <c r="K879" s="4">
        <v>11206.66</v>
      </c>
      <c r="L879" s="4">
        <v>9414.7900000000009</v>
      </c>
      <c r="M879" s="4">
        <v>1791.87</v>
      </c>
      <c r="N879" t="s">
        <v>25</v>
      </c>
      <c r="O879" s="7">
        <v>23</v>
      </c>
      <c r="P879" s="2">
        <v>46012.958333333336</v>
      </c>
      <c r="Q879" t="s">
        <v>34</v>
      </c>
      <c r="R879">
        <v>12</v>
      </c>
      <c r="S879" t="s">
        <v>35</v>
      </c>
      <c r="T879">
        <f>IF(orders[[#This Row],[Status]]="Completed",1,0)</f>
        <v>1</v>
      </c>
      <c r="U879">
        <f>IF(orders[[#This Row],[Status]]="Pending",1,0)</f>
        <v>0</v>
      </c>
      <c r="V879">
        <f>IF(orders[[#This Row],[Status]]="Delayed",1,0)</f>
        <v>0</v>
      </c>
      <c r="W879">
        <f>IF(orders[[#This Row],[Status]]="Cancelled",1,0)</f>
        <v>0</v>
      </c>
    </row>
    <row r="880" spans="1:23" x14ac:dyDescent="0.35">
      <c r="A880" t="s">
        <v>1246</v>
      </c>
      <c r="B880" s="1">
        <v>45910</v>
      </c>
      <c r="C880" t="s">
        <v>233</v>
      </c>
      <c r="D880" t="s">
        <v>51</v>
      </c>
      <c r="E880" t="s">
        <v>59</v>
      </c>
      <c r="F880" t="s">
        <v>72</v>
      </c>
      <c r="G880" t="s">
        <v>73</v>
      </c>
      <c r="H880" s="7">
        <v>4</v>
      </c>
      <c r="I880" s="4">
        <v>33727.199999999997</v>
      </c>
      <c r="J880" s="23">
        <v>0.05</v>
      </c>
      <c r="K880" s="4">
        <v>32040.84</v>
      </c>
      <c r="L880" s="4">
        <v>26216.13</v>
      </c>
      <c r="M880" s="4">
        <v>5824.71</v>
      </c>
      <c r="N880" t="s">
        <v>85</v>
      </c>
      <c r="O880" s="7">
        <v>78</v>
      </c>
      <c r="P880" s="2">
        <v>45913.25</v>
      </c>
      <c r="Q880" t="s">
        <v>41</v>
      </c>
      <c r="R880">
        <v>9</v>
      </c>
      <c r="S880" t="s">
        <v>42</v>
      </c>
      <c r="T880">
        <f>IF(orders[[#This Row],[Status]]="Completed",1,0)</f>
        <v>0</v>
      </c>
      <c r="U880">
        <f>IF(orders[[#This Row],[Status]]="Pending",1,0)</f>
        <v>0</v>
      </c>
      <c r="V880">
        <f>IF(orders[[#This Row],[Status]]="Delayed",1,0)</f>
        <v>1</v>
      </c>
      <c r="W880">
        <f>IF(orders[[#This Row],[Status]]="Cancelled",1,0)</f>
        <v>0</v>
      </c>
    </row>
    <row r="881" spans="1:23" x14ac:dyDescent="0.35">
      <c r="A881" t="s">
        <v>1247</v>
      </c>
      <c r="B881" s="1">
        <v>45837</v>
      </c>
      <c r="C881" t="s">
        <v>263</v>
      </c>
      <c r="D881" t="s">
        <v>58</v>
      </c>
      <c r="E881" t="s">
        <v>22</v>
      </c>
      <c r="F881" t="s">
        <v>72</v>
      </c>
      <c r="G881" t="s">
        <v>119</v>
      </c>
      <c r="H881" s="7">
        <v>2</v>
      </c>
      <c r="I881" s="4">
        <v>4744</v>
      </c>
      <c r="J881" s="23">
        <v>0.2</v>
      </c>
      <c r="K881" s="4">
        <v>3795.2</v>
      </c>
      <c r="L881" s="4">
        <v>2919.97</v>
      </c>
      <c r="M881" s="4">
        <v>875.23</v>
      </c>
      <c r="N881" t="s">
        <v>85</v>
      </c>
      <c r="O881" s="7">
        <v>69</v>
      </c>
      <c r="P881" s="2">
        <v>45839.875</v>
      </c>
      <c r="Q881" t="s">
        <v>99</v>
      </c>
      <c r="R881">
        <v>6</v>
      </c>
      <c r="S881" t="s">
        <v>27</v>
      </c>
      <c r="T881">
        <f>IF(orders[[#This Row],[Status]]="Completed",1,0)</f>
        <v>0</v>
      </c>
      <c r="U881">
        <f>IF(orders[[#This Row],[Status]]="Pending",1,0)</f>
        <v>0</v>
      </c>
      <c r="V881">
        <f>IF(orders[[#This Row],[Status]]="Delayed",1,0)</f>
        <v>1</v>
      </c>
      <c r="W881">
        <f>IF(orders[[#This Row],[Status]]="Cancelled",1,0)</f>
        <v>0</v>
      </c>
    </row>
    <row r="882" spans="1:23" x14ac:dyDescent="0.35">
      <c r="A882" t="s">
        <v>1248</v>
      </c>
      <c r="B882" s="1">
        <v>45864</v>
      </c>
      <c r="C882" t="s">
        <v>103</v>
      </c>
      <c r="D882" t="s">
        <v>45</v>
      </c>
      <c r="E882" t="s">
        <v>52</v>
      </c>
      <c r="F882" t="s">
        <v>32</v>
      </c>
      <c r="G882" t="s">
        <v>64</v>
      </c>
      <c r="H882" s="7">
        <v>5</v>
      </c>
      <c r="I882" s="4">
        <v>35535.75</v>
      </c>
      <c r="J882" s="23">
        <v>0.1</v>
      </c>
      <c r="K882" s="4">
        <v>31982.18</v>
      </c>
      <c r="L882" s="4">
        <v>21169.43</v>
      </c>
      <c r="M882" s="4">
        <v>10812.75</v>
      </c>
      <c r="N882" t="s">
        <v>25</v>
      </c>
      <c r="O882" s="7">
        <v>26</v>
      </c>
      <c r="P882" s="2">
        <v>45865.083333333336</v>
      </c>
      <c r="Q882" t="s">
        <v>60</v>
      </c>
      <c r="R882">
        <v>7</v>
      </c>
      <c r="S882" t="s">
        <v>42</v>
      </c>
      <c r="T882">
        <f>IF(orders[[#This Row],[Status]]="Completed",1,0)</f>
        <v>1</v>
      </c>
      <c r="U882">
        <f>IF(orders[[#This Row],[Status]]="Pending",1,0)</f>
        <v>0</v>
      </c>
      <c r="V882">
        <f>IF(orders[[#This Row],[Status]]="Delayed",1,0)</f>
        <v>0</v>
      </c>
      <c r="W882">
        <f>IF(orders[[#This Row],[Status]]="Cancelled",1,0)</f>
        <v>0</v>
      </c>
    </row>
    <row r="883" spans="1:23" x14ac:dyDescent="0.35">
      <c r="A883" t="s">
        <v>1249</v>
      </c>
      <c r="B883" s="1">
        <v>45960</v>
      </c>
      <c r="C883" t="s">
        <v>171</v>
      </c>
      <c r="D883" t="s">
        <v>38</v>
      </c>
      <c r="E883" t="s">
        <v>31</v>
      </c>
      <c r="F883" t="s">
        <v>72</v>
      </c>
      <c r="G883" t="s">
        <v>119</v>
      </c>
      <c r="H883" s="7">
        <v>5</v>
      </c>
      <c r="I883" s="4">
        <v>18568.5</v>
      </c>
      <c r="J883" s="23">
        <v>0.1</v>
      </c>
      <c r="K883" s="4">
        <v>16711.650000000001</v>
      </c>
      <c r="L883" s="4">
        <v>9580.23</v>
      </c>
      <c r="M883" s="4">
        <v>7131.42</v>
      </c>
      <c r="N883" t="s">
        <v>25</v>
      </c>
      <c r="O883" s="7">
        <v>24</v>
      </c>
      <c r="P883" s="2">
        <v>45961</v>
      </c>
      <c r="Q883" t="s">
        <v>116</v>
      </c>
      <c r="R883">
        <v>10</v>
      </c>
      <c r="S883" t="s">
        <v>35</v>
      </c>
      <c r="T883">
        <f>IF(orders[[#This Row],[Status]]="Completed",1,0)</f>
        <v>1</v>
      </c>
      <c r="U883">
        <f>IF(orders[[#This Row],[Status]]="Pending",1,0)</f>
        <v>0</v>
      </c>
      <c r="V883">
        <f>IF(orders[[#This Row],[Status]]="Delayed",1,0)</f>
        <v>0</v>
      </c>
      <c r="W883">
        <f>IF(orders[[#This Row],[Status]]="Cancelled",1,0)</f>
        <v>0</v>
      </c>
    </row>
    <row r="884" spans="1:23" x14ac:dyDescent="0.35">
      <c r="A884" t="s">
        <v>1250</v>
      </c>
      <c r="B884" s="1">
        <v>45784</v>
      </c>
      <c r="C884" t="s">
        <v>246</v>
      </c>
      <c r="D884" t="s">
        <v>58</v>
      </c>
      <c r="E884" t="s">
        <v>52</v>
      </c>
      <c r="F884" t="s">
        <v>23</v>
      </c>
      <c r="G884" t="s">
        <v>110</v>
      </c>
      <c r="H884" s="7">
        <v>7</v>
      </c>
      <c r="I884" s="4">
        <v>38968.58</v>
      </c>
      <c r="J884" s="23">
        <v>0.15</v>
      </c>
      <c r="K884" s="4">
        <v>33123.29</v>
      </c>
      <c r="L884" s="4">
        <v>24558.03</v>
      </c>
      <c r="M884" s="4">
        <v>8565.26</v>
      </c>
      <c r="N884" t="s">
        <v>98</v>
      </c>
      <c r="O884" s="7">
        <v>17</v>
      </c>
      <c r="P884" s="2">
        <v>45784.708333333336</v>
      </c>
      <c r="Q884" t="s">
        <v>74</v>
      </c>
      <c r="R884">
        <v>5</v>
      </c>
      <c r="S884" t="s">
        <v>27</v>
      </c>
      <c r="T884">
        <f>IF(orders[[#This Row],[Status]]="Completed",1,0)</f>
        <v>0</v>
      </c>
      <c r="U884">
        <f>IF(orders[[#This Row],[Status]]="Pending",1,0)</f>
        <v>1</v>
      </c>
      <c r="V884">
        <f>IF(orders[[#This Row],[Status]]="Delayed",1,0)</f>
        <v>0</v>
      </c>
      <c r="W884">
        <f>IF(orders[[#This Row],[Status]]="Cancelled",1,0)</f>
        <v>0</v>
      </c>
    </row>
    <row r="885" spans="1:23" x14ac:dyDescent="0.35">
      <c r="A885" t="s">
        <v>1251</v>
      </c>
      <c r="B885" s="1">
        <v>45713</v>
      </c>
      <c r="C885" t="s">
        <v>495</v>
      </c>
      <c r="D885" t="s">
        <v>77</v>
      </c>
      <c r="E885" t="s">
        <v>52</v>
      </c>
      <c r="F885" t="s">
        <v>39</v>
      </c>
      <c r="G885" t="s">
        <v>114</v>
      </c>
      <c r="H885" s="7">
        <v>5</v>
      </c>
      <c r="I885" s="4">
        <v>31113.45</v>
      </c>
      <c r="J885" s="23">
        <v>0.05</v>
      </c>
      <c r="K885" s="4">
        <v>29557.78</v>
      </c>
      <c r="L885" s="4">
        <v>23276.73</v>
      </c>
      <c r="M885" s="4">
        <v>6281.05</v>
      </c>
      <c r="N885" t="s">
        <v>25</v>
      </c>
      <c r="O885" s="7">
        <v>13</v>
      </c>
      <c r="P885" s="2">
        <v>45713.541666666664</v>
      </c>
      <c r="Q885" t="s">
        <v>139</v>
      </c>
      <c r="R885">
        <v>2</v>
      </c>
      <c r="S885" t="s">
        <v>55</v>
      </c>
      <c r="T885">
        <f>IF(orders[[#This Row],[Status]]="Completed",1,0)</f>
        <v>1</v>
      </c>
      <c r="U885">
        <f>IF(orders[[#This Row],[Status]]="Pending",1,0)</f>
        <v>0</v>
      </c>
      <c r="V885">
        <f>IF(orders[[#This Row],[Status]]="Delayed",1,0)</f>
        <v>0</v>
      </c>
      <c r="W885">
        <f>IF(orders[[#This Row],[Status]]="Cancelled",1,0)</f>
        <v>0</v>
      </c>
    </row>
    <row r="886" spans="1:23" x14ac:dyDescent="0.35">
      <c r="A886" t="s">
        <v>1252</v>
      </c>
      <c r="B886" s="1">
        <v>45871</v>
      </c>
      <c r="C886" t="s">
        <v>698</v>
      </c>
      <c r="D886" t="s">
        <v>45</v>
      </c>
      <c r="E886" t="s">
        <v>22</v>
      </c>
      <c r="F886" t="s">
        <v>39</v>
      </c>
      <c r="G886" t="s">
        <v>114</v>
      </c>
      <c r="H886" s="7">
        <v>5</v>
      </c>
      <c r="I886" s="4">
        <v>27209.25</v>
      </c>
      <c r="J886" s="23">
        <v>0</v>
      </c>
      <c r="K886" s="4">
        <v>27209.25</v>
      </c>
      <c r="L886" s="4">
        <v>15811.28</v>
      </c>
      <c r="M886" s="4">
        <v>11397.97</v>
      </c>
      <c r="N886" t="s">
        <v>25</v>
      </c>
      <c r="O886" s="7">
        <v>44</v>
      </c>
      <c r="P886" s="2">
        <v>45872.833333333336</v>
      </c>
      <c r="Q886" t="s">
        <v>80</v>
      </c>
      <c r="R886">
        <v>8</v>
      </c>
      <c r="S886" t="s">
        <v>42</v>
      </c>
      <c r="T886">
        <f>IF(orders[[#This Row],[Status]]="Completed",1,0)</f>
        <v>1</v>
      </c>
      <c r="U886">
        <f>IF(orders[[#This Row],[Status]]="Pending",1,0)</f>
        <v>0</v>
      </c>
      <c r="V886">
        <f>IF(orders[[#This Row],[Status]]="Delayed",1,0)</f>
        <v>0</v>
      </c>
      <c r="W886">
        <f>IF(orders[[#This Row],[Status]]="Cancelled",1,0)</f>
        <v>0</v>
      </c>
    </row>
    <row r="887" spans="1:23" x14ac:dyDescent="0.35">
      <c r="A887" t="s">
        <v>1253</v>
      </c>
      <c r="B887" s="1">
        <v>45671</v>
      </c>
      <c r="C887" t="s">
        <v>316</v>
      </c>
      <c r="D887" t="s">
        <v>21</v>
      </c>
      <c r="E887" t="s">
        <v>46</v>
      </c>
      <c r="F887" t="s">
        <v>32</v>
      </c>
      <c r="G887" t="s">
        <v>33</v>
      </c>
      <c r="H887" s="7">
        <v>5</v>
      </c>
      <c r="I887" s="4">
        <v>6616.2</v>
      </c>
      <c r="J887" s="23">
        <v>0.15</v>
      </c>
      <c r="K887" s="4">
        <v>5623.77</v>
      </c>
      <c r="L887" s="4">
        <v>4269.25</v>
      </c>
      <c r="M887" s="4">
        <v>1354.52</v>
      </c>
      <c r="N887" t="s">
        <v>48</v>
      </c>
      <c r="O887" s="7">
        <v>12</v>
      </c>
      <c r="P887" s="2">
        <v>45671.5</v>
      </c>
      <c r="Q887" t="s">
        <v>65</v>
      </c>
      <c r="R887">
        <v>1</v>
      </c>
      <c r="S887" t="s">
        <v>55</v>
      </c>
      <c r="T887">
        <f>IF(orders[[#This Row],[Status]]="Completed",1,0)</f>
        <v>0</v>
      </c>
      <c r="U887">
        <f>IF(orders[[#This Row],[Status]]="Pending",1,0)</f>
        <v>0</v>
      </c>
      <c r="V887">
        <f>IF(orders[[#This Row],[Status]]="Delayed",1,0)</f>
        <v>0</v>
      </c>
      <c r="W887">
        <f>IF(orders[[#This Row],[Status]]="Cancelled",1,0)</f>
        <v>1</v>
      </c>
    </row>
    <row r="888" spans="1:23" x14ac:dyDescent="0.35">
      <c r="A888" t="s">
        <v>1254</v>
      </c>
      <c r="B888" s="1">
        <v>45685</v>
      </c>
      <c r="C888" t="s">
        <v>684</v>
      </c>
      <c r="D888" t="s">
        <v>45</v>
      </c>
      <c r="E888" t="s">
        <v>92</v>
      </c>
      <c r="F888" t="s">
        <v>72</v>
      </c>
      <c r="G888" t="s">
        <v>104</v>
      </c>
      <c r="H888" s="7">
        <v>5</v>
      </c>
      <c r="I888" s="4">
        <v>19243.2</v>
      </c>
      <c r="J888" s="23">
        <v>0.1</v>
      </c>
      <c r="K888" s="4">
        <v>17318.88</v>
      </c>
      <c r="L888" s="4">
        <v>11162.03</v>
      </c>
      <c r="M888" s="4">
        <v>6156.85</v>
      </c>
      <c r="N888" t="s">
        <v>25</v>
      </c>
      <c r="O888" s="7">
        <v>33</v>
      </c>
      <c r="P888" s="2">
        <v>45686.375</v>
      </c>
      <c r="Q888" t="s">
        <v>65</v>
      </c>
      <c r="R888">
        <v>1</v>
      </c>
      <c r="S888" t="s">
        <v>55</v>
      </c>
      <c r="T888">
        <f>IF(orders[[#This Row],[Status]]="Completed",1,0)</f>
        <v>1</v>
      </c>
      <c r="U888">
        <f>IF(orders[[#This Row],[Status]]="Pending",1,0)</f>
        <v>0</v>
      </c>
      <c r="V888">
        <f>IF(orders[[#This Row],[Status]]="Delayed",1,0)</f>
        <v>0</v>
      </c>
      <c r="W888">
        <f>IF(orders[[#This Row],[Status]]="Cancelled",1,0)</f>
        <v>0</v>
      </c>
    </row>
    <row r="889" spans="1:23" x14ac:dyDescent="0.35">
      <c r="A889" t="s">
        <v>1255</v>
      </c>
      <c r="B889" s="1">
        <v>45735</v>
      </c>
      <c r="C889" t="s">
        <v>766</v>
      </c>
      <c r="D889" t="s">
        <v>21</v>
      </c>
      <c r="E889" t="s">
        <v>92</v>
      </c>
      <c r="F889" t="s">
        <v>83</v>
      </c>
      <c r="G889" t="s">
        <v>155</v>
      </c>
      <c r="H889" s="7">
        <v>1</v>
      </c>
      <c r="I889" s="4">
        <v>4838.01</v>
      </c>
      <c r="J889" s="23">
        <v>0.2</v>
      </c>
      <c r="K889" s="4">
        <v>3870.41</v>
      </c>
      <c r="L889" s="4">
        <v>3104.85</v>
      </c>
      <c r="M889" s="4">
        <v>765.56</v>
      </c>
      <c r="N889" t="s">
        <v>98</v>
      </c>
      <c r="O889" s="7">
        <v>20</v>
      </c>
      <c r="P889" s="2">
        <v>45735.833333333336</v>
      </c>
      <c r="Q889" t="s">
        <v>54</v>
      </c>
      <c r="R889">
        <v>3</v>
      </c>
      <c r="S889" t="s">
        <v>55</v>
      </c>
      <c r="T889">
        <f>IF(orders[[#This Row],[Status]]="Completed",1,0)</f>
        <v>0</v>
      </c>
      <c r="U889">
        <f>IF(orders[[#This Row],[Status]]="Pending",1,0)</f>
        <v>1</v>
      </c>
      <c r="V889">
        <f>IF(orders[[#This Row],[Status]]="Delayed",1,0)</f>
        <v>0</v>
      </c>
      <c r="W889">
        <f>IF(orders[[#This Row],[Status]]="Cancelled",1,0)</f>
        <v>0</v>
      </c>
    </row>
    <row r="890" spans="1:23" x14ac:dyDescent="0.35">
      <c r="A890" t="s">
        <v>1256</v>
      </c>
      <c r="B890" s="1">
        <v>45873</v>
      </c>
      <c r="C890" t="s">
        <v>1063</v>
      </c>
      <c r="D890" t="s">
        <v>68</v>
      </c>
      <c r="E890" t="s">
        <v>92</v>
      </c>
      <c r="F890" t="s">
        <v>83</v>
      </c>
      <c r="G890" t="s">
        <v>155</v>
      </c>
      <c r="H890" s="7">
        <v>3</v>
      </c>
      <c r="I890" s="4">
        <v>21718.560000000001</v>
      </c>
      <c r="J890" s="23">
        <v>0.25</v>
      </c>
      <c r="K890" s="4">
        <v>16288.92</v>
      </c>
      <c r="L890" s="4">
        <v>11859.53</v>
      </c>
      <c r="M890" s="4">
        <v>4429.3900000000003</v>
      </c>
      <c r="N890" t="s">
        <v>25</v>
      </c>
      <c r="O890" s="7">
        <v>21</v>
      </c>
      <c r="P890" s="2">
        <v>45873.875</v>
      </c>
      <c r="Q890" t="s">
        <v>80</v>
      </c>
      <c r="R890">
        <v>8</v>
      </c>
      <c r="S890" t="s">
        <v>42</v>
      </c>
      <c r="T890">
        <f>IF(orders[[#This Row],[Status]]="Completed",1,0)</f>
        <v>1</v>
      </c>
      <c r="U890">
        <f>IF(orders[[#This Row],[Status]]="Pending",1,0)</f>
        <v>0</v>
      </c>
      <c r="V890">
        <f>IF(orders[[#This Row],[Status]]="Delayed",1,0)</f>
        <v>0</v>
      </c>
      <c r="W890">
        <f>IF(orders[[#This Row],[Status]]="Cancelled",1,0)</f>
        <v>0</v>
      </c>
    </row>
    <row r="891" spans="1:23" x14ac:dyDescent="0.35">
      <c r="A891" t="s">
        <v>1257</v>
      </c>
      <c r="B891" s="1">
        <v>46022</v>
      </c>
      <c r="C891" t="s">
        <v>1022</v>
      </c>
      <c r="D891" t="s">
        <v>30</v>
      </c>
      <c r="E891" t="s">
        <v>92</v>
      </c>
      <c r="F891" t="s">
        <v>72</v>
      </c>
      <c r="G891" t="s">
        <v>146</v>
      </c>
      <c r="H891" s="7">
        <v>7</v>
      </c>
      <c r="I891" s="4">
        <v>26981.08</v>
      </c>
      <c r="J891" s="23">
        <v>0.05</v>
      </c>
      <c r="K891" s="4">
        <v>25632.03</v>
      </c>
      <c r="L891" s="4">
        <v>15189.08</v>
      </c>
      <c r="M891" s="4">
        <v>10442.950000000001</v>
      </c>
      <c r="N891" t="s">
        <v>25</v>
      </c>
      <c r="O891" s="7">
        <v>17</v>
      </c>
      <c r="P891" s="2">
        <v>46022.708333333336</v>
      </c>
      <c r="Q891" t="s">
        <v>34</v>
      </c>
      <c r="R891">
        <v>12</v>
      </c>
      <c r="S891" t="s">
        <v>35</v>
      </c>
      <c r="T891">
        <f>IF(orders[[#This Row],[Status]]="Completed",1,0)</f>
        <v>1</v>
      </c>
      <c r="U891">
        <f>IF(orders[[#This Row],[Status]]="Pending",1,0)</f>
        <v>0</v>
      </c>
      <c r="V891">
        <f>IF(orders[[#This Row],[Status]]="Delayed",1,0)</f>
        <v>0</v>
      </c>
      <c r="W891">
        <f>IF(orders[[#This Row],[Status]]="Cancelled",1,0)</f>
        <v>0</v>
      </c>
    </row>
    <row r="892" spans="1:23" x14ac:dyDescent="0.35">
      <c r="A892" t="s">
        <v>1258</v>
      </c>
      <c r="B892" s="1">
        <v>45811</v>
      </c>
      <c r="C892" t="s">
        <v>751</v>
      </c>
      <c r="D892" t="s">
        <v>63</v>
      </c>
      <c r="E892" t="s">
        <v>22</v>
      </c>
      <c r="F892" t="s">
        <v>83</v>
      </c>
      <c r="G892" t="s">
        <v>152</v>
      </c>
      <c r="H892" s="7">
        <v>5</v>
      </c>
      <c r="I892" s="4">
        <v>39107.699999999997</v>
      </c>
      <c r="J892" s="23">
        <v>0.05</v>
      </c>
      <c r="K892" s="4">
        <v>37152.31</v>
      </c>
      <c r="L892" s="4">
        <v>26889.040000000001</v>
      </c>
      <c r="M892" s="4">
        <v>10263.27</v>
      </c>
      <c r="N892" t="s">
        <v>85</v>
      </c>
      <c r="O892" s="7">
        <v>78</v>
      </c>
      <c r="P892" s="2">
        <v>45814.25</v>
      </c>
      <c r="Q892" t="s">
        <v>99</v>
      </c>
      <c r="R892">
        <v>6</v>
      </c>
      <c r="S892" t="s">
        <v>27</v>
      </c>
      <c r="T892">
        <f>IF(orders[[#This Row],[Status]]="Completed",1,0)</f>
        <v>0</v>
      </c>
      <c r="U892">
        <f>IF(orders[[#This Row],[Status]]="Pending",1,0)</f>
        <v>0</v>
      </c>
      <c r="V892">
        <f>IF(orders[[#This Row],[Status]]="Delayed",1,0)</f>
        <v>1</v>
      </c>
      <c r="W892">
        <f>IF(orders[[#This Row],[Status]]="Cancelled",1,0)</f>
        <v>0</v>
      </c>
    </row>
    <row r="893" spans="1:23" x14ac:dyDescent="0.35">
      <c r="A893" t="s">
        <v>1259</v>
      </c>
      <c r="B893" s="1">
        <v>45671</v>
      </c>
      <c r="C893" t="s">
        <v>124</v>
      </c>
      <c r="D893" t="s">
        <v>45</v>
      </c>
      <c r="E893" t="s">
        <v>31</v>
      </c>
      <c r="F893" t="s">
        <v>32</v>
      </c>
      <c r="G893" t="s">
        <v>53</v>
      </c>
      <c r="H893" s="7">
        <v>7</v>
      </c>
      <c r="I893" s="4">
        <v>26789.84</v>
      </c>
      <c r="J893" s="23">
        <v>0.05</v>
      </c>
      <c r="K893" s="4">
        <v>25450.35</v>
      </c>
      <c r="L893" s="4">
        <v>17321.330000000002</v>
      </c>
      <c r="M893" s="4">
        <v>8129.02</v>
      </c>
      <c r="N893" t="s">
        <v>48</v>
      </c>
      <c r="O893" s="7">
        <v>7</v>
      </c>
      <c r="P893" s="2">
        <v>45671.291666666664</v>
      </c>
      <c r="Q893" t="s">
        <v>65</v>
      </c>
      <c r="R893">
        <v>1</v>
      </c>
      <c r="S893" t="s">
        <v>55</v>
      </c>
      <c r="T893">
        <f>IF(orders[[#This Row],[Status]]="Completed",1,0)</f>
        <v>0</v>
      </c>
      <c r="U893">
        <f>IF(orders[[#This Row],[Status]]="Pending",1,0)</f>
        <v>0</v>
      </c>
      <c r="V893">
        <f>IF(orders[[#This Row],[Status]]="Delayed",1,0)</f>
        <v>0</v>
      </c>
      <c r="W893">
        <f>IF(orders[[#This Row],[Status]]="Cancelled",1,0)</f>
        <v>1</v>
      </c>
    </row>
    <row r="894" spans="1:23" x14ac:dyDescent="0.35">
      <c r="A894" t="s">
        <v>1260</v>
      </c>
      <c r="B894" s="1">
        <v>45844</v>
      </c>
      <c r="C894" t="s">
        <v>424</v>
      </c>
      <c r="D894" t="s">
        <v>149</v>
      </c>
      <c r="E894" t="s">
        <v>113</v>
      </c>
      <c r="F894" t="s">
        <v>32</v>
      </c>
      <c r="G894" t="s">
        <v>53</v>
      </c>
      <c r="H894" s="7">
        <v>3</v>
      </c>
      <c r="I894" s="4">
        <v>14196.93</v>
      </c>
      <c r="J894" s="23">
        <v>0.05</v>
      </c>
      <c r="K894" s="4">
        <v>13487.08</v>
      </c>
      <c r="L894" s="4">
        <v>8220.61</v>
      </c>
      <c r="M894" s="4">
        <v>5266.47</v>
      </c>
      <c r="N894" t="s">
        <v>25</v>
      </c>
      <c r="O894" s="7">
        <v>4</v>
      </c>
      <c r="P894" s="2">
        <v>45844.166666666664</v>
      </c>
      <c r="Q894" t="s">
        <v>60</v>
      </c>
      <c r="R894">
        <v>7</v>
      </c>
      <c r="S894" t="s">
        <v>42</v>
      </c>
      <c r="T894">
        <f>IF(orders[[#This Row],[Status]]="Completed",1,0)</f>
        <v>1</v>
      </c>
      <c r="U894">
        <f>IF(orders[[#This Row],[Status]]="Pending",1,0)</f>
        <v>0</v>
      </c>
      <c r="V894">
        <f>IF(orders[[#This Row],[Status]]="Delayed",1,0)</f>
        <v>0</v>
      </c>
      <c r="W894">
        <f>IF(orders[[#This Row],[Status]]="Cancelled",1,0)</f>
        <v>0</v>
      </c>
    </row>
    <row r="895" spans="1:23" x14ac:dyDescent="0.35">
      <c r="A895" t="s">
        <v>1261</v>
      </c>
      <c r="B895" s="1">
        <v>45969</v>
      </c>
      <c r="C895" t="s">
        <v>292</v>
      </c>
      <c r="D895" t="s">
        <v>77</v>
      </c>
      <c r="E895" t="s">
        <v>59</v>
      </c>
      <c r="F895" t="s">
        <v>72</v>
      </c>
      <c r="G895" t="s">
        <v>73</v>
      </c>
      <c r="H895" s="7">
        <v>6</v>
      </c>
      <c r="I895" s="4">
        <v>40793.94</v>
      </c>
      <c r="J895" s="23">
        <v>0.15</v>
      </c>
      <c r="K895" s="4">
        <v>34674.85</v>
      </c>
      <c r="L895" s="4">
        <v>28700.38</v>
      </c>
      <c r="M895" s="4">
        <v>5974.47</v>
      </c>
      <c r="N895" t="s">
        <v>48</v>
      </c>
      <c r="O895" s="7">
        <v>8</v>
      </c>
      <c r="P895" s="2">
        <v>45969.333333333336</v>
      </c>
      <c r="Q895" t="s">
        <v>86</v>
      </c>
      <c r="R895">
        <v>11</v>
      </c>
      <c r="S895" t="s">
        <v>35</v>
      </c>
      <c r="T895">
        <f>IF(orders[[#This Row],[Status]]="Completed",1,0)</f>
        <v>0</v>
      </c>
      <c r="U895">
        <f>IF(orders[[#This Row],[Status]]="Pending",1,0)</f>
        <v>0</v>
      </c>
      <c r="V895">
        <f>IF(orders[[#This Row],[Status]]="Delayed",1,0)</f>
        <v>0</v>
      </c>
      <c r="W895">
        <f>IF(orders[[#This Row],[Status]]="Cancelled",1,0)</f>
        <v>1</v>
      </c>
    </row>
    <row r="896" spans="1:23" x14ac:dyDescent="0.35">
      <c r="A896" t="s">
        <v>1262</v>
      </c>
      <c r="B896" s="1">
        <v>45664</v>
      </c>
      <c r="C896" t="s">
        <v>361</v>
      </c>
      <c r="D896" t="s">
        <v>58</v>
      </c>
      <c r="E896" t="s">
        <v>46</v>
      </c>
      <c r="F896" t="s">
        <v>83</v>
      </c>
      <c r="G896" t="s">
        <v>107</v>
      </c>
      <c r="H896" s="7">
        <v>5</v>
      </c>
      <c r="I896" s="4">
        <v>25093.1</v>
      </c>
      <c r="J896" s="23">
        <v>0.15</v>
      </c>
      <c r="K896" s="4">
        <v>21329.14</v>
      </c>
      <c r="L896" s="4">
        <v>11808.65</v>
      </c>
      <c r="M896" s="4">
        <v>9520.49</v>
      </c>
      <c r="N896" t="s">
        <v>25</v>
      </c>
      <c r="O896" s="7">
        <v>18</v>
      </c>
      <c r="P896" s="2">
        <v>45664.75</v>
      </c>
      <c r="Q896" t="s">
        <v>65</v>
      </c>
      <c r="R896">
        <v>1</v>
      </c>
      <c r="S896" t="s">
        <v>55</v>
      </c>
      <c r="T896">
        <f>IF(orders[[#This Row],[Status]]="Completed",1,0)</f>
        <v>1</v>
      </c>
      <c r="U896">
        <f>IF(orders[[#This Row],[Status]]="Pending",1,0)</f>
        <v>0</v>
      </c>
      <c r="V896">
        <f>IF(orders[[#This Row],[Status]]="Delayed",1,0)</f>
        <v>0</v>
      </c>
      <c r="W896">
        <f>IF(orders[[#This Row],[Status]]="Cancelled",1,0)</f>
        <v>0</v>
      </c>
    </row>
    <row r="897" spans="1:23" x14ac:dyDescent="0.35">
      <c r="A897" t="s">
        <v>1263</v>
      </c>
      <c r="B897" s="1">
        <v>45660</v>
      </c>
      <c r="C897" t="s">
        <v>544</v>
      </c>
      <c r="D897" t="s">
        <v>77</v>
      </c>
      <c r="E897" t="s">
        <v>46</v>
      </c>
      <c r="F897" t="s">
        <v>32</v>
      </c>
      <c r="G897" t="s">
        <v>53</v>
      </c>
      <c r="H897" s="7">
        <v>7</v>
      </c>
      <c r="I897" s="4">
        <v>57174.74</v>
      </c>
      <c r="J897" s="23">
        <v>0.1</v>
      </c>
      <c r="K897" s="4">
        <v>51457.27</v>
      </c>
      <c r="L897" s="4">
        <v>33601.72</v>
      </c>
      <c r="M897" s="4">
        <v>17855.55</v>
      </c>
      <c r="N897" t="s">
        <v>25</v>
      </c>
      <c r="O897" s="7">
        <v>39</v>
      </c>
      <c r="P897" s="2">
        <v>45661.625</v>
      </c>
      <c r="Q897" t="s">
        <v>65</v>
      </c>
      <c r="R897">
        <v>1</v>
      </c>
      <c r="S897" t="s">
        <v>55</v>
      </c>
      <c r="T897">
        <f>IF(orders[[#This Row],[Status]]="Completed",1,0)</f>
        <v>1</v>
      </c>
      <c r="U897">
        <f>IF(orders[[#This Row],[Status]]="Pending",1,0)</f>
        <v>0</v>
      </c>
      <c r="V897">
        <f>IF(orders[[#This Row],[Status]]="Delayed",1,0)</f>
        <v>0</v>
      </c>
      <c r="W897">
        <f>IF(orders[[#This Row],[Status]]="Cancelled",1,0)</f>
        <v>0</v>
      </c>
    </row>
    <row r="898" spans="1:23" x14ac:dyDescent="0.35">
      <c r="A898" t="s">
        <v>1264</v>
      </c>
      <c r="B898" s="1">
        <v>45768</v>
      </c>
      <c r="C898" t="s">
        <v>787</v>
      </c>
      <c r="D898" t="s">
        <v>51</v>
      </c>
      <c r="E898" t="s">
        <v>78</v>
      </c>
      <c r="F898" t="s">
        <v>32</v>
      </c>
      <c r="G898" t="s">
        <v>33</v>
      </c>
      <c r="H898" s="7">
        <v>4</v>
      </c>
      <c r="I898" s="4">
        <v>22655.200000000001</v>
      </c>
      <c r="J898" s="23">
        <v>0</v>
      </c>
      <c r="K898" s="4">
        <v>22655.200000000001</v>
      </c>
      <c r="L898" s="4">
        <v>12554.52</v>
      </c>
      <c r="M898" s="4">
        <v>10100.68</v>
      </c>
      <c r="N898" t="s">
        <v>98</v>
      </c>
      <c r="O898" s="7">
        <v>18</v>
      </c>
      <c r="P898" s="2">
        <v>45768.75</v>
      </c>
      <c r="Q898" t="s">
        <v>26</v>
      </c>
      <c r="R898">
        <v>4</v>
      </c>
      <c r="S898" t="s">
        <v>27</v>
      </c>
      <c r="T898">
        <f>IF(orders[[#This Row],[Status]]="Completed",1,0)</f>
        <v>0</v>
      </c>
      <c r="U898">
        <f>IF(orders[[#This Row],[Status]]="Pending",1,0)</f>
        <v>1</v>
      </c>
      <c r="V898">
        <f>IF(orders[[#This Row],[Status]]="Delayed",1,0)</f>
        <v>0</v>
      </c>
      <c r="W898">
        <f>IF(orders[[#This Row],[Status]]="Cancelled",1,0)</f>
        <v>0</v>
      </c>
    </row>
    <row r="899" spans="1:23" x14ac:dyDescent="0.35">
      <c r="A899" t="s">
        <v>1265</v>
      </c>
      <c r="B899" s="1">
        <v>45895</v>
      </c>
      <c r="C899" t="s">
        <v>1099</v>
      </c>
      <c r="D899" t="s">
        <v>63</v>
      </c>
      <c r="E899" t="s">
        <v>92</v>
      </c>
      <c r="F899" t="s">
        <v>23</v>
      </c>
      <c r="G899" t="s">
        <v>136</v>
      </c>
      <c r="H899" s="7">
        <v>7</v>
      </c>
      <c r="I899" s="4">
        <v>31602.34</v>
      </c>
      <c r="J899" s="23">
        <v>0.05</v>
      </c>
      <c r="K899" s="4">
        <v>30022.22</v>
      </c>
      <c r="L899" s="4">
        <v>17463.39</v>
      </c>
      <c r="M899" s="4">
        <v>12558.83</v>
      </c>
      <c r="N899" t="s">
        <v>48</v>
      </c>
      <c r="O899" s="7">
        <v>9</v>
      </c>
      <c r="P899" s="2">
        <v>45895.375</v>
      </c>
      <c r="Q899" t="s">
        <v>80</v>
      </c>
      <c r="R899">
        <v>8</v>
      </c>
      <c r="S899" t="s">
        <v>42</v>
      </c>
      <c r="T899">
        <f>IF(orders[[#This Row],[Status]]="Completed",1,0)</f>
        <v>0</v>
      </c>
      <c r="U899">
        <f>IF(orders[[#This Row],[Status]]="Pending",1,0)</f>
        <v>0</v>
      </c>
      <c r="V899">
        <f>IF(orders[[#This Row],[Status]]="Delayed",1,0)</f>
        <v>0</v>
      </c>
      <c r="W899">
        <f>IF(orders[[#This Row],[Status]]="Cancelled",1,0)</f>
        <v>1</v>
      </c>
    </row>
    <row r="900" spans="1:23" x14ac:dyDescent="0.35">
      <c r="A900" t="s">
        <v>1266</v>
      </c>
      <c r="B900" s="1">
        <v>46020</v>
      </c>
      <c r="C900" t="s">
        <v>267</v>
      </c>
      <c r="D900" t="s">
        <v>51</v>
      </c>
      <c r="E900" t="s">
        <v>78</v>
      </c>
      <c r="F900" t="s">
        <v>23</v>
      </c>
      <c r="G900" t="s">
        <v>24</v>
      </c>
      <c r="H900" s="7">
        <v>5</v>
      </c>
      <c r="I900" s="4">
        <v>1734.95</v>
      </c>
      <c r="J900" s="23">
        <v>0.05</v>
      </c>
      <c r="K900" s="4">
        <v>1648.2</v>
      </c>
      <c r="L900" s="4">
        <v>1068.0999999999999</v>
      </c>
      <c r="M900" s="4">
        <v>580.1</v>
      </c>
      <c r="N900" t="s">
        <v>25</v>
      </c>
      <c r="O900" s="7">
        <v>36</v>
      </c>
      <c r="P900" s="2">
        <v>46021.5</v>
      </c>
      <c r="Q900" t="s">
        <v>34</v>
      </c>
      <c r="R900">
        <v>12</v>
      </c>
      <c r="S900" t="s">
        <v>35</v>
      </c>
      <c r="T900">
        <f>IF(orders[[#This Row],[Status]]="Completed",1,0)</f>
        <v>1</v>
      </c>
      <c r="U900">
        <f>IF(orders[[#This Row],[Status]]="Pending",1,0)</f>
        <v>0</v>
      </c>
      <c r="V900">
        <f>IF(orders[[#This Row],[Status]]="Delayed",1,0)</f>
        <v>0</v>
      </c>
      <c r="W900">
        <f>IF(orders[[#This Row],[Status]]="Cancelled",1,0)</f>
        <v>0</v>
      </c>
    </row>
    <row r="901" spans="1:23" x14ac:dyDescent="0.35">
      <c r="A901" t="s">
        <v>1267</v>
      </c>
      <c r="B901" s="1">
        <v>45896</v>
      </c>
      <c r="C901" t="s">
        <v>701</v>
      </c>
      <c r="D901" t="s">
        <v>68</v>
      </c>
      <c r="E901" t="s">
        <v>92</v>
      </c>
      <c r="F901" t="s">
        <v>32</v>
      </c>
      <c r="G901" t="s">
        <v>79</v>
      </c>
      <c r="H901" s="7">
        <v>2</v>
      </c>
      <c r="I901" s="4">
        <v>7209.34</v>
      </c>
      <c r="J901" s="23">
        <v>0.15</v>
      </c>
      <c r="K901" s="4">
        <v>6127.94</v>
      </c>
      <c r="L901" s="4">
        <v>3480.12</v>
      </c>
      <c r="M901" s="4">
        <v>2647.82</v>
      </c>
      <c r="N901" t="s">
        <v>25</v>
      </c>
      <c r="O901" s="7">
        <v>44</v>
      </c>
      <c r="P901" s="2">
        <v>45897.833333333336</v>
      </c>
      <c r="Q901" t="s">
        <v>80</v>
      </c>
      <c r="R901">
        <v>8</v>
      </c>
      <c r="S901" t="s">
        <v>42</v>
      </c>
      <c r="T901">
        <f>IF(orders[[#This Row],[Status]]="Completed",1,0)</f>
        <v>1</v>
      </c>
      <c r="U901">
        <f>IF(orders[[#This Row],[Status]]="Pending",1,0)</f>
        <v>0</v>
      </c>
      <c r="V901">
        <f>IF(orders[[#This Row],[Status]]="Delayed",1,0)</f>
        <v>0</v>
      </c>
      <c r="W901">
        <f>IF(orders[[#This Row],[Status]]="Cancelled",1,0)</f>
        <v>0</v>
      </c>
    </row>
    <row r="902" spans="1:23" x14ac:dyDescent="0.35">
      <c r="A902" t="s">
        <v>1268</v>
      </c>
      <c r="B902" s="1">
        <v>45931</v>
      </c>
      <c r="C902" t="s">
        <v>486</v>
      </c>
      <c r="D902" t="s">
        <v>63</v>
      </c>
      <c r="E902" t="s">
        <v>59</v>
      </c>
      <c r="F902" t="s">
        <v>72</v>
      </c>
      <c r="G902" t="s">
        <v>73</v>
      </c>
      <c r="H902" s="7">
        <v>1</v>
      </c>
      <c r="I902" s="4">
        <v>2648.72</v>
      </c>
      <c r="J902" s="23">
        <v>0</v>
      </c>
      <c r="K902" s="4">
        <v>2648.72</v>
      </c>
      <c r="L902" s="4">
        <v>1978.3</v>
      </c>
      <c r="M902" s="4">
        <v>670.42</v>
      </c>
      <c r="N902" t="s">
        <v>25</v>
      </c>
      <c r="O902" s="7">
        <v>42</v>
      </c>
      <c r="P902" s="2">
        <v>45932.75</v>
      </c>
      <c r="Q902" t="s">
        <v>116</v>
      </c>
      <c r="R902">
        <v>10</v>
      </c>
      <c r="S902" t="s">
        <v>35</v>
      </c>
      <c r="T902">
        <f>IF(orders[[#This Row],[Status]]="Completed",1,0)</f>
        <v>1</v>
      </c>
      <c r="U902">
        <f>IF(orders[[#This Row],[Status]]="Pending",1,0)</f>
        <v>0</v>
      </c>
      <c r="V902">
        <f>IF(orders[[#This Row],[Status]]="Delayed",1,0)</f>
        <v>0</v>
      </c>
      <c r="W902">
        <f>IF(orders[[#This Row],[Status]]="Cancelled",1,0)</f>
        <v>0</v>
      </c>
    </row>
    <row r="903" spans="1:23" x14ac:dyDescent="0.35">
      <c r="A903" t="s">
        <v>1269</v>
      </c>
      <c r="B903" s="1">
        <v>45951</v>
      </c>
      <c r="C903" t="s">
        <v>536</v>
      </c>
      <c r="D903" t="s">
        <v>63</v>
      </c>
      <c r="E903" t="s">
        <v>92</v>
      </c>
      <c r="F903" t="s">
        <v>39</v>
      </c>
      <c r="G903" t="s">
        <v>188</v>
      </c>
      <c r="H903" s="7">
        <v>4</v>
      </c>
      <c r="I903" s="4">
        <v>25586.720000000001</v>
      </c>
      <c r="J903" s="23">
        <v>0.15</v>
      </c>
      <c r="K903" s="4">
        <v>21748.71</v>
      </c>
      <c r="L903" s="4">
        <v>12585.21</v>
      </c>
      <c r="M903" s="4">
        <v>9163.5</v>
      </c>
      <c r="N903" t="s">
        <v>48</v>
      </c>
      <c r="O903" s="7">
        <v>12</v>
      </c>
      <c r="P903" s="2">
        <v>45951.5</v>
      </c>
      <c r="Q903" t="s">
        <v>116</v>
      </c>
      <c r="R903">
        <v>10</v>
      </c>
      <c r="S903" t="s">
        <v>35</v>
      </c>
      <c r="T903">
        <f>IF(orders[[#This Row],[Status]]="Completed",1,0)</f>
        <v>0</v>
      </c>
      <c r="U903">
        <f>IF(orders[[#This Row],[Status]]="Pending",1,0)</f>
        <v>0</v>
      </c>
      <c r="V903">
        <f>IF(orders[[#This Row],[Status]]="Delayed",1,0)</f>
        <v>0</v>
      </c>
      <c r="W903">
        <f>IF(orders[[#This Row],[Status]]="Cancelled",1,0)</f>
        <v>1</v>
      </c>
    </row>
    <row r="904" spans="1:23" x14ac:dyDescent="0.35">
      <c r="A904" t="s">
        <v>1270</v>
      </c>
      <c r="B904" s="1">
        <v>45884</v>
      </c>
      <c r="C904" t="s">
        <v>467</v>
      </c>
      <c r="D904" t="s">
        <v>51</v>
      </c>
      <c r="E904" t="s">
        <v>113</v>
      </c>
      <c r="F904" t="s">
        <v>39</v>
      </c>
      <c r="G904" t="s">
        <v>188</v>
      </c>
      <c r="H904" s="7">
        <v>4</v>
      </c>
      <c r="I904" s="4">
        <v>7556.48</v>
      </c>
      <c r="J904" s="23">
        <v>0.1</v>
      </c>
      <c r="K904" s="4">
        <v>6800.83</v>
      </c>
      <c r="L904" s="4">
        <v>5315.29</v>
      </c>
      <c r="M904" s="4">
        <v>1485.54</v>
      </c>
      <c r="N904" t="s">
        <v>25</v>
      </c>
      <c r="O904" s="7">
        <v>46</v>
      </c>
      <c r="P904" s="2">
        <v>45885.916666666664</v>
      </c>
      <c r="Q904" t="s">
        <v>80</v>
      </c>
      <c r="R904">
        <v>8</v>
      </c>
      <c r="S904" t="s">
        <v>42</v>
      </c>
      <c r="T904">
        <f>IF(orders[[#This Row],[Status]]="Completed",1,0)</f>
        <v>1</v>
      </c>
      <c r="U904">
        <f>IF(orders[[#This Row],[Status]]="Pending",1,0)</f>
        <v>0</v>
      </c>
      <c r="V904">
        <f>IF(orders[[#This Row],[Status]]="Delayed",1,0)</f>
        <v>0</v>
      </c>
      <c r="W904">
        <f>IF(orders[[#This Row],[Status]]="Cancelled",1,0)</f>
        <v>0</v>
      </c>
    </row>
    <row r="905" spans="1:23" x14ac:dyDescent="0.35">
      <c r="A905" t="s">
        <v>1271</v>
      </c>
      <c r="B905" s="1">
        <v>45672</v>
      </c>
      <c r="C905" t="s">
        <v>205</v>
      </c>
      <c r="D905" t="s">
        <v>21</v>
      </c>
      <c r="E905" t="s">
        <v>46</v>
      </c>
      <c r="F905" t="s">
        <v>32</v>
      </c>
      <c r="G905" t="s">
        <v>79</v>
      </c>
      <c r="H905" s="7">
        <v>2</v>
      </c>
      <c r="I905" s="4">
        <v>3727.18</v>
      </c>
      <c r="J905" s="23">
        <v>0.15</v>
      </c>
      <c r="K905" s="4">
        <v>3168.1</v>
      </c>
      <c r="L905" s="4">
        <v>1797.49</v>
      </c>
      <c r="M905" s="4">
        <v>1370.61</v>
      </c>
      <c r="N905" t="s">
        <v>25</v>
      </c>
      <c r="O905" s="7">
        <v>5</v>
      </c>
      <c r="P905" s="2">
        <v>45672.208333333336</v>
      </c>
      <c r="Q905" t="s">
        <v>65</v>
      </c>
      <c r="R905">
        <v>1</v>
      </c>
      <c r="S905" t="s">
        <v>55</v>
      </c>
      <c r="T905">
        <f>IF(orders[[#This Row],[Status]]="Completed",1,0)</f>
        <v>1</v>
      </c>
      <c r="U905">
        <f>IF(orders[[#This Row],[Status]]="Pending",1,0)</f>
        <v>0</v>
      </c>
      <c r="V905">
        <f>IF(orders[[#This Row],[Status]]="Delayed",1,0)</f>
        <v>0</v>
      </c>
      <c r="W905">
        <f>IF(orders[[#This Row],[Status]]="Cancelled",1,0)</f>
        <v>0</v>
      </c>
    </row>
    <row r="906" spans="1:23" x14ac:dyDescent="0.35">
      <c r="A906" t="s">
        <v>1272</v>
      </c>
      <c r="B906" s="1">
        <v>45849</v>
      </c>
      <c r="C906" t="s">
        <v>706</v>
      </c>
      <c r="D906" t="s">
        <v>51</v>
      </c>
      <c r="E906" t="s">
        <v>52</v>
      </c>
      <c r="F906" t="s">
        <v>32</v>
      </c>
      <c r="G906" t="s">
        <v>64</v>
      </c>
      <c r="H906" s="7">
        <v>5</v>
      </c>
      <c r="I906" s="4">
        <v>8662.4</v>
      </c>
      <c r="J906" s="23">
        <v>0.05</v>
      </c>
      <c r="K906" s="4">
        <v>8229.2800000000007</v>
      </c>
      <c r="L906" s="4">
        <v>4687.17</v>
      </c>
      <c r="M906" s="4">
        <v>3542.11</v>
      </c>
      <c r="N906" t="s">
        <v>98</v>
      </c>
      <c r="O906" s="7">
        <v>3</v>
      </c>
      <c r="P906" s="2">
        <v>45849.125</v>
      </c>
      <c r="Q906" t="s">
        <v>60</v>
      </c>
      <c r="R906">
        <v>7</v>
      </c>
      <c r="S906" t="s">
        <v>42</v>
      </c>
      <c r="T906">
        <f>IF(orders[[#This Row],[Status]]="Completed",1,0)</f>
        <v>0</v>
      </c>
      <c r="U906">
        <f>IF(orders[[#This Row],[Status]]="Pending",1,0)</f>
        <v>1</v>
      </c>
      <c r="V906">
        <f>IF(orders[[#This Row],[Status]]="Delayed",1,0)</f>
        <v>0</v>
      </c>
      <c r="W906">
        <f>IF(orders[[#This Row],[Status]]="Cancelled",1,0)</f>
        <v>0</v>
      </c>
    </row>
    <row r="907" spans="1:23" x14ac:dyDescent="0.35">
      <c r="A907" t="s">
        <v>1273</v>
      </c>
      <c r="B907" s="1">
        <v>45776</v>
      </c>
      <c r="C907" t="s">
        <v>307</v>
      </c>
      <c r="D907" t="s">
        <v>77</v>
      </c>
      <c r="E907" t="s">
        <v>59</v>
      </c>
      <c r="F907" t="s">
        <v>32</v>
      </c>
      <c r="G907" t="s">
        <v>33</v>
      </c>
      <c r="H907" s="7">
        <v>1</v>
      </c>
      <c r="I907" s="4">
        <v>1198.8900000000001</v>
      </c>
      <c r="J907" s="23">
        <v>0.1</v>
      </c>
      <c r="K907" s="4">
        <v>1079</v>
      </c>
      <c r="L907" s="4">
        <v>702.17</v>
      </c>
      <c r="M907" s="4">
        <v>376.83</v>
      </c>
      <c r="N907" t="s">
        <v>48</v>
      </c>
      <c r="O907" s="7">
        <v>18</v>
      </c>
      <c r="P907" s="2">
        <v>45776.75</v>
      </c>
      <c r="Q907" t="s">
        <v>26</v>
      </c>
      <c r="R907">
        <v>4</v>
      </c>
      <c r="S907" t="s">
        <v>27</v>
      </c>
      <c r="T907">
        <f>IF(orders[[#This Row],[Status]]="Completed",1,0)</f>
        <v>0</v>
      </c>
      <c r="U907">
        <f>IF(orders[[#This Row],[Status]]="Pending",1,0)</f>
        <v>0</v>
      </c>
      <c r="V907">
        <f>IF(orders[[#This Row],[Status]]="Delayed",1,0)</f>
        <v>0</v>
      </c>
      <c r="W907">
        <f>IF(orders[[#This Row],[Status]]="Cancelled",1,0)</f>
        <v>1</v>
      </c>
    </row>
    <row r="908" spans="1:23" x14ac:dyDescent="0.35">
      <c r="A908" t="s">
        <v>1274</v>
      </c>
      <c r="B908" s="1">
        <v>45685</v>
      </c>
      <c r="C908" t="s">
        <v>337</v>
      </c>
      <c r="D908" t="s">
        <v>21</v>
      </c>
      <c r="E908" t="s">
        <v>46</v>
      </c>
      <c r="F908" t="s">
        <v>72</v>
      </c>
      <c r="G908" t="s">
        <v>73</v>
      </c>
      <c r="H908" s="7">
        <v>4</v>
      </c>
      <c r="I908" s="4">
        <v>10987.64</v>
      </c>
      <c r="J908" s="23">
        <v>0.1</v>
      </c>
      <c r="K908" s="4">
        <v>9888.8799999999992</v>
      </c>
      <c r="L908" s="4">
        <v>8364.69</v>
      </c>
      <c r="M908" s="4">
        <v>1524.19</v>
      </c>
      <c r="N908" t="s">
        <v>98</v>
      </c>
      <c r="O908" s="7">
        <v>3</v>
      </c>
      <c r="P908" s="2">
        <v>45685.125</v>
      </c>
      <c r="Q908" t="s">
        <v>65</v>
      </c>
      <c r="R908">
        <v>1</v>
      </c>
      <c r="S908" t="s">
        <v>55</v>
      </c>
      <c r="T908">
        <f>IF(orders[[#This Row],[Status]]="Completed",1,0)</f>
        <v>0</v>
      </c>
      <c r="U908">
        <f>IF(orders[[#This Row],[Status]]="Pending",1,0)</f>
        <v>1</v>
      </c>
      <c r="V908">
        <f>IF(orders[[#This Row],[Status]]="Delayed",1,0)</f>
        <v>0</v>
      </c>
      <c r="W908">
        <f>IF(orders[[#This Row],[Status]]="Cancelled",1,0)</f>
        <v>0</v>
      </c>
    </row>
    <row r="909" spans="1:23" x14ac:dyDescent="0.35">
      <c r="A909" t="s">
        <v>1275</v>
      </c>
      <c r="B909" s="1">
        <v>45859</v>
      </c>
      <c r="C909" t="s">
        <v>1276</v>
      </c>
      <c r="D909" t="s">
        <v>77</v>
      </c>
      <c r="E909" t="s">
        <v>31</v>
      </c>
      <c r="F909" t="s">
        <v>23</v>
      </c>
      <c r="G909" t="s">
        <v>136</v>
      </c>
      <c r="H909" s="7">
        <v>1</v>
      </c>
      <c r="I909" s="4">
        <v>7547.45</v>
      </c>
      <c r="J909" s="23">
        <v>0.15</v>
      </c>
      <c r="K909" s="4">
        <v>6415.33</v>
      </c>
      <c r="L909" s="4">
        <v>4886.3</v>
      </c>
      <c r="M909" s="4">
        <v>1529.03</v>
      </c>
      <c r="N909" t="s">
        <v>48</v>
      </c>
      <c r="O909" s="7">
        <v>18</v>
      </c>
      <c r="P909" s="2">
        <v>45859.75</v>
      </c>
      <c r="Q909" t="s">
        <v>60</v>
      </c>
      <c r="R909">
        <v>7</v>
      </c>
      <c r="S909" t="s">
        <v>42</v>
      </c>
      <c r="T909">
        <f>IF(orders[[#This Row],[Status]]="Completed",1,0)</f>
        <v>0</v>
      </c>
      <c r="U909">
        <f>IF(orders[[#This Row],[Status]]="Pending",1,0)</f>
        <v>0</v>
      </c>
      <c r="V909">
        <f>IF(orders[[#This Row],[Status]]="Delayed",1,0)</f>
        <v>0</v>
      </c>
      <c r="W909">
        <f>IF(orders[[#This Row],[Status]]="Cancelled",1,0)</f>
        <v>1</v>
      </c>
    </row>
    <row r="910" spans="1:23" x14ac:dyDescent="0.35">
      <c r="A910" t="s">
        <v>1277</v>
      </c>
      <c r="B910" s="1">
        <v>45696</v>
      </c>
      <c r="C910" t="s">
        <v>173</v>
      </c>
      <c r="D910" t="s">
        <v>68</v>
      </c>
      <c r="E910" t="s">
        <v>46</v>
      </c>
      <c r="F910" t="s">
        <v>32</v>
      </c>
      <c r="G910" t="s">
        <v>89</v>
      </c>
      <c r="H910" s="7">
        <v>4</v>
      </c>
      <c r="I910" s="4">
        <v>26482.6</v>
      </c>
      <c r="J910" s="23">
        <v>0.05</v>
      </c>
      <c r="K910" s="4">
        <v>25158.47</v>
      </c>
      <c r="L910" s="4">
        <v>20231.02</v>
      </c>
      <c r="M910" s="4">
        <v>4927.45</v>
      </c>
      <c r="N910" t="s">
        <v>98</v>
      </c>
      <c r="O910" s="7">
        <v>18</v>
      </c>
      <c r="P910" s="2">
        <v>45696.75</v>
      </c>
      <c r="Q910" t="s">
        <v>139</v>
      </c>
      <c r="R910">
        <v>2</v>
      </c>
      <c r="S910" t="s">
        <v>55</v>
      </c>
      <c r="T910">
        <f>IF(orders[[#This Row],[Status]]="Completed",1,0)</f>
        <v>0</v>
      </c>
      <c r="U910">
        <f>IF(orders[[#This Row],[Status]]="Pending",1,0)</f>
        <v>1</v>
      </c>
      <c r="V910">
        <f>IF(orders[[#This Row],[Status]]="Delayed",1,0)</f>
        <v>0</v>
      </c>
      <c r="W910">
        <f>IF(orders[[#This Row],[Status]]="Cancelled",1,0)</f>
        <v>0</v>
      </c>
    </row>
    <row r="911" spans="1:23" x14ac:dyDescent="0.35">
      <c r="A911" t="s">
        <v>1278</v>
      </c>
      <c r="B911" s="1">
        <v>45930</v>
      </c>
      <c r="C911" t="s">
        <v>339</v>
      </c>
      <c r="D911" t="s">
        <v>58</v>
      </c>
      <c r="E911" t="s">
        <v>59</v>
      </c>
      <c r="F911" t="s">
        <v>32</v>
      </c>
      <c r="G911" t="s">
        <v>53</v>
      </c>
      <c r="H911" s="7">
        <v>5</v>
      </c>
      <c r="I911" s="4">
        <v>31446.75</v>
      </c>
      <c r="J911" s="23">
        <v>0.1</v>
      </c>
      <c r="K911" s="4">
        <v>28302.080000000002</v>
      </c>
      <c r="L911" s="4">
        <v>16888.2</v>
      </c>
      <c r="M911" s="4">
        <v>11413.88</v>
      </c>
      <c r="N911" t="s">
        <v>25</v>
      </c>
      <c r="O911" s="7">
        <v>10</v>
      </c>
      <c r="P911" s="2">
        <v>45930.416666666664</v>
      </c>
      <c r="Q911" t="s">
        <v>41</v>
      </c>
      <c r="R911">
        <v>9</v>
      </c>
      <c r="S911" t="s">
        <v>42</v>
      </c>
      <c r="T911">
        <f>IF(orders[[#This Row],[Status]]="Completed",1,0)</f>
        <v>1</v>
      </c>
      <c r="U911">
        <f>IF(orders[[#This Row],[Status]]="Pending",1,0)</f>
        <v>0</v>
      </c>
      <c r="V911">
        <f>IF(orders[[#This Row],[Status]]="Delayed",1,0)</f>
        <v>0</v>
      </c>
      <c r="W911">
        <f>IF(orders[[#This Row],[Status]]="Cancelled",1,0)</f>
        <v>0</v>
      </c>
    </row>
    <row r="912" spans="1:23" x14ac:dyDescent="0.35">
      <c r="A912" t="s">
        <v>1279</v>
      </c>
      <c r="B912" s="1">
        <v>45888</v>
      </c>
      <c r="C912" t="s">
        <v>179</v>
      </c>
      <c r="D912" t="s">
        <v>38</v>
      </c>
      <c r="E912" t="s">
        <v>113</v>
      </c>
      <c r="F912" t="s">
        <v>83</v>
      </c>
      <c r="G912" t="s">
        <v>152</v>
      </c>
      <c r="H912" s="7">
        <v>6</v>
      </c>
      <c r="I912" s="4">
        <v>40846.559999999998</v>
      </c>
      <c r="J912" s="23">
        <v>0.1</v>
      </c>
      <c r="K912" s="4">
        <v>36761.9</v>
      </c>
      <c r="L912" s="4">
        <v>30338.18</v>
      </c>
      <c r="M912" s="4">
        <v>6423.72</v>
      </c>
      <c r="N912" t="s">
        <v>48</v>
      </c>
      <c r="O912" s="7">
        <v>12</v>
      </c>
      <c r="P912" s="2">
        <v>45888.5</v>
      </c>
      <c r="Q912" t="s">
        <v>80</v>
      </c>
      <c r="R912">
        <v>8</v>
      </c>
      <c r="S912" t="s">
        <v>42</v>
      </c>
      <c r="T912">
        <f>IF(orders[[#This Row],[Status]]="Completed",1,0)</f>
        <v>0</v>
      </c>
      <c r="U912">
        <f>IF(orders[[#This Row],[Status]]="Pending",1,0)</f>
        <v>0</v>
      </c>
      <c r="V912">
        <f>IF(orders[[#This Row],[Status]]="Delayed",1,0)</f>
        <v>0</v>
      </c>
      <c r="W912">
        <f>IF(orders[[#This Row],[Status]]="Cancelled",1,0)</f>
        <v>1</v>
      </c>
    </row>
    <row r="913" spans="1:23" x14ac:dyDescent="0.35">
      <c r="A913" t="s">
        <v>1280</v>
      </c>
      <c r="B913" s="1">
        <v>45743</v>
      </c>
      <c r="C913" t="s">
        <v>600</v>
      </c>
      <c r="D913" t="s">
        <v>21</v>
      </c>
      <c r="E913" t="s">
        <v>22</v>
      </c>
      <c r="F913" t="s">
        <v>72</v>
      </c>
      <c r="G913" t="s">
        <v>104</v>
      </c>
      <c r="H913" s="7">
        <v>4</v>
      </c>
      <c r="I913" s="4">
        <v>9598.56</v>
      </c>
      <c r="J913" s="23">
        <v>0</v>
      </c>
      <c r="K913" s="4">
        <v>9598.56</v>
      </c>
      <c r="L913" s="4">
        <v>5305.01</v>
      </c>
      <c r="M913" s="4">
        <v>4293.55</v>
      </c>
      <c r="N913" t="s">
        <v>85</v>
      </c>
      <c r="O913" s="7">
        <v>61</v>
      </c>
      <c r="P913" s="2">
        <v>45745.541666666664</v>
      </c>
      <c r="Q913" t="s">
        <v>54</v>
      </c>
      <c r="R913">
        <v>3</v>
      </c>
      <c r="S913" t="s">
        <v>55</v>
      </c>
      <c r="T913">
        <f>IF(orders[[#This Row],[Status]]="Completed",1,0)</f>
        <v>0</v>
      </c>
      <c r="U913">
        <f>IF(orders[[#This Row],[Status]]="Pending",1,0)</f>
        <v>0</v>
      </c>
      <c r="V913">
        <f>IF(orders[[#This Row],[Status]]="Delayed",1,0)</f>
        <v>1</v>
      </c>
      <c r="W913">
        <f>IF(orders[[#This Row],[Status]]="Cancelled",1,0)</f>
        <v>0</v>
      </c>
    </row>
    <row r="914" spans="1:23" x14ac:dyDescent="0.35">
      <c r="A914" t="s">
        <v>1281</v>
      </c>
      <c r="B914" s="1">
        <v>45783</v>
      </c>
      <c r="C914" t="s">
        <v>465</v>
      </c>
      <c r="D914" t="s">
        <v>68</v>
      </c>
      <c r="E914" t="s">
        <v>31</v>
      </c>
      <c r="F914" t="s">
        <v>32</v>
      </c>
      <c r="G914" t="s">
        <v>64</v>
      </c>
      <c r="H914" s="7">
        <v>6</v>
      </c>
      <c r="I914" s="4">
        <v>45360.84</v>
      </c>
      <c r="J914" s="23">
        <v>0.05</v>
      </c>
      <c r="K914" s="4">
        <v>43092.800000000003</v>
      </c>
      <c r="L914" s="4">
        <v>26730.85</v>
      </c>
      <c r="M914" s="4">
        <v>16361.95</v>
      </c>
      <c r="N914" t="s">
        <v>25</v>
      </c>
      <c r="O914" s="7">
        <v>40</v>
      </c>
      <c r="P914" s="2">
        <v>45784.666666666664</v>
      </c>
      <c r="Q914" t="s">
        <v>74</v>
      </c>
      <c r="R914">
        <v>5</v>
      </c>
      <c r="S914" t="s">
        <v>27</v>
      </c>
      <c r="T914">
        <f>IF(orders[[#This Row],[Status]]="Completed",1,0)</f>
        <v>1</v>
      </c>
      <c r="U914">
        <f>IF(orders[[#This Row],[Status]]="Pending",1,0)</f>
        <v>0</v>
      </c>
      <c r="V914">
        <f>IF(orders[[#This Row],[Status]]="Delayed",1,0)</f>
        <v>0</v>
      </c>
      <c r="W914">
        <f>IF(orders[[#This Row],[Status]]="Cancelled",1,0)</f>
        <v>0</v>
      </c>
    </row>
    <row r="915" spans="1:23" x14ac:dyDescent="0.35">
      <c r="A915" t="s">
        <v>1282</v>
      </c>
      <c r="B915" s="1">
        <v>45957</v>
      </c>
      <c r="C915" t="s">
        <v>770</v>
      </c>
      <c r="D915" t="s">
        <v>149</v>
      </c>
      <c r="E915" t="s">
        <v>52</v>
      </c>
      <c r="F915" t="s">
        <v>83</v>
      </c>
      <c r="G915" t="s">
        <v>84</v>
      </c>
      <c r="H915" s="7">
        <v>4</v>
      </c>
      <c r="I915" s="4">
        <v>5185.92</v>
      </c>
      <c r="J915" s="23">
        <v>0.25</v>
      </c>
      <c r="K915" s="4">
        <v>3889.44</v>
      </c>
      <c r="L915" s="4">
        <v>2929.96</v>
      </c>
      <c r="M915" s="4">
        <v>959.48</v>
      </c>
      <c r="N915" t="s">
        <v>25</v>
      </c>
      <c r="O915" s="7">
        <v>39</v>
      </c>
      <c r="P915" s="2">
        <v>45958.625</v>
      </c>
      <c r="Q915" t="s">
        <v>116</v>
      </c>
      <c r="R915">
        <v>10</v>
      </c>
      <c r="S915" t="s">
        <v>35</v>
      </c>
      <c r="T915">
        <f>IF(orders[[#This Row],[Status]]="Completed",1,0)</f>
        <v>1</v>
      </c>
      <c r="U915">
        <f>IF(orders[[#This Row],[Status]]="Pending",1,0)</f>
        <v>0</v>
      </c>
      <c r="V915">
        <f>IF(orders[[#This Row],[Status]]="Delayed",1,0)</f>
        <v>0</v>
      </c>
      <c r="W915">
        <f>IF(orders[[#This Row],[Status]]="Cancelled",1,0)</f>
        <v>0</v>
      </c>
    </row>
    <row r="916" spans="1:23" x14ac:dyDescent="0.35">
      <c r="A916" t="s">
        <v>1283</v>
      </c>
      <c r="B916" s="1">
        <v>45682</v>
      </c>
      <c r="C916" t="s">
        <v>292</v>
      </c>
      <c r="D916" t="s">
        <v>68</v>
      </c>
      <c r="E916" t="s">
        <v>92</v>
      </c>
      <c r="F916" t="s">
        <v>39</v>
      </c>
      <c r="G916" t="s">
        <v>93</v>
      </c>
      <c r="H916" s="7">
        <v>3</v>
      </c>
      <c r="I916" s="4">
        <v>8875.4699999999993</v>
      </c>
      <c r="J916" s="23">
        <v>0</v>
      </c>
      <c r="K916" s="4">
        <v>8875.4699999999993</v>
      </c>
      <c r="L916" s="4">
        <v>5980.57</v>
      </c>
      <c r="M916" s="4">
        <v>2894.9</v>
      </c>
      <c r="N916" t="s">
        <v>98</v>
      </c>
      <c r="O916" s="7">
        <v>9</v>
      </c>
      <c r="P916" s="2">
        <v>45682.375</v>
      </c>
      <c r="Q916" t="s">
        <v>65</v>
      </c>
      <c r="R916">
        <v>1</v>
      </c>
      <c r="S916" t="s">
        <v>55</v>
      </c>
      <c r="T916">
        <f>IF(orders[[#This Row],[Status]]="Completed",1,0)</f>
        <v>0</v>
      </c>
      <c r="U916">
        <f>IF(orders[[#This Row],[Status]]="Pending",1,0)</f>
        <v>1</v>
      </c>
      <c r="V916">
        <f>IF(orders[[#This Row],[Status]]="Delayed",1,0)</f>
        <v>0</v>
      </c>
      <c r="W916">
        <f>IF(orders[[#This Row],[Status]]="Cancelled",1,0)</f>
        <v>0</v>
      </c>
    </row>
    <row r="917" spans="1:23" x14ac:dyDescent="0.35">
      <c r="A917" t="s">
        <v>1284</v>
      </c>
      <c r="B917" s="1">
        <v>45802</v>
      </c>
      <c r="C917" t="s">
        <v>1194</v>
      </c>
      <c r="D917" t="s">
        <v>51</v>
      </c>
      <c r="E917" t="s">
        <v>59</v>
      </c>
      <c r="F917" t="s">
        <v>32</v>
      </c>
      <c r="G917" t="s">
        <v>33</v>
      </c>
      <c r="H917" s="7">
        <v>5</v>
      </c>
      <c r="I917" s="4">
        <v>25246.75</v>
      </c>
      <c r="J917" s="23">
        <v>0.05</v>
      </c>
      <c r="K917" s="4">
        <v>23984.41</v>
      </c>
      <c r="L917" s="4">
        <v>20981.17</v>
      </c>
      <c r="M917" s="4">
        <v>3003.24</v>
      </c>
      <c r="N917" t="s">
        <v>48</v>
      </c>
      <c r="O917" s="7">
        <v>20</v>
      </c>
      <c r="P917" s="2">
        <v>45802.833333333336</v>
      </c>
      <c r="Q917" t="s">
        <v>74</v>
      </c>
      <c r="R917">
        <v>5</v>
      </c>
      <c r="S917" t="s">
        <v>27</v>
      </c>
      <c r="T917">
        <f>IF(orders[[#This Row],[Status]]="Completed",1,0)</f>
        <v>0</v>
      </c>
      <c r="U917">
        <f>IF(orders[[#This Row],[Status]]="Pending",1,0)</f>
        <v>0</v>
      </c>
      <c r="V917">
        <f>IF(orders[[#This Row],[Status]]="Delayed",1,0)</f>
        <v>0</v>
      </c>
      <c r="W917">
        <f>IF(orders[[#This Row],[Status]]="Cancelled",1,0)</f>
        <v>1</v>
      </c>
    </row>
    <row r="918" spans="1:23" x14ac:dyDescent="0.35">
      <c r="A918" t="s">
        <v>1285</v>
      </c>
      <c r="B918" s="1">
        <v>45670</v>
      </c>
      <c r="C918" t="s">
        <v>802</v>
      </c>
      <c r="D918" t="s">
        <v>51</v>
      </c>
      <c r="E918" t="s">
        <v>31</v>
      </c>
      <c r="F918" t="s">
        <v>32</v>
      </c>
      <c r="G918" t="s">
        <v>33</v>
      </c>
      <c r="H918" s="7">
        <v>2</v>
      </c>
      <c r="I918" s="4">
        <v>2018.52</v>
      </c>
      <c r="J918" s="23">
        <v>0.05</v>
      </c>
      <c r="K918" s="4">
        <v>1917.59</v>
      </c>
      <c r="L918" s="4">
        <v>1073.8699999999999</v>
      </c>
      <c r="M918" s="4">
        <v>843.72</v>
      </c>
      <c r="N918" t="s">
        <v>25</v>
      </c>
      <c r="O918" s="7">
        <v>19</v>
      </c>
      <c r="P918" s="2">
        <v>45670.791666666664</v>
      </c>
      <c r="Q918" t="s">
        <v>65</v>
      </c>
      <c r="R918">
        <v>1</v>
      </c>
      <c r="S918" t="s">
        <v>55</v>
      </c>
      <c r="T918">
        <f>IF(orders[[#This Row],[Status]]="Completed",1,0)</f>
        <v>1</v>
      </c>
      <c r="U918">
        <f>IF(orders[[#This Row],[Status]]="Pending",1,0)</f>
        <v>0</v>
      </c>
      <c r="V918">
        <f>IF(orders[[#This Row],[Status]]="Delayed",1,0)</f>
        <v>0</v>
      </c>
      <c r="W918">
        <f>IF(orders[[#This Row],[Status]]="Cancelled",1,0)</f>
        <v>0</v>
      </c>
    </row>
    <row r="919" spans="1:23" x14ac:dyDescent="0.35">
      <c r="A919" t="s">
        <v>1286</v>
      </c>
      <c r="B919" s="1">
        <v>45869</v>
      </c>
      <c r="C919" t="s">
        <v>1099</v>
      </c>
      <c r="D919" t="s">
        <v>38</v>
      </c>
      <c r="E919" t="s">
        <v>59</v>
      </c>
      <c r="F919" t="s">
        <v>83</v>
      </c>
      <c r="G919" t="s">
        <v>182</v>
      </c>
      <c r="H919" s="7">
        <v>6</v>
      </c>
      <c r="I919" s="4">
        <v>37479.54</v>
      </c>
      <c r="J919" s="23">
        <v>0.1</v>
      </c>
      <c r="K919" s="4">
        <v>33731.589999999997</v>
      </c>
      <c r="L919" s="4">
        <v>29668.19</v>
      </c>
      <c r="M919" s="4">
        <v>4063.4</v>
      </c>
      <c r="N919" t="s">
        <v>98</v>
      </c>
      <c r="O919" s="7">
        <v>4</v>
      </c>
      <c r="P919" s="2">
        <v>45869.166666666664</v>
      </c>
      <c r="Q919" t="s">
        <v>60</v>
      </c>
      <c r="R919">
        <v>7</v>
      </c>
      <c r="S919" t="s">
        <v>42</v>
      </c>
      <c r="T919">
        <f>IF(orders[[#This Row],[Status]]="Completed",1,0)</f>
        <v>0</v>
      </c>
      <c r="U919">
        <f>IF(orders[[#This Row],[Status]]="Pending",1,0)</f>
        <v>1</v>
      </c>
      <c r="V919">
        <f>IF(orders[[#This Row],[Status]]="Delayed",1,0)</f>
        <v>0</v>
      </c>
      <c r="W919">
        <f>IF(orders[[#This Row],[Status]]="Cancelled",1,0)</f>
        <v>0</v>
      </c>
    </row>
    <row r="920" spans="1:23" x14ac:dyDescent="0.35">
      <c r="A920" t="s">
        <v>1287</v>
      </c>
      <c r="B920" s="1">
        <v>45682</v>
      </c>
      <c r="C920" t="s">
        <v>375</v>
      </c>
      <c r="D920" t="s">
        <v>68</v>
      </c>
      <c r="E920" t="s">
        <v>52</v>
      </c>
      <c r="F920" t="s">
        <v>72</v>
      </c>
      <c r="G920" t="s">
        <v>146</v>
      </c>
      <c r="H920" s="7">
        <v>2</v>
      </c>
      <c r="I920" s="4">
        <v>6767</v>
      </c>
      <c r="J920" s="23">
        <v>0</v>
      </c>
      <c r="K920" s="4">
        <v>6767</v>
      </c>
      <c r="L920" s="4">
        <v>5114.4799999999996</v>
      </c>
      <c r="M920" s="4">
        <v>1652.52</v>
      </c>
      <c r="N920" t="s">
        <v>25</v>
      </c>
      <c r="O920" s="7">
        <v>37</v>
      </c>
      <c r="P920" s="2">
        <v>45683.541666666664</v>
      </c>
      <c r="Q920" t="s">
        <v>65</v>
      </c>
      <c r="R920">
        <v>1</v>
      </c>
      <c r="S920" t="s">
        <v>55</v>
      </c>
      <c r="T920">
        <f>IF(orders[[#This Row],[Status]]="Completed",1,0)</f>
        <v>1</v>
      </c>
      <c r="U920">
        <f>IF(orders[[#This Row],[Status]]="Pending",1,0)</f>
        <v>0</v>
      </c>
      <c r="V920">
        <f>IF(orders[[#This Row],[Status]]="Delayed",1,0)</f>
        <v>0</v>
      </c>
      <c r="W920">
        <f>IF(orders[[#This Row],[Status]]="Cancelled",1,0)</f>
        <v>0</v>
      </c>
    </row>
    <row r="921" spans="1:23" x14ac:dyDescent="0.35">
      <c r="A921" t="s">
        <v>1288</v>
      </c>
      <c r="B921" s="1">
        <v>45725</v>
      </c>
      <c r="C921" t="s">
        <v>334</v>
      </c>
      <c r="D921" t="s">
        <v>30</v>
      </c>
      <c r="E921" t="s">
        <v>59</v>
      </c>
      <c r="F921" t="s">
        <v>32</v>
      </c>
      <c r="G921" t="s">
        <v>89</v>
      </c>
      <c r="H921" s="7">
        <v>5</v>
      </c>
      <c r="I921" s="4">
        <v>33498.949999999997</v>
      </c>
      <c r="J921" s="23">
        <v>0.1</v>
      </c>
      <c r="K921" s="4">
        <v>30149.05</v>
      </c>
      <c r="L921" s="4">
        <v>22140.66</v>
      </c>
      <c r="M921" s="4">
        <v>8008.39</v>
      </c>
      <c r="N921" t="s">
        <v>25</v>
      </c>
      <c r="O921" s="7">
        <v>4</v>
      </c>
      <c r="P921" s="2">
        <v>45725.166666666664</v>
      </c>
      <c r="Q921" t="s">
        <v>54</v>
      </c>
      <c r="R921">
        <v>3</v>
      </c>
      <c r="S921" t="s">
        <v>55</v>
      </c>
      <c r="T921">
        <f>IF(orders[[#This Row],[Status]]="Completed",1,0)</f>
        <v>1</v>
      </c>
      <c r="U921">
        <f>IF(orders[[#This Row],[Status]]="Pending",1,0)</f>
        <v>0</v>
      </c>
      <c r="V921">
        <f>IF(orders[[#This Row],[Status]]="Delayed",1,0)</f>
        <v>0</v>
      </c>
      <c r="W921">
        <f>IF(orders[[#This Row],[Status]]="Cancelled",1,0)</f>
        <v>0</v>
      </c>
    </row>
    <row r="922" spans="1:23" x14ac:dyDescent="0.35">
      <c r="A922" t="s">
        <v>1289</v>
      </c>
      <c r="B922" s="1">
        <v>45724</v>
      </c>
      <c r="C922" t="s">
        <v>532</v>
      </c>
      <c r="D922" t="s">
        <v>58</v>
      </c>
      <c r="E922" t="s">
        <v>78</v>
      </c>
      <c r="F922" t="s">
        <v>39</v>
      </c>
      <c r="G922" t="s">
        <v>93</v>
      </c>
      <c r="H922" s="7">
        <v>7</v>
      </c>
      <c r="I922" s="4">
        <v>29859.759999999998</v>
      </c>
      <c r="J922" s="23">
        <v>0</v>
      </c>
      <c r="K922" s="4">
        <v>29859.759999999998</v>
      </c>
      <c r="L922" s="4">
        <v>17009.29</v>
      </c>
      <c r="M922" s="4">
        <v>12850.47</v>
      </c>
      <c r="N922" t="s">
        <v>25</v>
      </c>
      <c r="O922" s="7">
        <v>21</v>
      </c>
      <c r="P922" s="2">
        <v>45724.875</v>
      </c>
      <c r="Q922" t="s">
        <v>54</v>
      </c>
      <c r="R922">
        <v>3</v>
      </c>
      <c r="S922" t="s">
        <v>55</v>
      </c>
      <c r="T922">
        <f>IF(orders[[#This Row],[Status]]="Completed",1,0)</f>
        <v>1</v>
      </c>
      <c r="U922">
        <f>IF(orders[[#This Row],[Status]]="Pending",1,0)</f>
        <v>0</v>
      </c>
      <c r="V922">
        <f>IF(orders[[#This Row],[Status]]="Delayed",1,0)</f>
        <v>0</v>
      </c>
      <c r="W922">
        <f>IF(orders[[#This Row],[Status]]="Cancelled",1,0)</f>
        <v>0</v>
      </c>
    </row>
    <row r="923" spans="1:23" x14ac:dyDescent="0.35">
      <c r="A923" t="s">
        <v>1290</v>
      </c>
      <c r="B923" s="1">
        <v>45890</v>
      </c>
      <c r="C923" t="s">
        <v>50</v>
      </c>
      <c r="D923" t="s">
        <v>51</v>
      </c>
      <c r="E923" t="s">
        <v>46</v>
      </c>
      <c r="F923" t="s">
        <v>32</v>
      </c>
      <c r="G923" t="s">
        <v>53</v>
      </c>
      <c r="H923" s="7">
        <v>2</v>
      </c>
      <c r="I923" s="4">
        <v>3320.6</v>
      </c>
      <c r="J923" s="23">
        <v>0</v>
      </c>
      <c r="K923" s="4">
        <v>3320.6</v>
      </c>
      <c r="L923" s="4">
        <v>2125.84</v>
      </c>
      <c r="M923" s="4">
        <v>1194.76</v>
      </c>
      <c r="N923" t="s">
        <v>25</v>
      </c>
      <c r="O923" s="7">
        <v>43</v>
      </c>
      <c r="P923" s="2">
        <v>45891.791666666664</v>
      </c>
      <c r="Q923" t="s">
        <v>80</v>
      </c>
      <c r="R923">
        <v>8</v>
      </c>
      <c r="S923" t="s">
        <v>42</v>
      </c>
      <c r="T923">
        <f>IF(orders[[#This Row],[Status]]="Completed",1,0)</f>
        <v>1</v>
      </c>
      <c r="U923">
        <f>IF(orders[[#This Row],[Status]]="Pending",1,0)</f>
        <v>0</v>
      </c>
      <c r="V923">
        <f>IF(orders[[#This Row],[Status]]="Delayed",1,0)</f>
        <v>0</v>
      </c>
      <c r="W923">
        <f>IF(orders[[#This Row],[Status]]="Cancelled",1,0)</f>
        <v>0</v>
      </c>
    </row>
    <row r="924" spans="1:23" x14ac:dyDescent="0.35">
      <c r="A924" t="s">
        <v>1291</v>
      </c>
      <c r="B924" s="1">
        <v>45766</v>
      </c>
      <c r="C924" t="s">
        <v>446</v>
      </c>
      <c r="D924" t="s">
        <v>38</v>
      </c>
      <c r="E924" t="s">
        <v>46</v>
      </c>
      <c r="F924" t="s">
        <v>39</v>
      </c>
      <c r="G924" t="s">
        <v>40</v>
      </c>
      <c r="H924" s="7">
        <v>5</v>
      </c>
      <c r="I924" s="4">
        <v>31426.3</v>
      </c>
      <c r="J924" s="23">
        <v>0.15</v>
      </c>
      <c r="K924" s="4">
        <v>26712.36</v>
      </c>
      <c r="L924" s="4">
        <v>22842.77</v>
      </c>
      <c r="M924" s="4">
        <v>3869.59</v>
      </c>
      <c r="N924" t="s">
        <v>25</v>
      </c>
      <c r="O924" s="7">
        <v>46</v>
      </c>
      <c r="P924" s="2">
        <v>45767.916666666664</v>
      </c>
      <c r="Q924" t="s">
        <v>26</v>
      </c>
      <c r="R924">
        <v>4</v>
      </c>
      <c r="S924" t="s">
        <v>27</v>
      </c>
      <c r="T924">
        <f>IF(orders[[#This Row],[Status]]="Completed",1,0)</f>
        <v>1</v>
      </c>
      <c r="U924">
        <f>IF(orders[[#This Row],[Status]]="Pending",1,0)</f>
        <v>0</v>
      </c>
      <c r="V924">
        <f>IF(orders[[#This Row],[Status]]="Delayed",1,0)</f>
        <v>0</v>
      </c>
      <c r="W924">
        <f>IF(orders[[#This Row],[Status]]="Cancelled",1,0)</f>
        <v>0</v>
      </c>
    </row>
    <row r="925" spans="1:23" x14ac:dyDescent="0.35">
      <c r="A925" t="s">
        <v>1292</v>
      </c>
      <c r="B925" s="1">
        <v>45803</v>
      </c>
      <c r="C925" t="s">
        <v>853</v>
      </c>
      <c r="D925" t="s">
        <v>58</v>
      </c>
      <c r="E925" t="s">
        <v>31</v>
      </c>
      <c r="F925" t="s">
        <v>23</v>
      </c>
      <c r="G925" t="s">
        <v>136</v>
      </c>
      <c r="H925" s="7">
        <v>2</v>
      </c>
      <c r="I925" s="4">
        <v>4510.8</v>
      </c>
      <c r="J925" s="23">
        <v>0.05</v>
      </c>
      <c r="K925" s="4">
        <v>4285.26</v>
      </c>
      <c r="L925" s="4">
        <v>2857.84</v>
      </c>
      <c r="M925" s="4">
        <v>1427.42</v>
      </c>
      <c r="N925" t="s">
        <v>85</v>
      </c>
      <c r="O925" s="7">
        <v>85</v>
      </c>
      <c r="P925" s="2">
        <v>45806.541666666664</v>
      </c>
      <c r="Q925" t="s">
        <v>74</v>
      </c>
      <c r="R925">
        <v>5</v>
      </c>
      <c r="S925" t="s">
        <v>27</v>
      </c>
      <c r="T925">
        <f>IF(orders[[#This Row],[Status]]="Completed",1,0)</f>
        <v>0</v>
      </c>
      <c r="U925">
        <f>IF(orders[[#This Row],[Status]]="Pending",1,0)</f>
        <v>0</v>
      </c>
      <c r="V925">
        <f>IF(orders[[#This Row],[Status]]="Delayed",1,0)</f>
        <v>1</v>
      </c>
      <c r="W925">
        <f>IF(orders[[#This Row],[Status]]="Cancelled",1,0)</f>
        <v>0</v>
      </c>
    </row>
    <row r="926" spans="1:23" x14ac:dyDescent="0.35">
      <c r="A926" t="s">
        <v>1293</v>
      </c>
      <c r="B926" s="1">
        <v>45768</v>
      </c>
      <c r="C926" t="s">
        <v>706</v>
      </c>
      <c r="D926" t="s">
        <v>68</v>
      </c>
      <c r="E926" t="s">
        <v>113</v>
      </c>
      <c r="F926" t="s">
        <v>23</v>
      </c>
      <c r="G926" t="s">
        <v>69</v>
      </c>
      <c r="H926" s="7">
        <v>6</v>
      </c>
      <c r="I926" s="4">
        <v>25489.62</v>
      </c>
      <c r="J926" s="23">
        <v>0.25</v>
      </c>
      <c r="K926" s="4">
        <v>19117.22</v>
      </c>
      <c r="L926" s="4">
        <v>14688.63</v>
      </c>
      <c r="M926" s="4">
        <v>4428.59</v>
      </c>
      <c r="N926" t="s">
        <v>98</v>
      </c>
      <c r="O926" s="7">
        <v>6</v>
      </c>
      <c r="P926" s="2">
        <v>45768.25</v>
      </c>
      <c r="Q926" t="s">
        <v>26</v>
      </c>
      <c r="R926">
        <v>4</v>
      </c>
      <c r="S926" t="s">
        <v>27</v>
      </c>
      <c r="T926">
        <f>IF(orders[[#This Row],[Status]]="Completed",1,0)</f>
        <v>0</v>
      </c>
      <c r="U926">
        <f>IF(orders[[#This Row],[Status]]="Pending",1,0)</f>
        <v>1</v>
      </c>
      <c r="V926">
        <f>IF(orders[[#This Row],[Status]]="Delayed",1,0)</f>
        <v>0</v>
      </c>
      <c r="W926">
        <f>IF(orders[[#This Row],[Status]]="Cancelled",1,0)</f>
        <v>0</v>
      </c>
    </row>
    <row r="927" spans="1:23" x14ac:dyDescent="0.35">
      <c r="A927" t="s">
        <v>1294</v>
      </c>
      <c r="B927" s="1">
        <v>45885</v>
      </c>
      <c r="C927" t="s">
        <v>385</v>
      </c>
      <c r="D927" t="s">
        <v>68</v>
      </c>
      <c r="E927" t="s">
        <v>22</v>
      </c>
      <c r="F927" t="s">
        <v>39</v>
      </c>
      <c r="G927" t="s">
        <v>40</v>
      </c>
      <c r="H927" s="7">
        <v>3</v>
      </c>
      <c r="I927" s="4">
        <v>2342.1</v>
      </c>
      <c r="J927" s="23">
        <v>0</v>
      </c>
      <c r="K927" s="4">
        <v>2342.1</v>
      </c>
      <c r="L927" s="4">
        <v>2060.66</v>
      </c>
      <c r="M927" s="4">
        <v>281.44</v>
      </c>
      <c r="N927" t="s">
        <v>25</v>
      </c>
      <c r="O927" s="7">
        <v>47</v>
      </c>
      <c r="P927" s="2">
        <v>45886.958333333336</v>
      </c>
      <c r="Q927" t="s">
        <v>80</v>
      </c>
      <c r="R927">
        <v>8</v>
      </c>
      <c r="S927" t="s">
        <v>42</v>
      </c>
      <c r="T927">
        <f>IF(orders[[#This Row],[Status]]="Completed",1,0)</f>
        <v>1</v>
      </c>
      <c r="U927">
        <f>IF(orders[[#This Row],[Status]]="Pending",1,0)</f>
        <v>0</v>
      </c>
      <c r="V927">
        <f>IF(orders[[#This Row],[Status]]="Delayed",1,0)</f>
        <v>0</v>
      </c>
      <c r="W927">
        <f>IF(orders[[#This Row],[Status]]="Cancelled",1,0)</f>
        <v>0</v>
      </c>
    </row>
    <row r="928" spans="1:23" x14ac:dyDescent="0.35">
      <c r="A928" t="s">
        <v>1295</v>
      </c>
      <c r="B928" s="1">
        <v>45768</v>
      </c>
      <c r="C928" t="s">
        <v>1296</v>
      </c>
      <c r="D928" t="s">
        <v>63</v>
      </c>
      <c r="E928" t="s">
        <v>31</v>
      </c>
      <c r="F928" t="s">
        <v>72</v>
      </c>
      <c r="G928" t="s">
        <v>73</v>
      </c>
      <c r="H928" s="7">
        <v>2</v>
      </c>
      <c r="I928" s="4">
        <v>10618.38</v>
      </c>
      <c r="J928" s="23">
        <v>0.05</v>
      </c>
      <c r="K928" s="4">
        <v>10087.459999999999</v>
      </c>
      <c r="L928" s="4">
        <v>6423.83</v>
      </c>
      <c r="M928" s="4">
        <v>3663.63</v>
      </c>
      <c r="N928" t="s">
        <v>48</v>
      </c>
      <c r="O928" s="7">
        <v>24</v>
      </c>
      <c r="P928" s="2">
        <v>45769</v>
      </c>
      <c r="Q928" t="s">
        <v>26</v>
      </c>
      <c r="R928">
        <v>4</v>
      </c>
      <c r="S928" t="s">
        <v>27</v>
      </c>
      <c r="T928">
        <f>IF(orders[[#This Row],[Status]]="Completed",1,0)</f>
        <v>0</v>
      </c>
      <c r="U928">
        <f>IF(orders[[#This Row],[Status]]="Pending",1,0)</f>
        <v>0</v>
      </c>
      <c r="V928">
        <f>IF(orders[[#This Row],[Status]]="Delayed",1,0)</f>
        <v>0</v>
      </c>
      <c r="W928">
        <f>IF(orders[[#This Row],[Status]]="Cancelled",1,0)</f>
        <v>1</v>
      </c>
    </row>
    <row r="929" spans="1:23" x14ac:dyDescent="0.35">
      <c r="A929" t="s">
        <v>1297</v>
      </c>
      <c r="B929" s="1">
        <v>45691</v>
      </c>
      <c r="C929" t="s">
        <v>424</v>
      </c>
      <c r="D929" t="s">
        <v>38</v>
      </c>
      <c r="E929" t="s">
        <v>59</v>
      </c>
      <c r="F929" t="s">
        <v>32</v>
      </c>
      <c r="G929" t="s">
        <v>64</v>
      </c>
      <c r="H929" s="7">
        <v>6</v>
      </c>
      <c r="I929" s="4">
        <v>34259.46</v>
      </c>
      <c r="J929" s="23">
        <v>0</v>
      </c>
      <c r="K929" s="4">
        <v>34259.46</v>
      </c>
      <c r="L929" s="4">
        <v>25355.66</v>
      </c>
      <c r="M929" s="4">
        <v>8903.7999999999993</v>
      </c>
      <c r="N929" t="s">
        <v>25</v>
      </c>
      <c r="O929" s="7">
        <v>23</v>
      </c>
      <c r="P929" s="2">
        <v>45691.958333333336</v>
      </c>
      <c r="Q929" t="s">
        <v>139</v>
      </c>
      <c r="R929">
        <v>2</v>
      </c>
      <c r="S929" t="s">
        <v>55</v>
      </c>
      <c r="T929">
        <f>IF(orders[[#This Row],[Status]]="Completed",1,0)</f>
        <v>1</v>
      </c>
      <c r="U929">
        <f>IF(orders[[#This Row],[Status]]="Pending",1,0)</f>
        <v>0</v>
      </c>
      <c r="V929">
        <f>IF(orders[[#This Row],[Status]]="Delayed",1,0)</f>
        <v>0</v>
      </c>
      <c r="W929">
        <f>IF(orders[[#This Row],[Status]]="Cancelled",1,0)</f>
        <v>0</v>
      </c>
    </row>
    <row r="930" spans="1:23" x14ac:dyDescent="0.35">
      <c r="A930" t="s">
        <v>1298</v>
      </c>
      <c r="B930" s="1">
        <v>45768</v>
      </c>
      <c r="C930" t="s">
        <v>432</v>
      </c>
      <c r="D930" t="s">
        <v>51</v>
      </c>
      <c r="E930" t="s">
        <v>52</v>
      </c>
      <c r="F930" t="s">
        <v>32</v>
      </c>
      <c r="G930" t="s">
        <v>33</v>
      </c>
      <c r="H930" s="7">
        <v>4</v>
      </c>
      <c r="I930" s="4">
        <v>13247.72</v>
      </c>
      <c r="J930" s="23">
        <v>0.05</v>
      </c>
      <c r="K930" s="4">
        <v>12585.33</v>
      </c>
      <c r="L930" s="4">
        <v>9814.35</v>
      </c>
      <c r="M930" s="4">
        <v>2770.98</v>
      </c>
      <c r="N930" t="s">
        <v>25</v>
      </c>
      <c r="O930" s="7">
        <v>9</v>
      </c>
      <c r="P930" s="2">
        <v>45768.375</v>
      </c>
      <c r="Q930" t="s">
        <v>26</v>
      </c>
      <c r="R930">
        <v>4</v>
      </c>
      <c r="S930" t="s">
        <v>27</v>
      </c>
      <c r="T930">
        <f>IF(orders[[#This Row],[Status]]="Completed",1,0)</f>
        <v>1</v>
      </c>
      <c r="U930">
        <f>IF(orders[[#This Row],[Status]]="Pending",1,0)</f>
        <v>0</v>
      </c>
      <c r="V930">
        <f>IF(orders[[#This Row],[Status]]="Delayed",1,0)</f>
        <v>0</v>
      </c>
      <c r="W930">
        <f>IF(orders[[#This Row],[Status]]="Cancelled",1,0)</f>
        <v>0</v>
      </c>
    </row>
    <row r="931" spans="1:23" x14ac:dyDescent="0.35">
      <c r="A931" t="s">
        <v>1299</v>
      </c>
      <c r="B931" s="1">
        <v>45921</v>
      </c>
      <c r="C931" t="s">
        <v>275</v>
      </c>
      <c r="D931" t="s">
        <v>30</v>
      </c>
      <c r="E931" t="s">
        <v>46</v>
      </c>
      <c r="F931" t="s">
        <v>23</v>
      </c>
      <c r="G931" t="s">
        <v>24</v>
      </c>
      <c r="H931" s="7">
        <v>5</v>
      </c>
      <c r="I931" s="4">
        <v>40597.15</v>
      </c>
      <c r="J931" s="23">
        <v>0.25</v>
      </c>
      <c r="K931" s="4">
        <v>30447.86</v>
      </c>
      <c r="L931" s="4">
        <v>18400.46</v>
      </c>
      <c r="M931" s="4">
        <v>12047.4</v>
      </c>
      <c r="N931" t="s">
        <v>25</v>
      </c>
      <c r="O931" s="7">
        <v>11</v>
      </c>
      <c r="P931" s="2">
        <v>45921.458333333336</v>
      </c>
      <c r="Q931" t="s">
        <v>41</v>
      </c>
      <c r="R931">
        <v>9</v>
      </c>
      <c r="S931" t="s">
        <v>42</v>
      </c>
      <c r="T931">
        <f>IF(orders[[#This Row],[Status]]="Completed",1,0)</f>
        <v>1</v>
      </c>
      <c r="U931">
        <f>IF(orders[[#This Row],[Status]]="Pending",1,0)</f>
        <v>0</v>
      </c>
      <c r="V931">
        <f>IF(orders[[#This Row],[Status]]="Delayed",1,0)</f>
        <v>0</v>
      </c>
      <c r="W931">
        <f>IF(orders[[#This Row],[Status]]="Cancelled",1,0)</f>
        <v>0</v>
      </c>
    </row>
    <row r="932" spans="1:23" x14ac:dyDescent="0.35">
      <c r="A932" t="s">
        <v>1300</v>
      </c>
      <c r="B932" s="1">
        <v>45893</v>
      </c>
      <c r="C932" t="s">
        <v>706</v>
      </c>
      <c r="D932" t="s">
        <v>68</v>
      </c>
      <c r="E932" t="s">
        <v>92</v>
      </c>
      <c r="F932" t="s">
        <v>39</v>
      </c>
      <c r="G932" t="s">
        <v>93</v>
      </c>
      <c r="H932" s="7">
        <v>1</v>
      </c>
      <c r="I932" s="4">
        <v>7449.31</v>
      </c>
      <c r="J932" s="23">
        <v>0.2</v>
      </c>
      <c r="K932" s="4">
        <v>5959.45</v>
      </c>
      <c r="L932" s="4">
        <v>3570.08</v>
      </c>
      <c r="M932" s="4">
        <v>2389.37</v>
      </c>
      <c r="N932" t="s">
        <v>25</v>
      </c>
      <c r="O932" s="7">
        <v>48</v>
      </c>
      <c r="P932" s="2">
        <v>45895</v>
      </c>
      <c r="Q932" t="s">
        <v>80</v>
      </c>
      <c r="R932">
        <v>8</v>
      </c>
      <c r="S932" t="s">
        <v>42</v>
      </c>
      <c r="T932">
        <f>IF(orders[[#This Row],[Status]]="Completed",1,0)</f>
        <v>1</v>
      </c>
      <c r="U932">
        <f>IF(orders[[#This Row],[Status]]="Pending",1,0)</f>
        <v>0</v>
      </c>
      <c r="V932">
        <f>IF(orders[[#This Row],[Status]]="Delayed",1,0)</f>
        <v>0</v>
      </c>
      <c r="W932">
        <f>IF(orders[[#This Row],[Status]]="Cancelled",1,0)</f>
        <v>0</v>
      </c>
    </row>
    <row r="933" spans="1:23" x14ac:dyDescent="0.35">
      <c r="A933" t="s">
        <v>1301</v>
      </c>
      <c r="B933" s="1">
        <v>45740</v>
      </c>
      <c r="C933" t="s">
        <v>873</v>
      </c>
      <c r="D933" t="s">
        <v>30</v>
      </c>
      <c r="E933" t="s">
        <v>92</v>
      </c>
      <c r="F933" t="s">
        <v>32</v>
      </c>
      <c r="G933" t="s">
        <v>33</v>
      </c>
      <c r="H933" s="7">
        <v>7</v>
      </c>
      <c r="I933" s="4">
        <v>42429.17</v>
      </c>
      <c r="J933" s="23">
        <v>0</v>
      </c>
      <c r="K933" s="4">
        <v>42429.17</v>
      </c>
      <c r="L933" s="4">
        <v>29725.1</v>
      </c>
      <c r="M933" s="4">
        <v>12704.07</v>
      </c>
      <c r="N933" t="s">
        <v>25</v>
      </c>
      <c r="O933" s="7">
        <v>37</v>
      </c>
      <c r="P933" s="2">
        <v>45741.541666666664</v>
      </c>
      <c r="Q933" t="s">
        <v>54</v>
      </c>
      <c r="R933">
        <v>3</v>
      </c>
      <c r="S933" t="s">
        <v>55</v>
      </c>
      <c r="T933">
        <f>IF(orders[[#This Row],[Status]]="Completed",1,0)</f>
        <v>1</v>
      </c>
      <c r="U933">
        <f>IF(orders[[#This Row],[Status]]="Pending",1,0)</f>
        <v>0</v>
      </c>
      <c r="V933">
        <f>IF(orders[[#This Row],[Status]]="Delayed",1,0)</f>
        <v>0</v>
      </c>
      <c r="W933">
        <f>IF(orders[[#This Row],[Status]]="Cancelled",1,0)</f>
        <v>0</v>
      </c>
    </row>
    <row r="934" spans="1:23" x14ac:dyDescent="0.35">
      <c r="A934" t="s">
        <v>1302</v>
      </c>
      <c r="B934" s="1">
        <v>45699</v>
      </c>
      <c r="C934" t="s">
        <v>415</v>
      </c>
      <c r="D934" t="s">
        <v>68</v>
      </c>
      <c r="E934" t="s">
        <v>52</v>
      </c>
      <c r="F934" t="s">
        <v>32</v>
      </c>
      <c r="G934" t="s">
        <v>64</v>
      </c>
      <c r="H934" s="7">
        <v>1</v>
      </c>
      <c r="I934" s="4">
        <v>6108.99</v>
      </c>
      <c r="J934" s="23">
        <v>0.1</v>
      </c>
      <c r="K934" s="4">
        <v>5498.09</v>
      </c>
      <c r="L934" s="4">
        <v>3723.96</v>
      </c>
      <c r="M934" s="4">
        <v>1774.13</v>
      </c>
      <c r="N934" t="s">
        <v>25</v>
      </c>
      <c r="O934" s="7">
        <v>35</v>
      </c>
      <c r="P934" s="2">
        <v>45700.458333333336</v>
      </c>
      <c r="Q934" t="s">
        <v>139</v>
      </c>
      <c r="R934">
        <v>2</v>
      </c>
      <c r="S934" t="s">
        <v>55</v>
      </c>
      <c r="T934">
        <f>IF(orders[[#This Row],[Status]]="Completed",1,0)</f>
        <v>1</v>
      </c>
      <c r="U934">
        <f>IF(orders[[#This Row],[Status]]="Pending",1,0)</f>
        <v>0</v>
      </c>
      <c r="V934">
        <f>IF(orders[[#This Row],[Status]]="Delayed",1,0)</f>
        <v>0</v>
      </c>
      <c r="W934">
        <f>IF(orders[[#This Row],[Status]]="Cancelled",1,0)</f>
        <v>0</v>
      </c>
    </row>
    <row r="935" spans="1:23" x14ac:dyDescent="0.35">
      <c r="A935" t="s">
        <v>1303</v>
      </c>
      <c r="B935" s="1">
        <v>45758</v>
      </c>
      <c r="C935" t="s">
        <v>469</v>
      </c>
      <c r="D935" t="s">
        <v>51</v>
      </c>
      <c r="E935" t="s">
        <v>59</v>
      </c>
      <c r="F935" t="s">
        <v>72</v>
      </c>
      <c r="G935" t="s">
        <v>73</v>
      </c>
      <c r="H935" s="7">
        <v>5</v>
      </c>
      <c r="I935" s="4">
        <v>11287.75</v>
      </c>
      <c r="J935" s="23">
        <v>0.1</v>
      </c>
      <c r="K935" s="4">
        <v>10158.98</v>
      </c>
      <c r="L935" s="4">
        <v>7981.82</v>
      </c>
      <c r="M935" s="4">
        <v>2177.16</v>
      </c>
      <c r="N935" t="s">
        <v>25</v>
      </c>
      <c r="O935" s="7">
        <v>45</v>
      </c>
      <c r="P935" s="2">
        <v>45759.875</v>
      </c>
      <c r="Q935" t="s">
        <v>26</v>
      </c>
      <c r="R935">
        <v>4</v>
      </c>
      <c r="S935" t="s">
        <v>27</v>
      </c>
      <c r="T935">
        <f>IF(orders[[#This Row],[Status]]="Completed",1,0)</f>
        <v>1</v>
      </c>
      <c r="U935">
        <f>IF(orders[[#This Row],[Status]]="Pending",1,0)</f>
        <v>0</v>
      </c>
      <c r="V935">
        <f>IF(orders[[#This Row],[Status]]="Delayed",1,0)</f>
        <v>0</v>
      </c>
      <c r="W935">
        <f>IF(orders[[#This Row],[Status]]="Cancelled",1,0)</f>
        <v>0</v>
      </c>
    </row>
    <row r="936" spans="1:23" x14ac:dyDescent="0.35">
      <c r="A936" t="s">
        <v>1304</v>
      </c>
      <c r="B936" s="1">
        <v>45663</v>
      </c>
      <c r="C936" t="s">
        <v>787</v>
      </c>
      <c r="D936" t="s">
        <v>58</v>
      </c>
      <c r="E936" t="s">
        <v>22</v>
      </c>
      <c r="F936" t="s">
        <v>83</v>
      </c>
      <c r="G936" t="s">
        <v>84</v>
      </c>
      <c r="H936" s="7">
        <v>3</v>
      </c>
      <c r="I936" s="4">
        <v>16903.23</v>
      </c>
      <c r="J936" s="23">
        <v>0.05</v>
      </c>
      <c r="K936" s="4">
        <v>16058.07</v>
      </c>
      <c r="L936" s="4">
        <v>9200.2800000000007</v>
      </c>
      <c r="M936" s="4">
        <v>6857.79</v>
      </c>
      <c r="N936" t="s">
        <v>25</v>
      </c>
      <c r="O936" s="7">
        <v>7</v>
      </c>
      <c r="P936" s="2">
        <v>45663.291666666664</v>
      </c>
      <c r="Q936" t="s">
        <v>65</v>
      </c>
      <c r="R936">
        <v>1</v>
      </c>
      <c r="S936" t="s">
        <v>55</v>
      </c>
      <c r="T936">
        <f>IF(orders[[#This Row],[Status]]="Completed",1,0)</f>
        <v>1</v>
      </c>
      <c r="U936">
        <f>IF(orders[[#This Row],[Status]]="Pending",1,0)</f>
        <v>0</v>
      </c>
      <c r="V936">
        <f>IF(orders[[#This Row],[Status]]="Delayed",1,0)</f>
        <v>0</v>
      </c>
      <c r="W936">
        <f>IF(orders[[#This Row],[Status]]="Cancelled",1,0)</f>
        <v>0</v>
      </c>
    </row>
    <row r="937" spans="1:23" x14ac:dyDescent="0.35">
      <c r="A937" t="s">
        <v>1305</v>
      </c>
      <c r="B937" s="1">
        <v>45837</v>
      </c>
      <c r="C937" t="s">
        <v>332</v>
      </c>
      <c r="D937" t="s">
        <v>45</v>
      </c>
      <c r="E937" t="s">
        <v>78</v>
      </c>
      <c r="F937" t="s">
        <v>23</v>
      </c>
      <c r="G937" t="s">
        <v>136</v>
      </c>
      <c r="H937" s="7">
        <v>2</v>
      </c>
      <c r="I937" s="4">
        <v>3610.04</v>
      </c>
      <c r="J937" s="23">
        <v>0</v>
      </c>
      <c r="K937" s="4">
        <v>3610.04</v>
      </c>
      <c r="L937" s="4">
        <v>3143.68</v>
      </c>
      <c r="M937" s="4">
        <v>466.36</v>
      </c>
      <c r="N937" t="s">
        <v>25</v>
      </c>
      <c r="O937" s="7">
        <v>47</v>
      </c>
      <c r="P937" s="2">
        <v>45838.958333333336</v>
      </c>
      <c r="Q937" t="s">
        <v>99</v>
      </c>
      <c r="R937">
        <v>6</v>
      </c>
      <c r="S937" t="s">
        <v>27</v>
      </c>
      <c r="T937">
        <f>IF(orders[[#This Row],[Status]]="Completed",1,0)</f>
        <v>1</v>
      </c>
      <c r="U937">
        <f>IF(orders[[#This Row],[Status]]="Pending",1,0)</f>
        <v>0</v>
      </c>
      <c r="V937">
        <f>IF(orders[[#This Row],[Status]]="Delayed",1,0)</f>
        <v>0</v>
      </c>
      <c r="W937">
        <f>IF(orders[[#This Row],[Status]]="Cancelled",1,0)</f>
        <v>0</v>
      </c>
    </row>
    <row r="938" spans="1:23" x14ac:dyDescent="0.35">
      <c r="A938" t="s">
        <v>1306</v>
      </c>
      <c r="B938" s="1">
        <v>45939</v>
      </c>
      <c r="C938" t="s">
        <v>71</v>
      </c>
      <c r="D938" t="s">
        <v>58</v>
      </c>
      <c r="E938" t="s">
        <v>52</v>
      </c>
      <c r="F938" t="s">
        <v>23</v>
      </c>
      <c r="G938" t="s">
        <v>122</v>
      </c>
      <c r="H938" s="7">
        <v>3</v>
      </c>
      <c r="I938" s="4">
        <v>4057.29</v>
      </c>
      <c r="J938" s="23">
        <v>0.2</v>
      </c>
      <c r="K938" s="4">
        <v>3245.83</v>
      </c>
      <c r="L938" s="4">
        <v>1800.5</v>
      </c>
      <c r="M938" s="4">
        <v>1445.33</v>
      </c>
      <c r="N938" t="s">
        <v>85</v>
      </c>
      <c r="O938" s="7">
        <v>62</v>
      </c>
      <c r="P938" s="2">
        <v>45941.583333333336</v>
      </c>
      <c r="Q938" t="s">
        <v>116</v>
      </c>
      <c r="R938">
        <v>10</v>
      </c>
      <c r="S938" t="s">
        <v>35</v>
      </c>
      <c r="T938">
        <f>IF(orders[[#This Row],[Status]]="Completed",1,0)</f>
        <v>0</v>
      </c>
      <c r="U938">
        <f>IF(orders[[#This Row],[Status]]="Pending",1,0)</f>
        <v>0</v>
      </c>
      <c r="V938">
        <f>IF(orders[[#This Row],[Status]]="Delayed",1,0)</f>
        <v>1</v>
      </c>
      <c r="W938">
        <f>IF(orders[[#This Row],[Status]]="Cancelled",1,0)</f>
        <v>0</v>
      </c>
    </row>
    <row r="939" spans="1:23" x14ac:dyDescent="0.35">
      <c r="A939" t="s">
        <v>1307</v>
      </c>
      <c r="B939" s="1">
        <v>45977</v>
      </c>
      <c r="C939" t="s">
        <v>880</v>
      </c>
      <c r="D939" t="s">
        <v>68</v>
      </c>
      <c r="E939" t="s">
        <v>59</v>
      </c>
      <c r="F939" t="s">
        <v>83</v>
      </c>
      <c r="G939" t="s">
        <v>107</v>
      </c>
      <c r="H939" s="7">
        <v>1</v>
      </c>
      <c r="I939" s="4">
        <v>8495.56</v>
      </c>
      <c r="J939" s="23">
        <v>0.25</v>
      </c>
      <c r="K939" s="4">
        <v>6371.67</v>
      </c>
      <c r="L939" s="4">
        <v>4768.78</v>
      </c>
      <c r="M939" s="4">
        <v>1602.89</v>
      </c>
      <c r="N939" t="s">
        <v>85</v>
      </c>
      <c r="O939" s="7">
        <v>78</v>
      </c>
      <c r="P939" s="2">
        <v>45980.25</v>
      </c>
      <c r="Q939" t="s">
        <v>86</v>
      </c>
      <c r="R939">
        <v>11</v>
      </c>
      <c r="S939" t="s">
        <v>35</v>
      </c>
      <c r="T939">
        <f>IF(orders[[#This Row],[Status]]="Completed",1,0)</f>
        <v>0</v>
      </c>
      <c r="U939">
        <f>IF(orders[[#This Row],[Status]]="Pending",1,0)</f>
        <v>0</v>
      </c>
      <c r="V939">
        <f>IF(orders[[#This Row],[Status]]="Delayed",1,0)</f>
        <v>1</v>
      </c>
      <c r="W939">
        <f>IF(orders[[#This Row],[Status]]="Cancelled",1,0)</f>
        <v>0</v>
      </c>
    </row>
    <row r="940" spans="1:23" x14ac:dyDescent="0.35">
      <c r="A940" t="s">
        <v>1308</v>
      </c>
      <c r="B940" s="1">
        <v>45883</v>
      </c>
      <c r="C940" t="s">
        <v>530</v>
      </c>
      <c r="D940" t="s">
        <v>77</v>
      </c>
      <c r="E940" t="s">
        <v>31</v>
      </c>
      <c r="F940" t="s">
        <v>32</v>
      </c>
      <c r="G940" t="s">
        <v>79</v>
      </c>
      <c r="H940" s="7">
        <v>7</v>
      </c>
      <c r="I940" s="4">
        <v>37427.879999999997</v>
      </c>
      <c r="J940" s="23">
        <v>0.25</v>
      </c>
      <c r="K940" s="4">
        <v>28070.91</v>
      </c>
      <c r="L940" s="4">
        <v>20650.89</v>
      </c>
      <c r="M940" s="4">
        <v>7420.02</v>
      </c>
      <c r="N940" t="s">
        <v>98</v>
      </c>
      <c r="O940" s="7">
        <v>22</v>
      </c>
      <c r="P940" s="2">
        <v>45883.916666666664</v>
      </c>
      <c r="Q940" t="s">
        <v>80</v>
      </c>
      <c r="R940">
        <v>8</v>
      </c>
      <c r="S940" t="s">
        <v>42</v>
      </c>
      <c r="T940">
        <f>IF(orders[[#This Row],[Status]]="Completed",1,0)</f>
        <v>0</v>
      </c>
      <c r="U940">
        <f>IF(orders[[#This Row],[Status]]="Pending",1,0)</f>
        <v>1</v>
      </c>
      <c r="V940">
        <f>IF(orders[[#This Row],[Status]]="Delayed",1,0)</f>
        <v>0</v>
      </c>
      <c r="W940">
        <f>IF(orders[[#This Row],[Status]]="Cancelled",1,0)</f>
        <v>0</v>
      </c>
    </row>
    <row r="941" spans="1:23" x14ac:dyDescent="0.35">
      <c r="A941" t="s">
        <v>1309</v>
      </c>
      <c r="B941" s="1">
        <v>45972</v>
      </c>
      <c r="C941" t="s">
        <v>1310</v>
      </c>
      <c r="D941" t="s">
        <v>45</v>
      </c>
      <c r="E941" t="s">
        <v>22</v>
      </c>
      <c r="F941" t="s">
        <v>72</v>
      </c>
      <c r="G941" t="s">
        <v>104</v>
      </c>
      <c r="H941" s="7">
        <v>6</v>
      </c>
      <c r="I941" s="4">
        <v>22492.5</v>
      </c>
      <c r="J941" s="23">
        <v>0.15</v>
      </c>
      <c r="K941" s="4">
        <v>19118.62</v>
      </c>
      <c r="L941" s="4">
        <v>11365.18</v>
      </c>
      <c r="M941" s="4">
        <v>7753.44</v>
      </c>
      <c r="N941" t="s">
        <v>85</v>
      </c>
      <c r="O941" s="7">
        <v>63</v>
      </c>
      <c r="P941" s="2">
        <v>45974.625</v>
      </c>
      <c r="Q941" t="s">
        <v>86</v>
      </c>
      <c r="R941">
        <v>11</v>
      </c>
      <c r="S941" t="s">
        <v>35</v>
      </c>
      <c r="T941">
        <f>IF(orders[[#This Row],[Status]]="Completed",1,0)</f>
        <v>0</v>
      </c>
      <c r="U941">
        <f>IF(orders[[#This Row],[Status]]="Pending",1,0)</f>
        <v>0</v>
      </c>
      <c r="V941">
        <f>IF(orders[[#This Row],[Status]]="Delayed",1,0)</f>
        <v>1</v>
      </c>
      <c r="W941">
        <f>IF(orders[[#This Row],[Status]]="Cancelled",1,0)</f>
        <v>0</v>
      </c>
    </row>
    <row r="942" spans="1:23" x14ac:dyDescent="0.35">
      <c r="A942" t="s">
        <v>1311</v>
      </c>
      <c r="B942" s="1">
        <v>46022</v>
      </c>
      <c r="C942" t="s">
        <v>483</v>
      </c>
      <c r="D942" t="s">
        <v>45</v>
      </c>
      <c r="E942" t="s">
        <v>78</v>
      </c>
      <c r="F942" t="s">
        <v>72</v>
      </c>
      <c r="G942" t="s">
        <v>129</v>
      </c>
      <c r="H942" s="7">
        <v>7</v>
      </c>
      <c r="I942" s="4">
        <v>17893.189999999999</v>
      </c>
      <c r="J942" s="23">
        <v>0.1</v>
      </c>
      <c r="K942" s="4">
        <v>16103.87</v>
      </c>
      <c r="L942" s="4">
        <v>9659.14</v>
      </c>
      <c r="M942" s="4">
        <v>6444.73</v>
      </c>
      <c r="N942" t="s">
        <v>25</v>
      </c>
      <c r="O942" s="7">
        <v>29</v>
      </c>
      <c r="P942" s="2">
        <v>46023.208333333336</v>
      </c>
      <c r="Q942" t="s">
        <v>34</v>
      </c>
      <c r="R942">
        <v>12</v>
      </c>
      <c r="S942" t="s">
        <v>35</v>
      </c>
      <c r="T942">
        <f>IF(orders[[#This Row],[Status]]="Completed",1,0)</f>
        <v>1</v>
      </c>
      <c r="U942">
        <f>IF(orders[[#This Row],[Status]]="Pending",1,0)</f>
        <v>0</v>
      </c>
      <c r="V942">
        <f>IF(orders[[#This Row],[Status]]="Delayed",1,0)</f>
        <v>0</v>
      </c>
      <c r="W942">
        <f>IF(orders[[#This Row],[Status]]="Cancelled",1,0)</f>
        <v>0</v>
      </c>
    </row>
    <row r="943" spans="1:23" x14ac:dyDescent="0.35">
      <c r="A943" t="s">
        <v>1312</v>
      </c>
      <c r="B943" s="1">
        <v>45886</v>
      </c>
      <c r="C943" t="s">
        <v>1089</v>
      </c>
      <c r="D943" t="s">
        <v>30</v>
      </c>
      <c r="E943" t="s">
        <v>78</v>
      </c>
      <c r="F943" t="s">
        <v>23</v>
      </c>
      <c r="G943" t="s">
        <v>136</v>
      </c>
      <c r="H943" s="7">
        <v>5</v>
      </c>
      <c r="I943" s="4">
        <v>25963.7</v>
      </c>
      <c r="J943" s="23">
        <v>0.05</v>
      </c>
      <c r="K943" s="4">
        <v>24665.52</v>
      </c>
      <c r="L943" s="4">
        <v>20018.13</v>
      </c>
      <c r="M943" s="4">
        <v>4647.3900000000003</v>
      </c>
      <c r="N943" t="s">
        <v>48</v>
      </c>
      <c r="O943" s="7">
        <v>13</v>
      </c>
      <c r="P943" s="2">
        <v>45886.541666666664</v>
      </c>
      <c r="Q943" t="s">
        <v>80</v>
      </c>
      <c r="R943">
        <v>8</v>
      </c>
      <c r="S943" t="s">
        <v>42</v>
      </c>
      <c r="T943">
        <f>IF(orders[[#This Row],[Status]]="Completed",1,0)</f>
        <v>0</v>
      </c>
      <c r="U943">
        <f>IF(orders[[#This Row],[Status]]="Pending",1,0)</f>
        <v>0</v>
      </c>
      <c r="V943">
        <f>IF(orders[[#This Row],[Status]]="Delayed",1,0)</f>
        <v>0</v>
      </c>
      <c r="W943">
        <f>IF(orders[[#This Row],[Status]]="Cancelled",1,0)</f>
        <v>1</v>
      </c>
    </row>
    <row r="944" spans="1:23" x14ac:dyDescent="0.35">
      <c r="A944" t="s">
        <v>1313</v>
      </c>
      <c r="B944" s="1">
        <v>45946</v>
      </c>
      <c r="C944" t="s">
        <v>372</v>
      </c>
      <c r="D944" t="s">
        <v>38</v>
      </c>
      <c r="E944" t="s">
        <v>113</v>
      </c>
      <c r="F944" t="s">
        <v>72</v>
      </c>
      <c r="G944" t="s">
        <v>73</v>
      </c>
      <c r="H944" s="7">
        <v>5</v>
      </c>
      <c r="I944" s="4">
        <v>2820.55</v>
      </c>
      <c r="J944" s="23">
        <v>0</v>
      </c>
      <c r="K944" s="4">
        <v>2820.55</v>
      </c>
      <c r="L944" s="4">
        <v>2377.4299999999998</v>
      </c>
      <c r="M944" s="4">
        <v>443.12</v>
      </c>
      <c r="N944" t="s">
        <v>25</v>
      </c>
      <c r="O944" s="7">
        <v>39</v>
      </c>
      <c r="P944" s="2">
        <v>45947.625</v>
      </c>
      <c r="Q944" t="s">
        <v>116</v>
      </c>
      <c r="R944">
        <v>10</v>
      </c>
      <c r="S944" t="s">
        <v>35</v>
      </c>
      <c r="T944">
        <f>IF(orders[[#This Row],[Status]]="Completed",1,0)</f>
        <v>1</v>
      </c>
      <c r="U944">
        <f>IF(orders[[#This Row],[Status]]="Pending",1,0)</f>
        <v>0</v>
      </c>
      <c r="V944">
        <f>IF(orders[[#This Row],[Status]]="Delayed",1,0)</f>
        <v>0</v>
      </c>
      <c r="W944">
        <f>IF(orders[[#This Row],[Status]]="Cancelled",1,0)</f>
        <v>0</v>
      </c>
    </row>
    <row r="945" spans="1:23" x14ac:dyDescent="0.35">
      <c r="A945" t="s">
        <v>1314</v>
      </c>
      <c r="B945" s="1">
        <v>45807</v>
      </c>
      <c r="C945" t="s">
        <v>795</v>
      </c>
      <c r="D945" t="s">
        <v>30</v>
      </c>
      <c r="E945" t="s">
        <v>59</v>
      </c>
      <c r="F945" t="s">
        <v>83</v>
      </c>
      <c r="G945" t="s">
        <v>152</v>
      </c>
      <c r="H945" s="7">
        <v>3</v>
      </c>
      <c r="I945" s="4">
        <v>2821.77</v>
      </c>
      <c r="J945" s="23">
        <v>0</v>
      </c>
      <c r="K945" s="4">
        <v>2821.77</v>
      </c>
      <c r="L945" s="4">
        <v>1815.51</v>
      </c>
      <c r="M945" s="4">
        <v>1006.26</v>
      </c>
      <c r="N945" t="s">
        <v>98</v>
      </c>
      <c r="O945" s="7">
        <v>1</v>
      </c>
      <c r="P945" s="2">
        <v>45807.041666666664</v>
      </c>
      <c r="Q945" t="s">
        <v>74</v>
      </c>
      <c r="R945">
        <v>5</v>
      </c>
      <c r="S945" t="s">
        <v>27</v>
      </c>
      <c r="T945">
        <f>IF(orders[[#This Row],[Status]]="Completed",1,0)</f>
        <v>0</v>
      </c>
      <c r="U945">
        <f>IF(orders[[#This Row],[Status]]="Pending",1,0)</f>
        <v>1</v>
      </c>
      <c r="V945">
        <f>IF(orders[[#This Row],[Status]]="Delayed",1,0)</f>
        <v>0</v>
      </c>
      <c r="W945">
        <f>IF(orders[[#This Row],[Status]]="Cancelled",1,0)</f>
        <v>0</v>
      </c>
    </row>
    <row r="946" spans="1:23" x14ac:dyDescent="0.35">
      <c r="A946" t="s">
        <v>1315</v>
      </c>
      <c r="B946" s="1">
        <v>45934</v>
      </c>
      <c r="C946" t="s">
        <v>292</v>
      </c>
      <c r="D946" t="s">
        <v>30</v>
      </c>
      <c r="E946" t="s">
        <v>78</v>
      </c>
      <c r="F946" t="s">
        <v>32</v>
      </c>
      <c r="G946" t="s">
        <v>89</v>
      </c>
      <c r="H946" s="7">
        <v>6</v>
      </c>
      <c r="I946" s="4">
        <v>2546.1</v>
      </c>
      <c r="J946" s="23">
        <v>0.1</v>
      </c>
      <c r="K946" s="4">
        <v>2291.4899999999998</v>
      </c>
      <c r="L946" s="4">
        <v>1591.5</v>
      </c>
      <c r="M946" s="4">
        <v>699.99</v>
      </c>
      <c r="N946" t="s">
        <v>85</v>
      </c>
      <c r="O946" s="7">
        <v>56</v>
      </c>
      <c r="P946" s="2">
        <v>45936.333333333336</v>
      </c>
      <c r="Q946" t="s">
        <v>116</v>
      </c>
      <c r="R946">
        <v>10</v>
      </c>
      <c r="S946" t="s">
        <v>35</v>
      </c>
      <c r="T946">
        <f>IF(orders[[#This Row],[Status]]="Completed",1,0)</f>
        <v>0</v>
      </c>
      <c r="U946">
        <f>IF(orders[[#This Row],[Status]]="Pending",1,0)</f>
        <v>0</v>
      </c>
      <c r="V946">
        <f>IF(orders[[#This Row],[Status]]="Delayed",1,0)</f>
        <v>1</v>
      </c>
      <c r="W946">
        <f>IF(orders[[#This Row],[Status]]="Cancelled",1,0)</f>
        <v>0</v>
      </c>
    </row>
    <row r="947" spans="1:23" x14ac:dyDescent="0.35">
      <c r="A947" t="s">
        <v>1316</v>
      </c>
      <c r="B947" s="1">
        <v>45855</v>
      </c>
      <c r="C947" t="s">
        <v>811</v>
      </c>
      <c r="D947" t="s">
        <v>77</v>
      </c>
      <c r="E947" t="s">
        <v>92</v>
      </c>
      <c r="F947" t="s">
        <v>83</v>
      </c>
      <c r="G947" t="s">
        <v>152</v>
      </c>
      <c r="H947" s="7">
        <v>3</v>
      </c>
      <c r="I947" s="4">
        <v>12954.21</v>
      </c>
      <c r="J947" s="23">
        <v>0.15</v>
      </c>
      <c r="K947" s="4">
        <v>11011.08</v>
      </c>
      <c r="L947" s="4">
        <v>7346.02</v>
      </c>
      <c r="M947" s="4">
        <v>3665.06</v>
      </c>
      <c r="N947" t="s">
        <v>85</v>
      </c>
      <c r="O947" s="7">
        <v>67</v>
      </c>
      <c r="P947" s="2">
        <v>45857.791666666664</v>
      </c>
      <c r="Q947" t="s">
        <v>60</v>
      </c>
      <c r="R947">
        <v>7</v>
      </c>
      <c r="S947" t="s">
        <v>42</v>
      </c>
      <c r="T947">
        <f>IF(orders[[#This Row],[Status]]="Completed",1,0)</f>
        <v>0</v>
      </c>
      <c r="U947">
        <f>IF(orders[[#This Row],[Status]]="Pending",1,0)</f>
        <v>0</v>
      </c>
      <c r="V947">
        <f>IF(orders[[#This Row],[Status]]="Delayed",1,0)</f>
        <v>1</v>
      </c>
      <c r="W947">
        <f>IF(orders[[#This Row],[Status]]="Cancelled",1,0)</f>
        <v>0</v>
      </c>
    </row>
    <row r="948" spans="1:23" x14ac:dyDescent="0.35">
      <c r="A948" t="s">
        <v>1317</v>
      </c>
      <c r="B948" s="1">
        <v>45727</v>
      </c>
      <c r="C948" t="s">
        <v>126</v>
      </c>
      <c r="D948" t="s">
        <v>58</v>
      </c>
      <c r="E948" t="s">
        <v>92</v>
      </c>
      <c r="F948" t="s">
        <v>39</v>
      </c>
      <c r="G948" t="s">
        <v>40</v>
      </c>
      <c r="H948" s="7">
        <v>2</v>
      </c>
      <c r="I948" s="4">
        <v>10330.14</v>
      </c>
      <c r="J948" s="23">
        <v>0.15</v>
      </c>
      <c r="K948" s="4">
        <v>8780.6200000000008</v>
      </c>
      <c r="L948" s="4">
        <v>5039.55</v>
      </c>
      <c r="M948" s="4">
        <v>3741.07</v>
      </c>
      <c r="N948" t="s">
        <v>48</v>
      </c>
      <c r="O948" s="7">
        <v>16</v>
      </c>
      <c r="P948" s="2">
        <v>45727.666666666664</v>
      </c>
      <c r="Q948" t="s">
        <v>54</v>
      </c>
      <c r="R948">
        <v>3</v>
      </c>
      <c r="S948" t="s">
        <v>55</v>
      </c>
      <c r="T948">
        <f>IF(orders[[#This Row],[Status]]="Completed",1,0)</f>
        <v>0</v>
      </c>
      <c r="U948">
        <f>IF(orders[[#This Row],[Status]]="Pending",1,0)</f>
        <v>0</v>
      </c>
      <c r="V948">
        <f>IF(orders[[#This Row],[Status]]="Delayed",1,0)</f>
        <v>0</v>
      </c>
      <c r="W948">
        <f>IF(orders[[#This Row],[Status]]="Cancelled",1,0)</f>
        <v>1</v>
      </c>
    </row>
    <row r="949" spans="1:23" x14ac:dyDescent="0.35">
      <c r="A949" t="s">
        <v>1318</v>
      </c>
      <c r="B949" s="1">
        <v>45769</v>
      </c>
      <c r="C949" t="s">
        <v>221</v>
      </c>
      <c r="D949" t="s">
        <v>58</v>
      </c>
      <c r="E949" t="s">
        <v>46</v>
      </c>
      <c r="F949" t="s">
        <v>23</v>
      </c>
      <c r="G949" t="s">
        <v>136</v>
      </c>
      <c r="H949" s="7">
        <v>4</v>
      </c>
      <c r="I949" s="4">
        <v>2686.84</v>
      </c>
      <c r="J949" s="23">
        <v>0.2</v>
      </c>
      <c r="K949" s="4">
        <v>2149.4699999999998</v>
      </c>
      <c r="L949" s="4">
        <v>1659.73</v>
      </c>
      <c r="M949" s="4">
        <v>489.74</v>
      </c>
      <c r="N949" t="s">
        <v>25</v>
      </c>
      <c r="O949" s="7">
        <v>28</v>
      </c>
      <c r="P949" s="2">
        <v>45770.166666666664</v>
      </c>
      <c r="Q949" t="s">
        <v>26</v>
      </c>
      <c r="R949">
        <v>4</v>
      </c>
      <c r="S949" t="s">
        <v>27</v>
      </c>
      <c r="T949">
        <f>IF(orders[[#This Row],[Status]]="Completed",1,0)</f>
        <v>1</v>
      </c>
      <c r="U949">
        <f>IF(orders[[#This Row],[Status]]="Pending",1,0)</f>
        <v>0</v>
      </c>
      <c r="V949">
        <f>IF(orders[[#This Row],[Status]]="Delayed",1,0)</f>
        <v>0</v>
      </c>
      <c r="W949">
        <f>IF(orders[[#This Row],[Status]]="Cancelled",1,0)</f>
        <v>0</v>
      </c>
    </row>
    <row r="950" spans="1:23" x14ac:dyDescent="0.35">
      <c r="A950" t="s">
        <v>1319</v>
      </c>
      <c r="B950" s="1">
        <v>45661</v>
      </c>
      <c r="C950" t="s">
        <v>1320</v>
      </c>
      <c r="D950" t="s">
        <v>149</v>
      </c>
      <c r="E950" t="s">
        <v>22</v>
      </c>
      <c r="F950" t="s">
        <v>72</v>
      </c>
      <c r="G950" t="s">
        <v>146</v>
      </c>
      <c r="H950" s="7">
        <v>6</v>
      </c>
      <c r="I950" s="4">
        <v>37033.32</v>
      </c>
      <c r="J950" s="23">
        <v>0.2</v>
      </c>
      <c r="K950" s="4">
        <v>29626.66</v>
      </c>
      <c r="L950" s="4">
        <v>24362.41</v>
      </c>
      <c r="M950" s="4">
        <v>5264.25</v>
      </c>
      <c r="N950" t="s">
        <v>25</v>
      </c>
      <c r="O950" s="7">
        <v>19</v>
      </c>
      <c r="P950" s="2">
        <v>45661.791666666664</v>
      </c>
      <c r="Q950" t="s">
        <v>65</v>
      </c>
      <c r="R950">
        <v>1</v>
      </c>
      <c r="S950" t="s">
        <v>55</v>
      </c>
      <c r="T950">
        <f>IF(orders[[#This Row],[Status]]="Completed",1,0)</f>
        <v>1</v>
      </c>
      <c r="U950">
        <f>IF(orders[[#This Row],[Status]]="Pending",1,0)</f>
        <v>0</v>
      </c>
      <c r="V950">
        <f>IF(orders[[#This Row],[Status]]="Delayed",1,0)</f>
        <v>0</v>
      </c>
      <c r="W950">
        <f>IF(orders[[#This Row],[Status]]="Cancelled",1,0)</f>
        <v>0</v>
      </c>
    </row>
    <row r="951" spans="1:23" x14ac:dyDescent="0.35">
      <c r="A951" t="s">
        <v>1321</v>
      </c>
      <c r="B951" s="1">
        <v>46007</v>
      </c>
      <c r="C951" t="s">
        <v>1022</v>
      </c>
      <c r="D951" t="s">
        <v>68</v>
      </c>
      <c r="E951" t="s">
        <v>78</v>
      </c>
      <c r="F951" t="s">
        <v>39</v>
      </c>
      <c r="G951" t="s">
        <v>40</v>
      </c>
      <c r="H951" s="7">
        <v>4</v>
      </c>
      <c r="I951" s="4">
        <v>8295.2000000000007</v>
      </c>
      <c r="J951" s="23">
        <v>0.25</v>
      </c>
      <c r="K951" s="4">
        <v>6221.4</v>
      </c>
      <c r="L951" s="4">
        <v>4047.71</v>
      </c>
      <c r="M951" s="4">
        <v>2173.69</v>
      </c>
      <c r="N951" t="s">
        <v>48</v>
      </c>
      <c r="O951" s="7">
        <v>14</v>
      </c>
      <c r="P951" s="2">
        <v>46007.583333333336</v>
      </c>
      <c r="Q951" t="s">
        <v>34</v>
      </c>
      <c r="R951">
        <v>12</v>
      </c>
      <c r="S951" t="s">
        <v>35</v>
      </c>
      <c r="T951">
        <f>IF(orders[[#This Row],[Status]]="Completed",1,0)</f>
        <v>0</v>
      </c>
      <c r="U951">
        <f>IF(orders[[#This Row],[Status]]="Pending",1,0)</f>
        <v>0</v>
      </c>
      <c r="V951">
        <f>IF(orders[[#This Row],[Status]]="Delayed",1,0)</f>
        <v>0</v>
      </c>
      <c r="W951">
        <f>IF(orders[[#This Row],[Status]]="Cancelled",1,0)</f>
        <v>1</v>
      </c>
    </row>
    <row r="952" spans="1:23" x14ac:dyDescent="0.35">
      <c r="A952" t="s">
        <v>1322</v>
      </c>
      <c r="B952" s="1">
        <v>45988</v>
      </c>
      <c r="C952" t="s">
        <v>221</v>
      </c>
      <c r="D952" t="s">
        <v>77</v>
      </c>
      <c r="E952" t="s">
        <v>113</v>
      </c>
      <c r="F952" t="s">
        <v>72</v>
      </c>
      <c r="G952" t="s">
        <v>129</v>
      </c>
      <c r="H952" s="7">
        <v>7</v>
      </c>
      <c r="I952" s="4">
        <v>41100.01</v>
      </c>
      <c r="J952" s="23">
        <v>0.05</v>
      </c>
      <c r="K952" s="4">
        <v>39045.01</v>
      </c>
      <c r="L952" s="4">
        <v>34233.03</v>
      </c>
      <c r="M952" s="4">
        <v>4811.9799999999996</v>
      </c>
      <c r="N952" t="s">
        <v>85</v>
      </c>
      <c r="O952" s="7">
        <v>59</v>
      </c>
      <c r="P952" s="2">
        <v>45990.458333333336</v>
      </c>
      <c r="Q952" t="s">
        <v>86</v>
      </c>
      <c r="R952">
        <v>11</v>
      </c>
      <c r="S952" t="s">
        <v>35</v>
      </c>
      <c r="T952">
        <f>IF(orders[[#This Row],[Status]]="Completed",1,0)</f>
        <v>0</v>
      </c>
      <c r="U952">
        <f>IF(orders[[#This Row],[Status]]="Pending",1,0)</f>
        <v>0</v>
      </c>
      <c r="V952">
        <f>IF(orders[[#This Row],[Status]]="Delayed",1,0)</f>
        <v>1</v>
      </c>
      <c r="W952">
        <f>IF(orders[[#This Row],[Status]]="Cancelled",1,0)</f>
        <v>0</v>
      </c>
    </row>
    <row r="953" spans="1:23" x14ac:dyDescent="0.35">
      <c r="A953" t="s">
        <v>1323</v>
      </c>
      <c r="B953" s="1">
        <v>45975</v>
      </c>
      <c r="C953" t="s">
        <v>246</v>
      </c>
      <c r="D953" t="s">
        <v>149</v>
      </c>
      <c r="E953" t="s">
        <v>59</v>
      </c>
      <c r="F953" t="s">
        <v>32</v>
      </c>
      <c r="G953" t="s">
        <v>79</v>
      </c>
      <c r="H953" s="7">
        <v>2</v>
      </c>
      <c r="I953" s="4">
        <v>16697.68</v>
      </c>
      <c r="J953" s="23">
        <v>0.15</v>
      </c>
      <c r="K953" s="4">
        <v>14193.03</v>
      </c>
      <c r="L953" s="4">
        <v>8161.43</v>
      </c>
      <c r="M953" s="4">
        <v>6031.6</v>
      </c>
      <c r="N953" t="s">
        <v>25</v>
      </c>
      <c r="O953" s="7">
        <v>7</v>
      </c>
      <c r="P953" s="2">
        <v>45975.291666666664</v>
      </c>
      <c r="Q953" t="s">
        <v>86</v>
      </c>
      <c r="R953">
        <v>11</v>
      </c>
      <c r="S953" t="s">
        <v>35</v>
      </c>
      <c r="T953">
        <f>IF(orders[[#This Row],[Status]]="Completed",1,0)</f>
        <v>1</v>
      </c>
      <c r="U953">
        <f>IF(orders[[#This Row],[Status]]="Pending",1,0)</f>
        <v>0</v>
      </c>
      <c r="V953">
        <f>IF(orders[[#This Row],[Status]]="Delayed",1,0)</f>
        <v>0</v>
      </c>
      <c r="W953">
        <f>IF(orders[[#This Row],[Status]]="Cancelled",1,0)</f>
        <v>0</v>
      </c>
    </row>
    <row r="954" spans="1:23" x14ac:dyDescent="0.35">
      <c r="A954" t="s">
        <v>1324</v>
      </c>
      <c r="B954" s="1">
        <v>46007</v>
      </c>
      <c r="C954" t="s">
        <v>388</v>
      </c>
      <c r="D954" t="s">
        <v>51</v>
      </c>
      <c r="E954" t="s">
        <v>113</v>
      </c>
      <c r="F954" t="s">
        <v>32</v>
      </c>
      <c r="G954" t="s">
        <v>53</v>
      </c>
      <c r="H954" s="7">
        <v>4</v>
      </c>
      <c r="I954" s="4">
        <v>23682.92</v>
      </c>
      <c r="J954" s="23">
        <v>0.1</v>
      </c>
      <c r="K954" s="4">
        <v>21314.63</v>
      </c>
      <c r="L954" s="4">
        <v>16377.97</v>
      </c>
      <c r="M954" s="4">
        <v>4936.66</v>
      </c>
      <c r="N954" t="s">
        <v>25</v>
      </c>
      <c r="O954" s="7">
        <v>9</v>
      </c>
      <c r="P954" s="2">
        <v>46007.375</v>
      </c>
      <c r="Q954" t="s">
        <v>34</v>
      </c>
      <c r="R954">
        <v>12</v>
      </c>
      <c r="S954" t="s">
        <v>35</v>
      </c>
      <c r="T954">
        <f>IF(orders[[#This Row],[Status]]="Completed",1,0)</f>
        <v>1</v>
      </c>
      <c r="U954">
        <f>IF(orders[[#This Row],[Status]]="Pending",1,0)</f>
        <v>0</v>
      </c>
      <c r="V954">
        <f>IF(orders[[#This Row],[Status]]="Delayed",1,0)</f>
        <v>0</v>
      </c>
      <c r="W954">
        <f>IF(orders[[#This Row],[Status]]="Cancelled",1,0)</f>
        <v>0</v>
      </c>
    </row>
    <row r="955" spans="1:23" x14ac:dyDescent="0.35">
      <c r="A955" t="s">
        <v>1325</v>
      </c>
      <c r="B955" s="1">
        <v>45752</v>
      </c>
      <c r="C955" t="s">
        <v>532</v>
      </c>
      <c r="D955" t="s">
        <v>68</v>
      </c>
      <c r="E955" t="s">
        <v>46</v>
      </c>
      <c r="F955" t="s">
        <v>32</v>
      </c>
      <c r="G955" t="s">
        <v>53</v>
      </c>
      <c r="H955" s="7">
        <v>1</v>
      </c>
      <c r="I955" s="4">
        <v>7524.66</v>
      </c>
      <c r="J955" s="23">
        <v>0.05</v>
      </c>
      <c r="K955" s="4">
        <v>7148.43</v>
      </c>
      <c r="L955" s="4">
        <v>4989</v>
      </c>
      <c r="M955" s="4">
        <v>2159.4299999999998</v>
      </c>
      <c r="N955" t="s">
        <v>85</v>
      </c>
      <c r="O955" s="7">
        <v>75</v>
      </c>
      <c r="P955" s="2">
        <v>45755.125</v>
      </c>
      <c r="Q955" t="s">
        <v>26</v>
      </c>
      <c r="R955">
        <v>4</v>
      </c>
      <c r="S955" t="s">
        <v>27</v>
      </c>
      <c r="T955">
        <f>IF(orders[[#This Row],[Status]]="Completed",1,0)</f>
        <v>0</v>
      </c>
      <c r="U955">
        <f>IF(orders[[#This Row],[Status]]="Pending",1,0)</f>
        <v>0</v>
      </c>
      <c r="V955">
        <f>IF(orders[[#This Row],[Status]]="Delayed",1,0)</f>
        <v>1</v>
      </c>
      <c r="W955">
        <f>IF(orders[[#This Row],[Status]]="Cancelled",1,0)</f>
        <v>0</v>
      </c>
    </row>
    <row r="956" spans="1:23" x14ac:dyDescent="0.35">
      <c r="A956" t="s">
        <v>1326</v>
      </c>
      <c r="B956" s="1">
        <v>45809</v>
      </c>
      <c r="C956" t="s">
        <v>1050</v>
      </c>
      <c r="D956" t="s">
        <v>68</v>
      </c>
      <c r="E956" t="s">
        <v>31</v>
      </c>
      <c r="F956" t="s">
        <v>72</v>
      </c>
      <c r="G956" t="s">
        <v>129</v>
      </c>
      <c r="H956" s="7">
        <v>7</v>
      </c>
      <c r="I956" s="4">
        <v>56472.22</v>
      </c>
      <c r="J956" s="23">
        <v>0.25</v>
      </c>
      <c r="K956" s="4">
        <v>42354.16</v>
      </c>
      <c r="L956" s="4">
        <v>29536.89</v>
      </c>
      <c r="M956" s="4">
        <v>12817.27</v>
      </c>
      <c r="N956" t="s">
        <v>25</v>
      </c>
      <c r="O956" s="7">
        <v>42</v>
      </c>
      <c r="P956" s="2">
        <v>45810.75</v>
      </c>
      <c r="Q956" t="s">
        <v>99</v>
      </c>
      <c r="R956">
        <v>6</v>
      </c>
      <c r="S956" t="s">
        <v>27</v>
      </c>
      <c r="T956">
        <f>IF(orders[[#This Row],[Status]]="Completed",1,0)</f>
        <v>1</v>
      </c>
      <c r="U956">
        <f>IF(orders[[#This Row],[Status]]="Pending",1,0)</f>
        <v>0</v>
      </c>
      <c r="V956">
        <f>IF(orders[[#This Row],[Status]]="Delayed",1,0)</f>
        <v>0</v>
      </c>
      <c r="W956">
        <f>IF(orders[[#This Row],[Status]]="Cancelled",1,0)</f>
        <v>0</v>
      </c>
    </row>
    <row r="957" spans="1:23" x14ac:dyDescent="0.35">
      <c r="A957" t="s">
        <v>1327</v>
      </c>
      <c r="B957" s="1">
        <v>45968</v>
      </c>
      <c r="C957" t="s">
        <v>259</v>
      </c>
      <c r="D957" t="s">
        <v>63</v>
      </c>
      <c r="E957" t="s">
        <v>113</v>
      </c>
      <c r="F957" t="s">
        <v>39</v>
      </c>
      <c r="G957" t="s">
        <v>40</v>
      </c>
      <c r="H957" s="7">
        <v>4</v>
      </c>
      <c r="I957" s="4">
        <v>16857.48</v>
      </c>
      <c r="J957" s="23">
        <v>0.2</v>
      </c>
      <c r="K957" s="4">
        <v>13485.98</v>
      </c>
      <c r="L957" s="4">
        <v>9453.98</v>
      </c>
      <c r="M957" s="4">
        <v>4032</v>
      </c>
      <c r="N957" t="s">
        <v>25</v>
      </c>
      <c r="O957" s="7">
        <v>42</v>
      </c>
      <c r="P957" s="2">
        <v>45969.75</v>
      </c>
      <c r="Q957" t="s">
        <v>86</v>
      </c>
      <c r="R957">
        <v>11</v>
      </c>
      <c r="S957" t="s">
        <v>35</v>
      </c>
      <c r="T957">
        <f>IF(orders[[#This Row],[Status]]="Completed",1,0)</f>
        <v>1</v>
      </c>
      <c r="U957">
        <f>IF(orders[[#This Row],[Status]]="Pending",1,0)</f>
        <v>0</v>
      </c>
      <c r="V957">
        <f>IF(orders[[#This Row],[Status]]="Delayed",1,0)</f>
        <v>0</v>
      </c>
      <c r="W957">
        <f>IF(orders[[#This Row],[Status]]="Cancelled",1,0)</f>
        <v>0</v>
      </c>
    </row>
    <row r="958" spans="1:23" x14ac:dyDescent="0.35">
      <c r="A958" t="s">
        <v>1328</v>
      </c>
      <c r="B958" s="1">
        <v>45794</v>
      </c>
      <c r="C958" t="s">
        <v>229</v>
      </c>
      <c r="D958" t="s">
        <v>63</v>
      </c>
      <c r="E958" t="s">
        <v>31</v>
      </c>
      <c r="F958" t="s">
        <v>32</v>
      </c>
      <c r="G958" t="s">
        <v>53</v>
      </c>
      <c r="H958" s="7">
        <v>2</v>
      </c>
      <c r="I958" s="4">
        <v>12028.82</v>
      </c>
      <c r="J958" s="23">
        <v>0</v>
      </c>
      <c r="K958" s="4">
        <v>12028.82</v>
      </c>
      <c r="L958" s="4">
        <v>7642.69</v>
      </c>
      <c r="M958" s="4">
        <v>4386.13</v>
      </c>
      <c r="N958" t="s">
        <v>85</v>
      </c>
      <c r="O958" s="7">
        <v>85</v>
      </c>
      <c r="P958" s="2">
        <v>45797.541666666664</v>
      </c>
      <c r="Q958" t="s">
        <v>74</v>
      </c>
      <c r="R958">
        <v>5</v>
      </c>
      <c r="S958" t="s">
        <v>27</v>
      </c>
      <c r="T958">
        <f>IF(orders[[#This Row],[Status]]="Completed",1,0)</f>
        <v>0</v>
      </c>
      <c r="U958">
        <f>IF(orders[[#This Row],[Status]]="Pending",1,0)</f>
        <v>0</v>
      </c>
      <c r="V958">
        <f>IF(orders[[#This Row],[Status]]="Delayed",1,0)</f>
        <v>1</v>
      </c>
      <c r="W958">
        <f>IF(orders[[#This Row],[Status]]="Cancelled",1,0)</f>
        <v>0</v>
      </c>
    </row>
    <row r="959" spans="1:23" x14ac:dyDescent="0.35">
      <c r="A959" t="s">
        <v>1329</v>
      </c>
      <c r="B959" s="1">
        <v>45904</v>
      </c>
      <c r="C959" t="s">
        <v>1320</v>
      </c>
      <c r="D959" t="s">
        <v>21</v>
      </c>
      <c r="E959" t="s">
        <v>92</v>
      </c>
      <c r="F959" t="s">
        <v>39</v>
      </c>
      <c r="G959" t="s">
        <v>93</v>
      </c>
      <c r="H959" s="7">
        <v>4</v>
      </c>
      <c r="I959" s="4">
        <v>29055.759999999998</v>
      </c>
      <c r="J959" s="23">
        <v>0</v>
      </c>
      <c r="K959" s="4">
        <v>29055.759999999998</v>
      </c>
      <c r="L959" s="4">
        <v>22841.77</v>
      </c>
      <c r="M959" s="4">
        <v>6213.99</v>
      </c>
      <c r="N959" t="s">
        <v>25</v>
      </c>
      <c r="O959" s="7">
        <v>48</v>
      </c>
      <c r="P959" s="2">
        <v>45906</v>
      </c>
      <c r="Q959" t="s">
        <v>41</v>
      </c>
      <c r="R959">
        <v>9</v>
      </c>
      <c r="S959" t="s">
        <v>42</v>
      </c>
      <c r="T959">
        <f>IF(orders[[#This Row],[Status]]="Completed",1,0)</f>
        <v>1</v>
      </c>
      <c r="U959">
        <f>IF(orders[[#This Row],[Status]]="Pending",1,0)</f>
        <v>0</v>
      </c>
      <c r="V959">
        <f>IF(orders[[#This Row],[Status]]="Delayed",1,0)</f>
        <v>0</v>
      </c>
      <c r="W959">
        <f>IF(orders[[#This Row],[Status]]="Cancelled",1,0)</f>
        <v>0</v>
      </c>
    </row>
    <row r="960" spans="1:23" x14ac:dyDescent="0.35">
      <c r="A960" t="s">
        <v>1330</v>
      </c>
      <c r="B960" s="1">
        <v>45900</v>
      </c>
      <c r="C960" t="s">
        <v>1331</v>
      </c>
      <c r="D960" t="s">
        <v>21</v>
      </c>
      <c r="E960" t="s">
        <v>31</v>
      </c>
      <c r="F960" t="s">
        <v>72</v>
      </c>
      <c r="G960" t="s">
        <v>119</v>
      </c>
      <c r="H960" s="7">
        <v>5</v>
      </c>
      <c r="I960" s="4">
        <v>15638.4</v>
      </c>
      <c r="J960" s="23">
        <v>0.1</v>
      </c>
      <c r="K960" s="4">
        <v>14074.56</v>
      </c>
      <c r="L960" s="4">
        <v>11092.45</v>
      </c>
      <c r="M960" s="4">
        <v>2982.11</v>
      </c>
      <c r="N960" t="s">
        <v>48</v>
      </c>
      <c r="O960" s="7">
        <v>19</v>
      </c>
      <c r="P960" s="2">
        <v>45900.791666666664</v>
      </c>
      <c r="Q960" t="s">
        <v>80</v>
      </c>
      <c r="R960">
        <v>8</v>
      </c>
      <c r="S960" t="s">
        <v>42</v>
      </c>
      <c r="T960">
        <f>IF(orders[[#This Row],[Status]]="Completed",1,0)</f>
        <v>0</v>
      </c>
      <c r="U960">
        <f>IF(orders[[#This Row],[Status]]="Pending",1,0)</f>
        <v>0</v>
      </c>
      <c r="V960">
        <f>IF(orders[[#This Row],[Status]]="Delayed",1,0)</f>
        <v>0</v>
      </c>
      <c r="W960">
        <f>IF(orders[[#This Row],[Status]]="Cancelled",1,0)</f>
        <v>1</v>
      </c>
    </row>
    <row r="961" spans="1:23" x14ac:dyDescent="0.35">
      <c r="A961" t="s">
        <v>1332</v>
      </c>
      <c r="B961" s="1">
        <v>45688</v>
      </c>
      <c r="C961" t="s">
        <v>602</v>
      </c>
      <c r="D961" t="s">
        <v>30</v>
      </c>
      <c r="E961" t="s">
        <v>59</v>
      </c>
      <c r="F961" t="s">
        <v>39</v>
      </c>
      <c r="G961" t="s">
        <v>47</v>
      </c>
      <c r="H961" s="7">
        <v>3</v>
      </c>
      <c r="I961" s="4">
        <v>6998.01</v>
      </c>
      <c r="J961" s="23">
        <v>0.1</v>
      </c>
      <c r="K961" s="4">
        <v>6298.21</v>
      </c>
      <c r="L961" s="4">
        <v>4050.95</v>
      </c>
      <c r="M961" s="4">
        <v>2247.2600000000002</v>
      </c>
      <c r="N961" t="s">
        <v>25</v>
      </c>
      <c r="O961" s="7">
        <v>12</v>
      </c>
      <c r="P961" s="2">
        <v>45688.5</v>
      </c>
      <c r="Q961" t="s">
        <v>65</v>
      </c>
      <c r="R961">
        <v>1</v>
      </c>
      <c r="S961" t="s">
        <v>55</v>
      </c>
      <c r="T961">
        <f>IF(orders[[#This Row],[Status]]="Completed",1,0)</f>
        <v>1</v>
      </c>
      <c r="U961">
        <f>IF(orders[[#This Row],[Status]]="Pending",1,0)</f>
        <v>0</v>
      </c>
      <c r="V961">
        <f>IF(orders[[#This Row],[Status]]="Delayed",1,0)</f>
        <v>0</v>
      </c>
      <c r="W961">
        <f>IF(orders[[#This Row],[Status]]="Cancelled",1,0)</f>
        <v>0</v>
      </c>
    </row>
    <row r="962" spans="1:23" x14ac:dyDescent="0.35">
      <c r="A962" t="s">
        <v>1333</v>
      </c>
      <c r="B962" s="1">
        <v>45697</v>
      </c>
      <c r="C962" t="s">
        <v>751</v>
      </c>
      <c r="D962" t="s">
        <v>51</v>
      </c>
      <c r="E962" t="s">
        <v>22</v>
      </c>
      <c r="F962" t="s">
        <v>72</v>
      </c>
      <c r="G962" t="s">
        <v>146</v>
      </c>
      <c r="H962" s="7">
        <v>1</v>
      </c>
      <c r="I962" s="4">
        <v>8054.1</v>
      </c>
      <c r="J962" s="23">
        <v>0.2</v>
      </c>
      <c r="K962" s="4">
        <v>6443.28</v>
      </c>
      <c r="L962" s="4">
        <v>5319.9</v>
      </c>
      <c r="M962" s="4">
        <v>1123.3800000000001</v>
      </c>
      <c r="N962" t="s">
        <v>25</v>
      </c>
      <c r="O962" s="7">
        <v>18</v>
      </c>
      <c r="P962" s="2">
        <v>45697.75</v>
      </c>
      <c r="Q962" t="s">
        <v>139</v>
      </c>
      <c r="R962">
        <v>2</v>
      </c>
      <c r="S962" t="s">
        <v>55</v>
      </c>
      <c r="T962">
        <f>IF(orders[[#This Row],[Status]]="Completed",1,0)</f>
        <v>1</v>
      </c>
      <c r="U962">
        <f>IF(orders[[#This Row],[Status]]="Pending",1,0)</f>
        <v>0</v>
      </c>
      <c r="V962">
        <f>IF(orders[[#This Row],[Status]]="Delayed",1,0)</f>
        <v>0</v>
      </c>
      <c r="W962">
        <f>IF(orders[[#This Row],[Status]]="Cancelled",1,0)</f>
        <v>0</v>
      </c>
    </row>
    <row r="963" spans="1:23" x14ac:dyDescent="0.35">
      <c r="A963" t="s">
        <v>1334</v>
      </c>
      <c r="B963" s="1">
        <v>45886</v>
      </c>
      <c r="C963" t="s">
        <v>261</v>
      </c>
      <c r="D963" t="s">
        <v>45</v>
      </c>
      <c r="E963" t="s">
        <v>22</v>
      </c>
      <c r="F963" t="s">
        <v>72</v>
      </c>
      <c r="G963" t="s">
        <v>119</v>
      </c>
      <c r="H963" s="7">
        <v>5</v>
      </c>
      <c r="I963" s="4">
        <v>31073.15</v>
      </c>
      <c r="J963" s="23">
        <v>0.05</v>
      </c>
      <c r="K963" s="4">
        <v>29519.49</v>
      </c>
      <c r="L963" s="4">
        <v>19322.240000000002</v>
      </c>
      <c r="M963" s="4">
        <v>10197.25</v>
      </c>
      <c r="N963" t="s">
        <v>25</v>
      </c>
      <c r="O963" s="7">
        <v>40</v>
      </c>
      <c r="P963" s="2">
        <v>45887.666666666664</v>
      </c>
      <c r="Q963" t="s">
        <v>80</v>
      </c>
      <c r="R963">
        <v>8</v>
      </c>
      <c r="S963" t="s">
        <v>42</v>
      </c>
      <c r="T963">
        <f>IF(orders[[#This Row],[Status]]="Completed",1,0)</f>
        <v>1</v>
      </c>
      <c r="U963">
        <f>IF(orders[[#This Row],[Status]]="Pending",1,0)</f>
        <v>0</v>
      </c>
      <c r="V963">
        <f>IF(orders[[#This Row],[Status]]="Delayed",1,0)</f>
        <v>0</v>
      </c>
      <c r="W963">
        <f>IF(orders[[#This Row],[Status]]="Cancelled",1,0)</f>
        <v>0</v>
      </c>
    </row>
    <row r="964" spans="1:23" x14ac:dyDescent="0.35">
      <c r="A964" t="s">
        <v>1335</v>
      </c>
      <c r="B964" s="1">
        <v>45693</v>
      </c>
      <c r="C964" t="s">
        <v>1031</v>
      </c>
      <c r="D964" t="s">
        <v>45</v>
      </c>
      <c r="E964" t="s">
        <v>59</v>
      </c>
      <c r="F964" t="s">
        <v>23</v>
      </c>
      <c r="G964" t="s">
        <v>136</v>
      </c>
      <c r="H964" s="7">
        <v>5</v>
      </c>
      <c r="I964" s="4">
        <v>9921.75</v>
      </c>
      <c r="J964" s="23">
        <v>0</v>
      </c>
      <c r="K964" s="4">
        <v>9921.75</v>
      </c>
      <c r="L964" s="4">
        <v>7831.05</v>
      </c>
      <c r="M964" s="4">
        <v>2090.6999999999998</v>
      </c>
      <c r="N964" t="s">
        <v>85</v>
      </c>
      <c r="O964" s="7">
        <v>80</v>
      </c>
      <c r="P964" s="2">
        <v>45696.333333333336</v>
      </c>
      <c r="Q964" t="s">
        <v>139</v>
      </c>
      <c r="R964">
        <v>2</v>
      </c>
      <c r="S964" t="s">
        <v>55</v>
      </c>
      <c r="T964">
        <f>IF(orders[[#This Row],[Status]]="Completed",1,0)</f>
        <v>0</v>
      </c>
      <c r="U964">
        <f>IF(orders[[#This Row],[Status]]="Pending",1,0)</f>
        <v>0</v>
      </c>
      <c r="V964">
        <f>IF(orders[[#This Row],[Status]]="Delayed",1,0)</f>
        <v>1</v>
      </c>
      <c r="W964">
        <f>IF(orders[[#This Row],[Status]]="Cancelled",1,0)</f>
        <v>0</v>
      </c>
    </row>
    <row r="965" spans="1:23" x14ac:dyDescent="0.35">
      <c r="A965" t="s">
        <v>1336</v>
      </c>
      <c r="B965" s="1">
        <v>45880</v>
      </c>
      <c r="C965" t="s">
        <v>50</v>
      </c>
      <c r="D965" t="s">
        <v>63</v>
      </c>
      <c r="E965" t="s">
        <v>59</v>
      </c>
      <c r="F965" t="s">
        <v>72</v>
      </c>
      <c r="G965" t="s">
        <v>104</v>
      </c>
      <c r="H965" s="7">
        <v>2</v>
      </c>
      <c r="I965" s="4">
        <v>7799.7</v>
      </c>
      <c r="J965" s="23">
        <v>0.05</v>
      </c>
      <c r="K965" s="4">
        <v>7409.71</v>
      </c>
      <c r="L965" s="4">
        <v>4371.21</v>
      </c>
      <c r="M965" s="4">
        <v>3038.5</v>
      </c>
      <c r="N965" t="s">
        <v>25</v>
      </c>
      <c r="O965" s="7">
        <v>11</v>
      </c>
      <c r="P965" s="2">
        <v>45880.458333333336</v>
      </c>
      <c r="Q965" t="s">
        <v>80</v>
      </c>
      <c r="R965">
        <v>8</v>
      </c>
      <c r="S965" t="s">
        <v>42</v>
      </c>
      <c r="T965">
        <f>IF(orders[[#This Row],[Status]]="Completed",1,0)</f>
        <v>1</v>
      </c>
      <c r="U965">
        <f>IF(orders[[#This Row],[Status]]="Pending",1,0)</f>
        <v>0</v>
      </c>
      <c r="V965">
        <f>IF(orders[[#This Row],[Status]]="Delayed",1,0)</f>
        <v>0</v>
      </c>
      <c r="W965">
        <f>IF(orders[[#This Row],[Status]]="Cancelled",1,0)</f>
        <v>0</v>
      </c>
    </row>
    <row r="966" spans="1:23" x14ac:dyDescent="0.35">
      <c r="A966" t="s">
        <v>1337</v>
      </c>
      <c r="B966" s="1">
        <v>45663</v>
      </c>
      <c r="C966" t="s">
        <v>390</v>
      </c>
      <c r="D966" t="s">
        <v>63</v>
      </c>
      <c r="E966" t="s">
        <v>59</v>
      </c>
      <c r="F966" t="s">
        <v>72</v>
      </c>
      <c r="G966" t="s">
        <v>146</v>
      </c>
      <c r="H966" s="7">
        <v>3</v>
      </c>
      <c r="I966" s="4">
        <v>20401.11</v>
      </c>
      <c r="J966" s="23">
        <v>0</v>
      </c>
      <c r="K966" s="4">
        <v>20401.11</v>
      </c>
      <c r="L966" s="4">
        <v>12356.37</v>
      </c>
      <c r="M966" s="4">
        <v>8044.74</v>
      </c>
      <c r="N966" t="s">
        <v>25</v>
      </c>
      <c r="O966" s="7">
        <v>35</v>
      </c>
      <c r="P966" s="2">
        <v>45664.458333333336</v>
      </c>
      <c r="Q966" t="s">
        <v>65</v>
      </c>
      <c r="R966">
        <v>1</v>
      </c>
      <c r="S966" t="s">
        <v>55</v>
      </c>
      <c r="T966">
        <f>IF(orders[[#This Row],[Status]]="Completed",1,0)</f>
        <v>1</v>
      </c>
      <c r="U966">
        <f>IF(orders[[#This Row],[Status]]="Pending",1,0)</f>
        <v>0</v>
      </c>
      <c r="V966">
        <f>IF(orders[[#This Row],[Status]]="Delayed",1,0)</f>
        <v>0</v>
      </c>
      <c r="W966">
        <f>IF(orders[[#This Row],[Status]]="Cancelled",1,0)</f>
        <v>0</v>
      </c>
    </row>
    <row r="967" spans="1:23" x14ac:dyDescent="0.35">
      <c r="A967" t="s">
        <v>1338</v>
      </c>
      <c r="B967" s="1">
        <v>45979</v>
      </c>
      <c r="C967" t="s">
        <v>618</v>
      </c>
      <c r="D967" t="s">
        <v>63</v>
      </c>
      <c r="E967" t="s">
        <v>52</v>
      </c>
      <c r="F967" t="s">
        <v>83</v>
      </c>
      <c r="G967" t="s">
        <v>84</v>
      </c>
      <c r="H967" s="7">
        <v>3</v>
      </c>
      <c r="I967" s="4">
        <v>14153.94</v>
      </c>
      <c r="J967" s="23">
        <v>0</v>
      </c>
      <c r="K967" s="4">
        <v>14153.94</v>
      </c>
      <c r="L967" s="4">
        <v>9259.69</v>
      </c>
      <c r="M967" s="4">
        <v>4894.25</v>
      </c>
      <c r="N967" t="s">
        <v>25</v>
      </c>
      <c r="O967" s="7">
        <v>24</v>
      </c>
      <c r="P967" s="2">
        <v>45980</v>
      </c>
      <c r="Q967" t="s">
        <v>86</v>
      </c>
      <c r="R967">
        <v>11</v>
      </c>
      <c r="S967" t="s">
        <v>35</v>
      </c>
      <c r="T967">
        <f>IF(orders[[#This Row],[Status]]="Completed",1,0)</f>
        <v>1</v>
      </c>
      <c r="U967">
        <f>IF(orders[[#This Row],[Status]]="Pending",1,0)</f>
        <v>0</v>
      </c>
      <c r="V967">
        <f>IF(orders[[#This Row],[Status]]="Delayed",1,0)</f>
        <v>0</v>
      </c>
      <c r="W967">
        <f>IF(orders[[#This Row],[Status]]="Cancelled",1,0)</f>
        <v>0</v>
      </c>
    </row>
    <row r="968" spans="1:23" x14ac:dyDescent="0.35">
      <c r="A968" t="s">
        <v>1339</v>
      </c>
      <c r="B968" s="1">
        <v>45877</v>
      </c>
      <c r="C968" t="s">
        <v>587</v>
      </c>
      <c r="D968" t="s">
        <v>77</v>
      </c>
      <c r="E968" t="s">
        <v>78</v>
      </c>
      <c r="F968" t="s">
        <v>32</v>
      </c>
      <c r="G968" t="s">
        <v>64</v>
      </c>
      <c r="H968" s="7">
        <v>6</v>
      </c>
      <c r="I968" s="4">
        <v>33462.6</v>
      </c>
      <c r="J968" s="23">
        <v>0.2</v>
      </c>
      <c r="K968" s="4">
        <v>26770.080000000002</v>
      </c>
      <c r="L968" s="4">
        <v>19969.900000000001</v>
      </c>
      <c r="M968" s="4">
        <v>6800.18</v>
      </c>
      <c r="N968" t="s">
        <v>85</v>
      </c>
      <c r="O968" s="7">
        <v>51</v>
      </c>
      <c r="P968" s="2">
        <v>45879.125</v>
      </c>
      <c r="Q968" t="s">
        <v>80</v>
      </c>
      <c r="R968">
        <v>8</v>
      </c>
      <c r="S968" t="s">
        <v>42</v>
      </c>
      <c r="T968">
        <f>IF(orders[[#This Row],[Status]]="Completed",1,0)</f>
        <v>0</v>
      </c>
      <c r="U968">
        <f>IF(orders[[#This Row],[Status]]="Pending",1,0)</f>
        <v>0</v>
      </c>
      <c r="V968">
        <f>IF(orders[[#This Row],[Status]]="Delayed",1,0)</f>
        <v>1</v>
      </c>
      <c r="W968">
        <f>IF(orders[[#This Row],[Status]]="Cancelled",1,0)</f>
        <v>0</v>
      </c>
    </row>
    <row r="969" spans="1:23" x14ac:dyDescent="0.35">
      <c r="A969" t="s">
        <v>1340</v>
      </c>
      <c r="B969" s="1">
        <v>45732</v>
      </c>
      <c r="C969" t="s">
        <v>171</v>
      </c>
      <c r="D969" t="s">
        <v>38</v>
      </c>
      <c r="E969" t="s">
        <v>46</v>
      </c>
      <c r="F969" t="s">
        <v>23</v>
      </c>
      <c r="G969" t="s">
        <v>122</v>
      </c>
      <c r="H969" s="7">
        <v>7</v>
      </c>
      <c r="I969" s="4">
        <v>45107.72</v>
      </c>
      <c r="J969" s="23">
        <v>0.05</v>
      </c>
      <c r="K969" s="4">
        <v>42852.33</v>
      </c>
      <c r="L969" s="4">
        <v>32697.13</v>
      </c>
      <c r="M969" s="4">
        <v>10155.200000000001</v>
      </c>
      <c r="N969" t="s">
        <v>25</v>
      </c>
      <c r="O969" s="7">
        <v>22</v>
      </c>
      <c r="P969" s="2">
        <v>45732.916666666664</v>
      </c>
      <c r="Q969" t="s">
        <v>54</v>
      </c>
      <c r="R969">
        <v>3</v>
      </c>
      <c r="S969" t="s">
        <v>55</v>
      </c>
      <c r="T969">
        <f>IF(orders[[#This Row],[Status]]="Completed",1,0)</f>
        <v>1</v>
      </c>
      <c r="U969">
        <f>IF(orders[[#This Row],[Status]]="Pending",1,0)</f>
        <v>0</v>
      </c>
      <c r="V969">
        <f>IF(orders[[#This Row],[Status]]="Delayed",1,0)</f>
        <v>0</v>
      </c>
      <c r="W969">
        <f>IF(orders[[#This Row],[Status]]="Cancelled",1,0)</f>
        <v>0</v>
      </c>
    </row>
    <row r="970" spans="1:23" x14ac:dyDescent="0.35">
      <c r="A970" t="s">
        <v>1341</v>
      </c>
      <c r="B970" s="1">
        <v>45661</v>
      </c>
      <c r="C970" t="s">
        <v>623</v>
      </c>
      <c r="D970" t="s">
        <v>21</v>
      </c>
      <c r="E970" t="s">
        <v>31</v>
      </c>
      <c r="F970" t="s">
        <v>23</v>
      </c>
      <c r="G970" t="s">
        <v>24</v>
      </c>
      <c r="H970" s="7">
        <v>1</v>
      </c>
      <c r="I970" s="4">
        <v>5343.78</v>
      </c>
      <c r="J970" s="23">
        <v>0.05</v>
      </c>
      <c r="K970" s="4">
        <v>5076.59</v>
      </c>
      <c r="L970" s="4">
        <v>3456.13</v>
      </c>
      <c r="M970" s="4">
        <v>1620.46</v>
      </c>
      <c r="N970" t="s">
        <v>85</v>
      </c>
      <c r="O970" s="7">
        <v>61</v>
      </c>
      <c r="P970" s="2">
        <v>45663.541666666664</v>
      </c>
      <c r="Q970" t="s">
        <v>65</v>
      </c>
      <c r="R970">
        <v>1</v>
      </c>
      <c r="S970" t="s">
        <v>55</v>
      </c>
      <c r="T970">
        <f>IF(orders[[#This Row],[Status]]="Completed",1,0)</f>
        <v>0</v>
      </c>
      <c r="U970">
        <f>IF(orders[[#This Row],[Status]]="Pending",1,0)</f>
        <v>0</v>
      </c>
      <c r="V970">
        <f>IF(orders[[#This Row],[Status]]="Delayed",1,0)</f>
        <v>1</v>
      </c>
      <c r="W970">
        <f>IF(orders[[#This Row],[Status]]="Cancelled",1,0)</f>
        <v>0</v>
      </c>
    </row>
    <row r="971" spans="1:23" x14ac:dyDescent="0.35">
      <c r="A971" t="s">
        <v>1342</v>
      </c>
      <c r="B971" s="1">
        <v>45992</v>
      </c>
      <c r="C971" t="s">
        <v>381</v>
      </c>
      <c r="D971" t="s">
        <v>77</v>
      </c>
      <c r="E971" t="s">
        <v>78</v>
      </c>
      <c r="F971" t="s">
        <v>23</v>
      </c>
      <c r="G971" t="s">
        <v>122</v>
      </c>
      <c r="H971" s="7">
        <v>7</v>
      </c>
      <c r="I971" s="4">
        <v>32617.62</v>
      </c>
      <c r="J971" s="23">
        <v>0</v>
      </c>
      <c r="K971" s="4">
        <v>32617.62</v>
      </c>
      <c r="L971" s="4">
        <v>18777.54</v>
      </c>
      <c r="M971" s="4">
        <v>13840.08</v>
      </c>
      <c r="N971" t="s">
        <v>48</v>
      </c>
      <c r="O971" s="7">
        <v>17</v>
      </c>
      <c r="P971" s="2">
        <v>45992.708333333336</v>
      </c>
      <c r="Q971" t="s">
        <v>34</v>
      </c>
      <c r="R971">
        <v>12</v>
      </c>
      <c r="S971" t="s">
        <v>35</v>
      </c>
      <c r="T971">
        <f>IF(orders[[#This Row],[Status]]="Completed",1,0)</f>
        <v>0</v>
      </c>
      <c r="U971">
        <f>IF(orders[[#This Row],[Status]]="Pending",1,0)</f>
        <v>0</v>
      </c>
      <c r="V971">
        <f>IF(orders[[#This Row],[Status]]="Delayed",1,0)</f>
        <v>0</v>
      </c>
      <c r="W971">
        <f>IF(orders[[#This Row],[Status]]="Cancelled",1,0)</f>
        <v>1</v>
      </c>
    </row>
    <row r="972" spans="1:23" x14ac:dyDescent="0.35">
      <c r="A972" t="s">
        <v>1343</v>
      </c>
      <c r="B972" s="1">
        <v>45791</v>
      </c>
      <c r="C972" t="s">
        <v>126</v>
      </c>
      <c r="D972" t="s">
        <v>58</v>
      </c>
      <c r="E972" t="s">
        <v>59</v>
      </c>
      <c r="F972" t="s">
        <v>83</v>
      </c>
      <c r="G972" t="s">
        <v>107</v>
      </c>
      <c r="H972" s="7">
        <v>2</v>
      </c>
      <c r="I972" s="4">
        <v>12818.56</v>
      </c>
      <c r="J972" s="23">
        <v>0.05</v>
      </c>
      <c r="K972" s="4">
        <v>12177.63</v>
      </c>
      <c r="L972" s="4">
        <v>8199.19</v>
      </c>
      <c r="M972" s="4">
        <v>3978.44</v>
      </c>
      <c r="N972" t="s">
        <v>48</v>
      </c>
      <c r="O972" s="7">
        <v>6</v>
      </c>
      <c r="P972" s="2">
        <v>45791.25</v>
      </c>
      <c r="Q972" t="s">
        <v>74</v>
      </c>
      <c r="R972">
        <v>5</v>
      </c>
      <c r="S972" t="s">
        <v>27</v>
      </c>
      <c r="T972">
        <f>IF(orders[[#This Row],[Status]]="Completed",1,0)</f>
        <v>0</v>
      </c>
      <c r="U972">
        <f>IF(orders[[#This Row],[Status]]="Pending",1,0)</f>
        <v>0</v>
      </c>
      <c r="V972">
        <f>IF(orders[[#This Row],[Status]]="Delayed",1,0)</f>
        <v>0</v>
      </c>
      <c r="W972">
        <f>IF(orders[[#This Row],[Status]]="Cancelled",1,0)</f>
        <v>1</v>
      </c>
    </row>
    <row r="973" spans="1:23" x14ac:dyDescent="0.35">
      <c r="A973" t="s">
        <v>1344</v>
      </c>
      <c r="B973" s="1">
        <v>45775</v>
      </c>
      <c r="C973" t="s">
        <v>406</v>
      </c>
      <c r="D973" t="s">
        <v>45</v>
      </c>
      <c r="E973" t="s">
        <v>22</v>
      </c>
      <c r="F973" t="s">
        <v>72</v>
      </c>
      <c r="G973" t="s">
        <v>146</v>
      </c>
      <c r="H973" s="7">
        <v>1</v>
      </c>
      <c r="I973" s="4">
        <v>6225.15</v>
      </c>
      <c r="J973" s="23">
        <v>0.15</v>
      </c>
      <c r="K973" s="4">
        <v>5291.38</v>
      </c>
      <c r="L973" s="4">
        <v>4112.95</v>
      </c>
      <c r="M973" s="4">
        <v>1178.43</v>
      </c>
      <c r="N973" t="s">
        <v>98</v>
      </c>
      <c r="O973" s="7">
        <v>23</v>
      </c>
      <c r="P973" s="2">
        <v>45775.958333333336</v>
      </c>
      <c r="Q973" t="s">
        <v>26</v>
      </c>
      <c r="R973">
        <v>4</v>
      </c>
      <c r="S973" t="s">
        <v>27</v>
      </c>
      <c r="T973">
        <f>IF(orders[[#This Row],[Status]]="Completed",1,0)</f>
        <v>0</v>
      </c>
      <c r="U973">
        <f>IF(orders[[#This Row],[Status]]="Pending",1,0)</f>
        <v>1</v>
      </c>
      <c r="V973">
        <f>IF(orders[[#This Row],[Status]]="Delayed",1,0)</f>
        <v>0</v>
      </c>
      <c r="W973">
        <f>IF(orders[[#This Row],[Status]]="Cancelled",1,0)</f>
        <v>0</v>
      </c>
    </row>
    <row r="974" spans="1:23" x14ac:dyDescent="0.35">
      <c r="A974" t="s">
        <v>1345</v>
      </c>
      <c r="B974" s="1">
        <v>45751</v>
      </c>
      <c r="C974" t="s">
        <v>101</v>
      </c>
      <c r="D974" t="s">
        <v>68</v>
      </c>
      <c r="E974" t="s">
        <v>113</v>
      </c>
      <c r="F974" t="s">
        <v>32</v>
      </c>
      <c r="G974" t="s">
        <v>53</v>
      </c>
      <c r="H974" s="7">
        <v>6</v>
      </c>
      <c r="I974" s="4">
        <v>32456.58</v>
      </c>
      <c r="J974" s="23">
        <v>0.1</v>
      </c>
      <c r="K974" s="4">
        <v>29210.92</v>
      </c>
      <c r="L974" s="4">
        <v>22534.14</v>
      </c>
      <c r="M974" s="4">
        <v>6676.78</v>
      </c>
      <c r="N974" t="s">
        <v>25</v>
      </c>
      <c r="O974" s="7">
        <v>46</v>
      </c>
      <c r="P974" s="2">
        <v>45752.916666666664</v>
      </c>
      <c r="Q974" t="s">
        <v>26</v>
      </c>
      <c r="R974">
        <v>4</v>
      </c>
      <c r="S974" t="s">
        <v>27</v>
      </c>
      <c r="T974">
        <f>IF(orders[[#This Row],[Status]]="Completed",1,0)</f>
        <v>1</v>
      </c>
      <c r="U974">
        <f>IF(orders[[#This Row],[Status]]="Pending",1,0)</f>
        <v>0</v>
      </c>
      <c r="V974">
        <f>IF(orders[[#This Row],[Status]]="Delayed",1,0)</f>
        <v>0</v>
      </c>
      <c r="W974">
        <f>IF(orders[[#This Row],[Status]]="Cancelled",1,0)</f>
        <v>0</v>
      </c>
    </row>
    <row r="975" spans="1:23" x14ac:dyDescent="0.35">
      <c r="A975" t="s">
        <v>1346</v>
      </c>
      <c r="B975" s="1">
        <v>45719</v>
      </c>
      <c r="C975" t="s">
        <v>1156</v>
      </c>
      <c r="D975" t="s">
        <v>21</v>
      </c>
      <c r="E975" t="s">
        <v>113</v>
      </c>
      <c r="F975" t="s">
        <v>39</v>
      </c>
      <c r="G975" t="s">
        <v>40</v>
      </c>
      <c r="H975" s="7">
        <v>4</v>
      </c>
      <c r="I975" s="4">
        <v>12616.96</v>
      </c>
      <c r="J975" s="23">
        <v>0.15</v>
      </c>
      <c r="K975" s="4">
        <v>10724.42</v>
      </c>
      <c r="L975" s="4">
        <v>6465.38</v>
      </c>
      <c r="M975" s="4">
        <v>4259.04</v>
      </c>
      <c r="N975" t="s">
        <v>25</v>
      </c>
      <c r="O975" s="7">
        <v>32</v>
      </c>
      <c r="P975" s="2">
        <v>45720.333333333336</v>
      </c>
      <c r="Q975" t="s">
        <v>54</v>
      </c>
      <c r="R975">
        <v>3</v>
      </c>
      <c r="S975" t="s">
        <v>55</v>
      </c>
      <c r="T975">
        <f>IF(orders[[#This Row],[Status]]="Completed",1,0)</f>
        <v>1</v>
      </c>
      <c r="U975">
        <f>IF(orders[[#This Row],[Status]]="Pending",1,0)</f>
        <v>0</v>
      </c>
      <c r="V975">
        <f>IF(orders[[#This Row],[Status]]="Delayed",1,0)</f>
        <v>0</v>
      </c>
      <c r="W975">
        <f>IF(orders[[#This Row],[Status]]="Cancelled",1,0)</f>
        <v>0</v>
      </c>
    </row>
    <row r="976" spans="1:23" x14ac:dyDescent="0.35">
      <c r="A976" t="s">
        <v>1347</v>
      </c>
      <c r="B976" s="1">
        <v>45851</v>
      </c>
      <c r="C976" t="s">
        <v>1074</v>
      </c>
      <c r="D976" t="s">
        <v>149</v>
      </c>
      <c r="E976" t="s">
        <v>52</v>
      </c>
      <c r="F976" t="s">
        <v>72</v>
      </c>
      <c r="G976" t="s">
        <v>73</v>
      </c>
      <c r="H976" s="7">
        <v>5</v>
      </c>
      <c r="I976" s="4">
        <v>17692.650000000001</v>
      </c>
      <c r="J976" s="23">
        <v>0.05</v>
      </c>
      <c r="K976" s="4">
        <v>16808.02</v>
      </c>
      <c r="L976" s="4">
        <v>9287.59</v>
      </c>
      <c r="M976" s="4">
        <v>7520.43</v>
      </c>
      <c r="N976" t="s">
        <v>25</v>
      </c>
      <c r="O976" s="7">
        <v>45</v>
      </c>
      <c r="P976" s="2">
        <v>45852.875</v>
      </c>
      <c r="Q976" t="s">
        <v>60</v>
      </c>
      <c r="R976">
        <v>7</v>
      </c>
      <c r="S976" t="s">
        <v>42</v>
      </c>
      <c r="T976">
        <f>IF(orders[[#This Row],[Status]]="Completed",1,0)</f>
        <v>1</v>
      </c>
      <c r="U976">
        <f>IF(orders[[#This Row],[Status]]="Pending",1,0)</f>
        <v>0</v>
      </c>
      <c r="V976">
        <f>IF(orders[[#This Row],[Status]]="Delayed",1,0)</f>
        <v>0</v>
      </c>
      <c r="W976">
        <f>IF(orders[[#This Row],[Status]]="Cancelled",1,0)</f>
        <v>0</v>
      </c>
    </row>
    <row r="977" spans="1:23" x14ac:dyDescent="0.35">
      <c r="A977" t="s">
        <v>1348</v>
      </c>
      <c r="B977" s="1">
        <v>45992</v>
      </c>
      <c r="C977" t="s">
        <v>662</v>
      </c>
      <c r="D977" t="s">
        <v>58</v>
      </c>
      <c r="E977" t="s">
        <v>78</v>
      </c>
      <c r="F977" t="s">
        <v>83</v>
      </c>
      <c r="G977" t="s">
        <v>182</v>
      </c>
      <c r="H977" s="7">
        <v>1</v>
      </c>
      <c r="I977" s="4">
        <v>8253.16</v>
      </c>
      <c r="J977" s="23">
        <v>0.05</v>
      </c>
      <c r="K977" s="4">
        <v>7840.5</v>
      </c>
      <c r="L977" s="4">
        <v>6260.51</v>
      </c>
      <c r="M977" s="4">
        <v>1579.99</v>
      </c>
      <c r="N977" t="s">
        <v>25</v>
      </c>
      <c r="O977" s="7">
        <v>6</v>
      </c>
      <c r="P977" s="2">
        <v>45992.25</v>
      </c>
      <c r="Q977" t="s">
        <v>34</v>
      </c>
      <c r="R977">
        <v>12</v>
      </c>
      <c r="S977" t="s">
        <v>35</v>
      </c>
      <c r="T977">
        <f>IF(orders[[#This Row],[Status]]="Completed",1,0)</f>
        <v>1</v>
      </c>
      <c r="U977">
        <f>IF(orders[[#This Row],[Status]]="Pending",1,0)</f>
        <v>0</v>
      </c>
      <c r="V977">
        <f>IF(orders[[#This Row],[Status]]="Delayed",1,0)</f>
        <v>0</v>
      </c>
      <c r="W977">
        <f>IF(orders[[#This Row],[Status]]="Cancelled",1,0)</f>
        <v>0</v>
      </c>
    </row>
    <row r="978" spans="1:23" x14ac:dyDescent="0.35">
      <c r="A978" t="s">
        <v>1349</v>
      </c>
      <c r="B978" s="1">
        <v>45860</v>
      </c>
      <c r="C978" t="s">
        <v>390</v>
      </c>
      <c r="D978" t="s">
        <v>21</v>
      </c>
      <c r="E978" t="s">
        <v>78</v>
      </c>
      <c r="F978" t="s">
        <v>72</v>
      </c>
      <c r="G978" t="s">
        <v>73</v>
      </c>
      <c r="H978" s="7">
        <v>7</v>
      </c>
      <c r="I978" s="4">
        <v>7618.94</v>
      </c>
      <c r="J978" s="23">
        <v>0.1</v>
      </c>
      <c r="K978" s="4">
        <v>6857.05</v>
      </c>
      <c r="L978" s="4">
        <v>4012.07</v>
      </c>
      <c r="M978" s="4">
        <v>2844.98</v>
      </c>
      <c r="N978" t="s">
        <v>85</v>
      </c>
      <c r="O978" s="7">
        <v>66</v>
      </c>
      <c r="P978" s="2">
        <v>45862.75</v>
      </c>
      <c r="Q978" t="s">
        <v>60</v>
      </c>
      <c r="R978">
        <v>7</v>
      </c>
      <c r="S978" t="s">
        <v>42</v>
      </c>
      <c r="T978">
        <f>IF(orders[[#This Row],[Status]]="Completed",1,0)</f>
        <v>0</v>
      </c>
      <c r="U978">
        <f>IF(orders[[#This Row],[Status]]="Pending",1,0)</f>
        <v>0</v>
      </c>
      <c r="V978">
        <f>IF(orders[[#This Row],[Status]]="Delayed",1,0)</f>
        <v>1</v>
      </c>
      <c r="W978">
        <f>IF(orders[[#This Row],[Status]]="Cancelled",1,0)</f>
        <v>0</v>
      </c>
    </row>
    <row r="979" spans="1:23" x14ac:dyDescent="0.35">
      <c r="A979" t="s">
        <v>1350</v>
      </c>
      <c r="B979" s="1">
        <v>45683</v>
      </c>
      <c r="C979" t="s">
        <v>57</v>
      </c>
      <c r="D979" t="s">
        <v>77</v>
      </c>
      <c r="E979" t="s">
        <v>78</v>
      </c>
      <c r="F979" t="s">
        <v>72</v>
      </c>
      <c r="G979" t="s">
        <v>119</v>
      </c>
      <c r="H979" s="7">
        <v>5</v>
      </c>
      <c r="I979" s="4">
        <v>11960.1</v>
      </c>
      <c r="J979" s="23">
        <v>0.05</v>
      </c>
      <c r="K979" s="4">
        <v>11362.1</v>
      </c>
      <c r="L979" s="4">
        <v>6557.92</v>
      </c>
      <c r="M979" s="4">
        <v>4804.18</v>
      </c>
      <c r="N979" t="s">
        <v>85</v>
      </c>
      <c r="O979" s="7">
        <v>55</v>
      </c>
      <c r="P979" s="2">
        <v>45685.291666666664</v>
      </c>
      <c r="Q979" t="s">
        <v>65</v>
      </c>
      <c r="R979">
        <v>1</v>
      </c>
      <c r="S979" t="s">
        <v>55</v>
      </c>
      <c r="T979">
        <f>IF(orders[[#This Row],[Status]]="Completed",1,0)</f>
        <v>0</v>
      </c>
      <c r="U979">
        <f>IF(orders[[#This Row],[Status]]="Pending",1,0)</f>
        <v>0</v>
      </c>
      <c r="V979">
        <f>IF(orders[[#This Row],[Status]]="Delayed",1,0)</f>
        <v>1</v>
      </c>
      <c r="W979">
        <f>IF(orders[[#This Row],[Status]]="Cancelled",1,0)</f>
        <v>0</v>
      </c>
    </row>
    <row r="980" spans="1:23" x14ac:dyDescent="0.35">
      <c r="A980" t="s">
        <v>1351</v>
      </c>
      <c r="B980" s="1">
        <v>45830</v>
      </c>
      <c r="C980" t="s">
        <v>205</v>
      </c>
      <c r="D980" t="s">
        <v>51</v>
      </c>
      <c r="E980" t="s">
        <v>31</v>
      </c>
      <c r="F980" t="s">
        <v>83</v>
      </c>
      <c r="G980" t="s">
        <v>182</v>
      </c>
      <c r="H980" s="7">
        <v>2</v>
      </c>
      <c r="I980" s="4">
        <v>8523.1</v>
      </c>
      <c r="J980" s="23">
        <v>0.15</v>
      </c>
      <c r="K980" s="4">
        <v>7244.64</v>
      </c>
      <c r="L980" s="4">
        <v>3991.01</v>
      </c>
      <c r="M980" s="4">
        <v>3253.63</v>
      </c>
      <c r="N980" t="s">
        <v>98</v>
      </c>
      <c r="O980" s="7">
        <v>22</v>
      </c>
      <c r="P980" s="2">
        <v>45830.916666666664</v>
      </c>
      <c r="Q980" t="s">
        <v>99</v>
      </c>
      <c r="R980">
        <v>6</v>
      </c>
      <c r="S980" t="s">
        <v>27</v>
      </c>
      <c r="T980">
        <f>IF(orders[[#This Row],[Status]]="Completed",1,0)</f>
        <v>0</v>
      </c>
      <c r="U980">
        <f>IF(orders[[#This Row],[Status]]="Pending",1,0)</f>
        <v>1</v>
      </c>
      <c r="V980">
        <f>IF(orders[[#This Row],[Status]]="Delayed",1,0)</f>
        <v>0</v>
      </c>
      <c r="W980">
        <f>IF(orders[[#This Row],[Status]]="Cancelled",1,0)</f>
        <v>0</v>
      </c>
    </row>
    <row r="981" spans="1:23" x14ac:dyDescent="0.35">
      <c r="A981" t="s">
        <v>1352</v>
      </c>
      <c r="B981" s="1">
        <v>45957</v>
      </c>
      <c r="C981" t="s">
        <v>745</v>
      </c>
      <c r="D981" t="s">
        <v>68</v>
      </c>
      <c r="E981" t="s">
        <v>31</v>
      </c>
      <c r="F981" t="s">
        <v>23</v>
      </c>
      <c r="G981" t="s">
        <v>24</v>
      </c>
      <c r="H981" s="7">
        <v>7</v>
      </c>
      <c r="I981" s="4">
        <v>49956.83</v>
      </c>
      <c r="J981" s="23">
        <v>0.05</v>
      </c>
      <c r="K981" s="4">
        <v>47458.99</v>
      </c>
      <c r="L981" s="4">
        <v>32877.620000000003</v>
      </c>
      <c r="M981" s="4">
        <v>14581.37</v>
      </c>
      <c r="N981" t="s">
        <v>48</v>
      </c>
      <c r="O981" s="7">
        <v>18</v>
      </c>
      <c r="P981" s="2">
        <v>45957.75</v>
      </c>
      <c r="Q981" t="s">
        <v>116</v>
      </c>
      <c r="R981">
        <v>10</v>
      </c>
      <c r="S981" t="s">
        <v>35</v>
      </c>
      <c r="T981">
        <f>IF(orders[[#This Row],[Status]]="Completed",1,0)</f>
        <v>0</v>
      </c>
      <c r="U981">
        <f>IF(orders[[#This Row],[Status]]="Pending",1,0)</f>
        <v>0</v>
      </c>
      <c r="V981">
        <f>IF(orders[[#This Row],[Status]]="Delayed",1,0)</f>
        <v>0</v>
      </c>
      <c r="W981">
        <f>IF(orders[[#This Row],[Status]]="Cancelled",1,0)</f>
        <v>1</v>
      </c>
    </row>
    <row r="982" spans="1:23" x14ac:dyDescent="0.35">
      <c r="A982" t="s">
        <v>1353</v>
      </c>
      <c r="B982" s="1">
        <v>45790</v>
      </c>
      <c r="C982" t="s">
        <v>297</v>
      </c>
      <c r="D982" t="s">
        <v>21</v>
      </c>
      <c r="E982" t="s">
        <v>46</v>
      </c>
      <c r="F982" t="s">
        <v>23</v>
      </c>
      <c r="G982" t="s">
        <v>69</v>
      </c>
      <c r="H982" s="7">
        <v>4</v>
      </c>
      <c r="I982" s="4">
        <v>6066.76</v>
      </c>
      <c r="J982" s="23">
        <v>0.1</v>
      </c>
      <c r="K982" s="4">
        <v>5460.08</v>
      </c>
      <c r="L982" s="4">
        <v>3909.84</v>
      </c>
      <c r="M982" s="4">
        <v>1550.24</v>
      </c>
      <c r="N982" t="s">
        <v>25</v>
      </c>
      <c r="O982" s="7">
        <v>34</v>
      </c>
      <c r="P982" s="2">
        <v>45791.416666666664</v>
      </c>
      <c r="Q982" t="s">
        <v>74</v>
      </c>
      <c r="R982">
        <v>5</v>
      </c>
      <c r="S982" t="s">
        <v>27</v>
      </c>
      <c r="T982">
        <f>IF(orders[[#This Row],[Status]]="Completed",1,0)</f>
        <v>1</v>
      </c>
      <c r="U982">
        <f>IF(orders[[#This Row],[Status]]="Pending",1,0)</f>
        <v>0</v>
      </c>
      <c r="V982">
        <f>IF(orders[[#This Row],[Status]]="Delayed",1,0)</f>
        <v>0</v>
      </c>
      <c r="W982">
        <f>IF(orders[[#This Row],[Status]]="Cancelled",1,0)</f>
        <v>0</v>
      </c>
    </row>
    <row r="983" spans="1:23" x14ac:dyDescent="0.35">
      <c r="A983" t="s">
        <v>1354</v>
      </c>
      <c r="B983" s="1">
        <v>45983</v>
      </c>
      <c r="C983" t="s">
        <v>959</v>
      </c>
      <c r="D983" t="s">
        <v>38</v>
      </c>
      <c r="E983" t="s">
        <v>31</v>
      </c>
      <c r="F983" t="s">
        <v>32</v>
      </c>
      <c r="G983" t="s">
        <v>89</v>
      </c>
      <c r="H983" s="7">
        <v>2</v>
      </c>
      <c r="I983" s="4">
        <v>4925.1400000000003</v>
      </c>
      <c r="J983" s="23">
        <v>0</v>
      </c>
      <c r="K983" s="4">
        <v>4925.1400000000003</v>
      </c>
      <c r="L983" s="4">
        <v>3745.22</v>
      </c>
      <c r="M983" s="4">
        <v>1179.92</v>
      </c>
      <c r="N983" t="s">
        <v>25</v>
      </c>
      <c r="O983" s="7">
        <v>10</v>
      </c>
      <c r="P983" s="2">
        <v>45983.416666666664</v>
      </c>
      <c r="Q983" t="s">
        <v>86</v>
      </c>
      <c r="R983">
        <v>11</v>
      </c>
      <c r="S983" t="s">
        <v>35</v>
      </c>
      <c r="T983">
        <f>IF(orders[[#This Row],[Status]]="Completed",1,0)</f>
        <v>1</v>
      </c>
      <c r="U983">
        <f>IF(orders[[#This Row],[Status]]="Pending",1,0)</f>
        <v>0</v>
      </c>
      <c r="V983">
        <f>IF(orders[[#This Row],[Status]]="Delayed",1,0)</f>
        <v>0</v>
      </c>
      <c r="W983">
        <f>IF(orders[[#This Row],[Status]]="Cancelled",1,0)</f>
        <v>0</v>
      </c>
    </row>
    <row r="984" spans="1:23" x14ac:dyDescent="0.35">
      <c r="A984" t="s">
        <v>1355</v>
      </c>
      <c r="B984" s="1">
        <v>45775</v>
      </c>
      <c r="C984" t="s">
        <v>938</v>
      </c>
      <c r="D984" t="s">
        <v>63</v>
      </c>
      <c r="E984" t="s">
        <v>22</v>
      </c>
      <c r="F984" t="s">
        <v>32</v>
      </c>
      <c r="G984" t="s">
        <v>33</v>
      </c>
      <c r="H984" s="7">
        <v>4</v>
      </c>
      <c r="I984" s="4">
        <v>2797.68</v>
      </c>
      <c r="J984" s="23">
        <v>0.1</v>
      </c>
      <c r="K984" s="4">
        <v>2517.91</v>
      </c>
      <c r="L984" s="4">
        <v>1630.85</v>
      </c>
      <c r="M984" s="4">
        <v>887.06</v>
      </c>
      <c r="N984" t="s">
        <v>48</v>
      </c>
      <c r="O984" s="7">
        <v>22</v>
      </c>
      <c r="P984" s="2">
        <v>45775.916666666664</v>
      </c>
      <c r="Q984" t="s">
        <v>26</v>
      </c>
      <c r="R984">
        <v>4</v>
      </c>
      <c r="S984" t="s">
        <v>27</v>
      </c>
      <c r="T984">
        <f>IF(orders[[#This Row],[Status]]="Completed",1,0)</f>
        <v>0</v>
      </c>
      <c r="U984">
        <f>IF(orders[[#This Row],[Status]]="Pending",1,0)</f>
        <v>0</v>
      </c>
      <c r="V984">
        <f>IF(orders[[#This Row],[Status]]="Delayed",1,0)</f>
        <v>0</v>
      </c>
      <c r="W984">
        <f>IF(orders[[#This Row],[Status]]="Cancelled",1,0)</f>
        <v>1</v>
      </c>
    </row>
    <row r="985" spans="1:23" x14ac:dyDescent="0.35">
      <c r="A985" t="s">
        <v>1356</v>
      </c>
      <c r="B985" s="1">
        <v>45981</v>
      </c>
      <c r="C985" t="s">
        <v>321</v>
      </c>
      <c r="D985" t="s">
        <v>63</v>
      </c>
      <c r="E985" t="s">
        <v>22</v>
      </c>
      <c r="F985" t="s">
        <v>23</v>
      </c>
      <c r="G985" t="s">
        <v>122</v>
      </c>
      <c r="H985" s="7">
        <v>4</v>
      </c>
      <c r="I985" s="4">
        <v>24179.919999999998</v>
      </c>
      <c r="J985" s="23">
        <v>0.2</v>
      </c>
      <c r="K985" s="4">
        <v>19343.939999999999</v>
      </c>
      <c r="L985" s="4">
        <v>15174.16</v>
      </c>
      <c r="M985" s="4">
        <v>4169.78</v>
      </c>
      <c r="N985" t="s">
        <v>25</v>
      </c>
      <c r="O985" s="7">
        <v>22</v>
      </c>
      <c r="P985" s="2">
        <v>45981.916666666664</v>
      </c>
      <c r="Q985" t="s">
        <v>86</v>
      </c>
      <c r="R985">
        <v>11</v>
      </c>
      <c r="S985" t="s">
        <v>35</v>
      </c>
      <c r="T985">
        <f>IF(orders[[#This Row],[Status]]="Completed",1,0)</f>
        <v>1</v>
      </c>
      <c r="U985">
        <f>IF(orders[[#This Row],[Status]]="Pending",1,0)</f>
        <v>0</v>
      </c>
      <c r="V985">
        <f>IF(orders[[#This Row],[Status]]="Delayed",1,0)</f>
        <v>0</v>
      </c>
      <c r="W985">
        <f>IF(orders[[#This Row],[Status]]="Cancelled",1,0)</f>
        <v>0</v>
      </c>
    </row>
    <row r="986" spans="1:23" x14ac:dyDescent="0.35">
      <c r="A986" t="s">
        <v>1357</v>
      </c>
      <c r="B986" s="1">
        <v>45932</v>
      </c>
      <c r="C986" t="s">
        <v>1040</v>
      </c>
      <c r="D986" t="s">
        <v>68</v>
      </c>
      <c r="E986" t="s">
        <v>78</v>
      </c>
      <c r="F986" t="s">
        <v>39</v>
      </c>
      <c r="G986" t="s">
        <v>40</v>
      </c>
      <c r="H986" s="7">
        <v>5</v>
      </c>
      <c r="I986" s="4">
        <v>10695.25</v>
      </c>
      <c r="J986" s="23">
        <v>0.1</v>
      </c>
      <c r="K986" s="4">
        <v>9625.7199999999993</v>
      </c>
      <c r="L986" s="4">
        <v>5832.03</v>
      </c>
      <c r="M986" s="4">
        <v>3793.69</v>
      </c>
      <c r="N986" t="s">
        <v>48</v>
      </c>
      <c r="O986" s="7">
        <v>7</v>
      </c>
      <c r="P986" s="2">
        <v>45932.291666666664</v>
      </c>
      <c r="Q986" t="s">
        <v>116</v>
      </c>
      <c r="R986">
        <v>10</v>
      </c>
      <c r="S986" t="s">
        <v>35</v>
      </c>
      <c r="T986">
        <f>IF(orders[[#This Row],[Status]]="Completed",1,0)</f>
        <v>0</v>
      </c>
      <c r="U986">
        <f>IF(orders[[#This Row],[Status]]="Pending",1,0)</f>
        <v>0</v>
      </c>
      <c r="V986">
        <f>IF(orders[[#This Row],[Status]]="Delayed",1,0)</f>
        <v>0</v>
      </c>
      <c r="W986">
        <f>IF(orders[[#This Row],[Status]]="Cancelled",1,0)</f>
        <v>1</v>
      </c>
    </row>
    <row r="987" spans="1:23" x14ac:dyDescent="0.35">
      <c r="A987" t="s">
        <v>1358</v>
      </c>
      <c r="B987" s="1">
        <v>45869</v>
      </c>
      <c r="C987" t="s">
        <v>551</v>
      </c>
      <c r="D987" t="s">
        <v>77</v>
      </c>
      <c r="E987" t="s">
        <v>46</v>
      </c>
      <c r="F987" t="s">
        <v>72</v>
      </c>
      <c r="G987" t="s">
        <v>119</v>
      </c>
      <c r="H987" s="7">
        <v>2</v>
      </c>
      <c r="I987" s="4">
        <v>6790.86</v>
      </c>
      <c r="J987" s="23">
        <v>0.1</v>
      </c>
      <c r="K987" s="4">
        <v>6111.77</v>
      </c>
      <c r="L987" s="4">
        <v>5039.5</v>
      </c>
      <c r="M987" s="4">
        <v>1072.27</v>
      </c>
      <c r="N987" t="s">
        <v>25</v>
      </c>
      <c r="O987" s="7">
        <v>6</v>
      </c>
      <c r="P987" s="2">
        <v>45869.25</v>
      </c>
      <c r="Q987" t="s">
        <v>60</v>
      </c>
      <c r="R987">
        <v>7</v>
      </c>
      <c r="S987" t="s">
        <v>42</v>
      </c>
      <c r="T987">
        <f>IF(orders[[#This Row],[Status]]="Completed",1,0)</f>
        <v>1</v>
      </c>
      <c r="U987">
        <f>IF(orders[[#This Row],[Status]]="Pending",1,0)</f>
        <v>0</v>
      </c>
      <c r="V987">
        <f>IF(orders[[#This Row],[Status]]="Delayed",1,0)</f>
        <v>0</v>
      </c>
      <c r="W987">
        <f>IF(orders[[#This Row],[Status]]="Cancelled",1,0)</f>
        <v>0</v>
      </c>
    </row>
    <row r="988" spans="1:23" x14ac:dyDescent="0.35">
      <c r="A988" t="s">
        <v>1359</v>
      </c>
      <c r="B988" s="1">
        <v>45882</v>
      </c>
      <c r="C988" t="s">
        <v>578</v>
      </c>
      <c r="D988" t="s">
        <v>63</v>
      </c>
      <c r="E988" t="s">
        <v>78</v>
      </c>
      <c r="F988" t="s">
        <v>39</v>
      </c>
      <c r="G988" t="s">
        <v>47</v>
      </c>
      <c r="H988" s="7">
        <v>2</v>
      </c>
      <c r="I988" s="4">
        <v>7709.82</v>
      </c>
      <c r="J988" s="23">
        <v>0.25</v>
      </c>
      <c r="K988" s="4">
        <v>5782.36</v>
      </c>
      <c r="L988" s="4">
        <v>4271.49</v>
      </c>
      <c r="M988" s="4">
        <v>1510.87</v>
      </c>
      <c r="N988" t="s">
        <v>25</v>
      </c>
      <c r="O988" s="7">
        <v>33</v>
      </c>
      <c r="P988" s="2">
        <v>45883.375</v>
      </c>
      <c r="Q988" t="s">
        <v>80</v>
      </c>
      <c r="R988">
        <v>8</v>
      </c>
      <c r="S988" t="s">
        <v>42</v>
      </c>
      <c r="T988">
        <f>IF(orders[[#This Row],[Status]]="Completed",1,0)</f>
        <v>1</v>
      </c>
      <c r="U988">
        <f>IF(orders[[#This Row],[Status]]="Pending",1,0)</f>
        <v>0</v>
      </c>
      <c r="V988">
        <f>IF(orders[[#This Row],[Status]]="Delayed",1,0)</f>
        <v>0</v>
      </c>
      <c r="W988">
        <f>IF(orders[[#This Row],[Status]]="Cancelled",1,0)</f>
        <v>0</v>
      </c>
    </row>
    <row r="989" spans="1:23" x14ac:dyDescent="0.35">
      <c r="A989" t="s">
        <v>1360</v>
      </c>
      <c r="B989" s="1">
        <v>45677</v>
      </c>
      <c r="C989" t="s">
        <v>959</v>
      </c>
      <c r="D989" t="s">
        <v>21</v>
      </c>
      <c r="E989" t="s">
        <v>52</v>
      </c>
      <c r="F989" t="s">
        <v>72</v>
      </c>
      <c r="G989" t="s">
        <v>104</v>
      </c>
      <c r="H989" s="7">
        <v>1</v>
      </c>
      <c r="I989" s="4">
        <v>7592.47</v>
      </c>
      <c r="J989" s="23">
        <v>0.1</v>
      </c>
      <c r="K989" s="4">
        <v>6833.22</v>
      </c>
      <c r="L989" s="4">
        <v>5074.92</v>
      </c>
      <c r="M989" s="4">
        <v>1758.3</v>
      </c>
      <c r="N989" t="s">
        <v>98</v>
      </c>
      <c r="O989" s="7">
        <v>5</v>
      </c>
      <c r="P989" s="2">
        <v>45677.208333333336</v>
      </c>
      <c r="Q989" t="s">
        <v>65</v>
      </c>
      <c r="R989">
        <v>1</v>
      </c>
      <c r="S989" t="s">
        <v>55</v>
      </c>
      <c r="T989">
        <f>IF(orders[[#This Row],[Status]]="Completed",1,0)</f>
        <v>0</v>
      </c>
      <c r="U989">
        <f>IF(orders[[#This Row],[Status]]="Pending",1,0)</f>
        <v>1</v>
      </c>
      <c r="V989">
        <f>IF(orders[[#This Row],[Status]]="Delayed",1,0)</f>
        <v>0</v>
      </c>
      <c r="W989">
        <f>IF(orders[[#This Row],[Status]]="Cancelled",1,0)</f>
        <v>0</v>
      </c>
    </row>
    <row r="990" spans="1:23" x14ac:dyDescent="0.35">
      <c r="A990" t="s">
        <v>1361</v>
      </c>
      <c r="B990" s="1">
        <v>45770</v>
      </c>
      <c r="C990" t="s">
        <v>861</v>
      </c>
      <c r="D990" t="s">
        <v>149</v>
      </c>
      <c r="E990" t="s">
        <v>31</v>
      </c>
      <c r="F990" t="s">
        <v>23</v>
      </c>
      <c r="G990" t="s">
        <v>122</v>
      </c>
      <c r="H990" s="7">
        <v>7</v>
      </c>
      <c r="I990" s="4">
        <v>25092.27</v>
      </c>
      <c r="J990" s="23">
        <v>0.05</v>
      </c>
      <c r="K990" s="4">
        <v>23837.66</v>
      </c>
      <c r="L990" s="4">
        <v>14760.9</v>
      </c>
      <c r="M990" s="4">
        <v>9076.76</v>
      </c>
      <c r="N990" t="s">
        <v>48</v>
      </c>
      <c r="O990" s="7">
        <v>15</v>
      </c>
      <c r="P990" s="2">
        <v>45770.625</v>
      </c>
      <c r="Q990" t="s">
        <v>26</v>
      </c>
      <c r="R990">
        <v>4</v>
      </c>
      <c r="S990" t="s">
        <v>27</v>
      </c>
      <c r="T990">
        <f>IF(orders[[#This Row],[Status]]="Completed",1,0)</f>
        <v>0</v>
      </c>
      <c r="U990">
        <f>IF(orders[[#This Row],[Status]]="Pending",1,0)</f>
        <v>0</v>
      </c>
      <c r="V990">
        <f>IF(orders[[#This Row],[Status]]="Delayed",1,0)</f>
        <v>0</v>
      </c>
      <c r="W990">
        <f>IF(orders[[#This Row],[Status]]="Cancelled",1,0)</f>
        <v>1</v>
      </c>
    </row>
    <row r="991" spans="1:23" x14ac:dyDescent="0.35">
      <c r="A991" t="s">
        <v>1362</v>
      </c>
      <c r="B991" s="1">
        <v>45797</v>
      </c>
      <c r="C991" t="s">
        <v>57</v>
      </c>
      <c r="D991" t="s">
        <v>45</v>
      </c>
      <c r="E991" t="s">
        <v>31</v>
      </c>
      <c r="F991" t="s">
        <v>32</v>
      </c>
      <c r="G991" t="s">
        <v>89</v>
      </c>
      <c r="H991" s="7">
        <v>2</v>
      </c>
      <c r="I991" s="4">
        <v>2725.26</v>
      </c>
      <c r="J991" s="23">
        <v>0.05</v>
      </c>
      <c r="K991" s="4">
        <v>2589</v>
      </c>
      <c r="L991" s="4">
        <v>1487.27</v>
      </c>
      <c r="M991" s="4">
        <v>1101.73</v>
      </c>
      <c r="N991" t="s">
        <v>25</v>
      </c>
      <c r="O991" s="7">
        <v>17</v>
      </c>
      <c r="P991" s="2">
        <v>45797.708333333336</v>
      </c>
      <c r="Q991" t="s">
        <v>74</v>
      </c>
      <c r="R991">
        <v>5</v>
      </c>
      <c r="S991" t="s">
        <v>27</v>
      </c>
      <c r="T991">
        <f>IF(orders[[#This Row],[Status]]="Completed",1,0)</f>
        <v>1</v>
      </c>
      <c r="U991">
        <f>IF(orders[[#This Row],[Status]]="Pending",1,0)</f>
        <v>0</v>
      </c>
      <c r="V991">
        <f>IF(orders[[#This Row],[Status]]="Delayed",1,0)</f>
        <v>0</v>
      </c>
      <c r="W991">
        <f>IF(orders[[#This Row],[Status]]="Cancelled",1,0)</f>
        <v>0</v>
      </c>
    </row>
    <row r="992" spans="1:23" x14ac:dyDescent="0.35">
      <c r="A992" t="s">
        <v>1363</v>
      </c>
      <c r="B992" s="1">
        <v>45704</v>
      </c>
      <c r="C992" t="s">
        <v>184</v>
      </c>
      <c r="D992" t="s">
        <v>45</v>
      </c>
      <c r="E992" t="s">
        <v>78</v>
      </c>
      <c r="F992" t="s">
        <v>32</v>
      </c>
      <c r="G992" t="s">
        <v>64</v>
      </c>
      <c r="H992" s="7">
        <v>1</v>
      </c>
      <c r="I992" s="4">
        <v>4528.03</v>
      </c>
      <c r="J992" s="23">
        <v>0.15</v>
      </c>
      <c r="K992" s="4">
        <v>3848.83</v>
      </c>
      <c r="L992" s="4">
        <v>2707.11</v>
      </c>
      <c r="M992" s="4">
        <v>1141.72</v>
      </c>
      <c r="N992" t="s">
        <v>25</v>
      </c>
      <c r="O992" s="7">
        <v>38</v>
      </c>
      <c r="P992" s="2">
        <v>45705.583333333336</v>
      </c>
      <c r="Q992" t="s">
        <v>139</v>
      </c>
      <c r="R992">
        <v>2</v>
      </c>
      <c r="S992" t="s">
        <v>55</v>
      </c>
      <c r="T992">
        <f>IF(orders[[#This Row],[Status]]="Completed",1,0)</f>
        <v>1</v>
      </c>
      <c r="U992">
        <f>IF(orders[[#This Row],[Status]]="Pending",1,0)</f>
        <v>0</v>
      </c>
      <c r="V992">
        <f>IF(orders[[#This Row],[Status]]="Delayed",1,0)</f>
        <v>0</v>
      </c>
      <c r="W992">
        <f>IF(orders[[#This Row],[Status]]="Cancelled",1,0)</f>
        <v>0</v>
      </c>
    </row>
    <row r="993" spans="1:23" x14ac:dyDescent="0.35">
      <c r="A993" t="s">
        <v>1364</v>
      </c>
      <c r="B993" s="1">
        <v>45658</v>
      </c>
      <c r="C993" t="s">
        <v>766</v>
      </c>
      <c r="D993" t="s">
        <v>58</v>
      </c>
      <c r="E993" t="s">
        <v>78</v>
      </c>
      <c r="F993" t="s">
        <v>39</v>
      </c>
      <c r="G993" t="s">
        <v>47</v>
      </c>
      <c r="H993" s="7">
        <v>3</v>
      </c>
      <c r="I993" s="4">
        <v>24572.1</v>
      </c>
      <c r="J993" s="23">
        <v>0.15</v>
      </c>
      <c r="K993" s="4">
        <v>20886.28</v>
      </c>
      <c r="L993" s="4">
        <v>15730.54</v>
      </c>
      <c r="M993" s="4">
        <v>5155.74</v>
      </c>
      <c r="N993" t="s">
        <v>48</v>
      </c>
      <c r="O993" s="7">
        <v>14</v>
      </c>
      <c r="P993" s="2">
        <v>45658.583333333336</v>
      </c>
      <c r="Q993" t="s">
        <v>65</v>
      </c>
      <c r="R993">
        <v>1</v>
      </c>
      <c r="S993" t="s">
        <v>55</v>
      </c>
      <c r="T993">
        <f>IF(orders[[#This Row],[Status]]="Completed",1,0)</f>
        <v>0</v>
      </c>
      <c r="U993">
        <f>IF(orders[[#This Row],[Status]]="Pending",1,0)</f>
        <v>0</v>
      </c>
      <c r="V993">
        <f>IF(orders[[#This Row],[Status]]="Delayed",1,0)</f>
        <v>0</v>
      </c>
      <c r="W993">
        <f>IF(orders[[#This Row],[Status]]="Cancelled",1,0)</f>
        <v>1</v>
      </c>
    </row>
    <row r="994" spans="1:23" x14ac:dyDescent="0.35">
      <c r="A994" t="s">
        <v>1365</v>
      </c>
      <c r="B994" s="1">
        <v>45747</v>
      </c>
      <c r="C994" t="s">
        <v>575</v>
      </c>
      <c r="D994" t="s">
        <v>30</v>
      </c>
      <c r="E994" t="s">
        <v>59</v>
      </c>
      <c r="F994" t="s">
        <v>32</v>
      </c>
      <c r="G994" t="s">
        <v>33</v>
      </c>
      <c r="H994" s="7">
        <v>3</v>
      </c>
      <c r="I994" s="4">
        <v>15672.54</v>
      </c>
      <c r="J994" s="23">
        <v>0.05</v>
      </c>
      <c r="K994" s="4">
        <v>14888.91</v>
      </c>
      <c r="L994" s="4">
        <v>8655.9</v>
      </c>
      <c r="M994" s="4">
        <v>6233.01</v>
      </c>
      <c r="N994" t="s">
        <v>25</v>
      </c>
      <c r="O994" s="7">
        <v>33</v>
      </c>
      <c r="P994" s="2">
        <v>45748.375</v>
      </c>
      <c r="Q994" t="s">
        <v>54</v>
      </c>
      <c r="R994">
        <v>3</v>
      </c>
      <c r="S994" t="s">
        <v>55</v>
      </c>
      <c r="T994">
        <f>IF(orders[[#This Row],[Status]]="Completed",1,0)</f>
        <v>1</v>
      </c>
      <c r="U994">
        <f>IF(orders[[#This Row],[Status]]="Pending",1,0)</f>
        <v>0</v>
      </c>
      <c r="V994">
        <f>IF(orders[[#This Row],[Status]]="Delayed",1,0)</f>
        <v>0</v>
      </c>
      <c r="W994">
        <f>IF(orders[[#This Row],[Status]]="Cancelled",1,0)</f>
        <v>0</v>
      </c>
    </row>
    <row r="995" spans="1:23" x14ac:dyDescent="0.35">
      <c r="A995" t="s">
        <v>1366</v>
      </c>
      <c r="B995" s="1">
        <v>45799</v>
      </c>
      <c r="C995" t="s">
        <v>57</v>
      </c>
      <c r="D995" t="s">
        <v>51</v>
      </c>
      <c r="E995" t="s">
        <v>78</v>
      </c>
      <c r="F995" t="s">
        <v>23</v>
      </c>
      <c r="G995" t="s">
        <v>136</v>
      </c>
      <c r="H995" s="7">
        <v>3</v>
      </c>
      <c r="I995" s="4">
        <v>25083.84</v>
      </c>
      <c r="J995" s="23">
        <v>0.05</v>
      </c>
      <c r="K995" s="4">
        <v>23829.65</v>
      </c>
      <c r="L995" s="4">
        <v>20581.11</v>
      </c>
      <c r="M995" s="4">
        <v>3248.54</v>
      </c>
      <c r="N995" t="s">
        <v>48</v>
      </c>
      <c r="O995" s="7">
        <v>1</v>
      </c>
      <c r="P995" s="2">
        <v>45799.041666666664</v>
      </c>
      <c r="Q995" t="s">
        <v>74</v>
      </c>
      <c r="R995">
        <v>5</v>
      </c>
      <c r="S995" t="s">
        <v>27</v>
      </c>
      <c r="T995">
        <f>IF(orders[[#This Row],[Status]]="Completed",1,0)</f>
        <v>0</v>
      </c>
      <c r="U995">
        <f>IF(orders[[#This Row],[Status]]="Pending",1,0)</f>
        <v>0</v>
      </c>
      <c r="V995">
        <f>IF(orders[[#This Row],[Status]]="Delayed",1,0)</f>
        <v>0</v>
      </c>
      <c r="W995">
        <f>IF(orders[[#This Row],[Status]]="Cancelled",1,0)</f>
        <v>1</v>
      </c>
    </row>
    <row r="996" spans="1:23" x14ac:dyDescent="0.35">
      <c r="A996" t="s">
        <v>1367</v>
      </c>
      <c r="B996" s="1">
        <v>45977</v>
      </c>
      <c r="C996" t="s">
        <v>426</v>
      </c>
      <c r="D996" t="s">
        <v>68</v>
      </c>
      <c r="E996" t="s">
        <v>31</v>
      </c>
      <c r="F996" t="s">
        <v>39</v>
      </c>
      <c r="G996" t="s">
        <v>188</v>
      </c>
      <c r="H996" s="7">
        <v>6</v>
      </c>
      <c r="I996" s="4">
        <v>43039.5</v>
      </c>
      <c r="J996" s="23">
        <v>0.25</v>
      </c>
      <c r="K996" s="4">
        <v>32279.62</v>
      </c>
      <c r="L996" s="4">
        <v>28197.43</v>
      </c>
      <c r="M996" s="4">
        <v>4082.19</v>
      </c>
      <c r="N996" t="s">
        <v>25</v>
      </c>
      <c r="O996" s="7">
        <v>10</v>
      </c>
      <c r="P996" s="2">
        <v>45977.416666666664</v>
      </c>
      <c r="Q996" t="s">
        <v>86</v>
      </c>
      <c r="R996">
        <v>11</v>
      </c>
      <c r="S996" t="s">
        <v>35</v>
      </c>
      <c r="T996">
        <f>IF(orders[[#This Row],[Status]]="Completed",1,0)</f>
        <v>1</v>
      </c>
      <c r="U996">
        <f>IF(orders[[#This Row],[Status]]="Pending",1,0)</f>
        <v>0</v>
      </c>
      <c r="V996">
        <f>IF(orders[[#This Row],[Status]]="Delayed",1,0)</f>
        <v>0</v>
      </c>
      <c r="W996">
        <f>IF(orders[[#This Row],[Status]]="Cancelled",1,0)</f>
        <v>0</v>
      </c>
    </row>
    <row r="997" spans="1:23" x14ac:dyDescent="0.35">
      <c r="A997" t="s">
        <v>1368</v>
      </c>
      <c r="B997" s="1">
        <v>45695</v>
      </c>
      <c r="C997" t="s">
        <v>727</v>
      </c>
      <c r="D997" t="s">
        <v>58</v>
      </c>
      <c r="E997" t="s">
        <v>22</v>
      </c>
      <c r="F997" t="s">
        <v>72</v>
      </c>
      <c r="G997" t="s">
        <v>129</v>
      </c>
      <c r="H997" s="7">
        <v>2</v>
      </c>
      <c r="I997" s="4">
        <v>900.62</v>
      </c>
      <c r="J997" s="23">
        <v>0</v>
      </c>
      <c r="K997" s="4">
        <v>900.62</v>
      </c>
      <c r="L997" s="4">
        <v>657.45</v>
      </c>
      <c r="M997" s="4">
        <v>243.17</v>
      </c>
      <c r="N997" t="s">
        <v>85</v>
      </c>
      <c r="O997" s="7">
        <v>62</v>
      </c>
      <c r="P997" s="2">
        <v>45697.583333333336</v>
      </c>
      <c r="Q997" t="s">
        <v>139</v>
      </c>
      <c r="R997">
        <v>2</v>
      </c>
      <c r="S997" t="s">
        <v>55</v>
      </c>
      <c r="T997">
        <f>IF(orders[[#This Row],[Status]]="Completed",1,0)</f>
        <v>0</v>
      </c>
      <c r="U997">
        <f>IF(orders[[#This Row],[Status]]="Pending",1,0)</f>
        <v>0</v>
      </c>
      <c r="V997">
        <f>IF(orders[[#This Row],[Status]]="Delayed",1,0)</f>
        <v>1</v>
      </c>
      <c r="W997">
        <f>IF(orders[[#This Row],[Status]]="Cancelled",1,0)</f>
        <v>0</v>
      </c>
    </row>
    <row r="998" spans="1:23" x14ac:dyDescent="0.35">
      <c r="A998" t="s">
        <v>1369</v>
      </c>
      <c r="B998" s="1">
        <v>45950</v>
      </c>
      <c r="C998" t="s">
        <v>399</v>
      </c>
      <c r="D998" t="s">
        <v>30</v>
      </c>
      <c r="E998" t="s">
        <v>59</v>
      </c>
      <c r="F998" t="s">
        <v>32</v>
      </c>
      <c r="G998" t="s">
        <v>89</v>
      </c>
      <c r="H998" s="7">
        <v>6</v>
      </c>
      <c r="I998" s="4">
        <v>33885.839999999997</v>
      </c>
      <c r="J998" s="23">
        <v>0.05</v>
      </c>
      <c r="K998" s="4">
        <v>32191.55</v>
      </c>
      <c r="L998" s="4">
        <v>27798.14</v>
      </c>
      <c r="M998" s="4">
        <v>4393.41</v>
      </c>
      <c r="N998" t="s">
        <v>25</v>
      </c>
      <c r="O998" s="7">
        <v>34</v>
      </c>
      <c r="P998" s="2">
        <v>45951.416666666664</v>
      </c>
      <c r="Q998" t="s">
        <v>116</v>
      </c>
      <c r="R998">
        <v>10</v>
      </c>
      <c r="S998" t="s">
        <v>35</v>
      </c>
      <c r="T998">
        <f>IF(orders[[#This Row],[Status]]="Completed",1,0)</f>
        <v>1</v>
      </c>
      <c r="U998">
        <f>IF(orders[[#This Row],[Status]]="Pending",1,0)</f>
        <v>0</v>
      </c>
      <c r="V998">
        <f>IF(orders[[#This Row],[Status]]="Delayed",1,0)</f>
        <v>0</v>
      </c>
      <c r="W998">
        <f>IF(orders[[#This Row],[Status]]="Cancelled",1,0)</f>
        <v>0</v>
      </c>
    </row>
    <row r="999" spans="1:23" x14ac:dyDescent="0.35">
      <c r="A999" t="s">
        <v>1370</v>
      </c>
      <c r="B999" s="1">
        <v>45796</v>
      </c>
      <c r="C999" t="s">
        <v>263</v>
      </c>
      <c r="D999" t="s">
        <v>77</v>
      </c>
      <c r="E999" t="s">
        <v>59</v>
      </c>
      <c r="F999" t="s">
        <v>83</v>
      </c>
      <c r="G999" t="s">
        <v>182</v>
      </c>
      <c r="H999" s="7">
        <v>7</v>
      </c>
      <c r="I999" s="4">
        <v>17811.5</v>
      </c>
      <c r="J999" s="23">
        <v>0</v>
      </c>
      <c r="K999" s="4">
        <v>17811.5</v>
      </c>
      <c r="L999" s="4">
        <v>10851.07</v>
      </c>
      <c r="M999" s="4">
        <v>6960.43</v>
      </c>
      <c r="N999" t="s">
        <v>25</v>
      </c>
      <c r="O999" s="7">
        <v>8</v>
      </c>
      <c r="P999" s="2">
        <v>45796.333333333336</v>
      </c>
      <c r="Q999" t="s">
        <v>74</v>
      </c>
      <c r="R999">
        <v>5</v>
      </c>
      <c r="S999" t="s">
        <v>27</v>
      </c>
      <c r="T999">
        <f>IF(orders[[#This Row],[Status]]="Completed",1,0)</f>
        <v>1</v>
      </c>
      <c r="U999">
        <f>IF(orders[[#This Row],[Status]]="Pending",1,0)</f>
        <v>0</v>
      </c>
      <c r="V999">
        <f>IF(orders[[#This Row],[Status]]="Delayed",1,0)</f>
        <v>0</v>
      </c>
      <c r="W999">
        <f>IF(orders[[#This Row],[Status]]="Cancelled",1,0)</f>
        <v>0</v>
      </c>
    </row>
    <row r="1000" spans="1:23" x14ac:dyDescent="0.35">
      <c r="A1000" t="s">
        <v>1371</v>
      </c>
      <c r="B1000" s="1">
        <v>46013</v>
      </c>
      <c r="C1000" t="s">
        <v>175</v>
      </c>
      <c r="D1000" t="s">
        <v>38</v>
      </c>
      <c r="E1000" t="s">
        <v>31</v>
      </c>
      <c r="F1000" t="s">
        <v>32</v>
      </c>
      <c r="G1000" t="s">
        <v>53</v>
      </c>
      <c r="H1000" s="7">
        <v>2</v>
      </c>
      <c r="I1000" s="4">
        <v>9645.6</v>
      </c>
      <c r="J1000" s="23">
        <v>0.15</v>
      </c>
      <c r="K1000" s="4">
        <v>8198.76</v>
      </c>
      <c r="L1000" s="4">
        <v>4578.1000000000004</v>
      </c>
      <c r="M1000" s="4">
        <v>3620.66</v>
      </c>
      <c r="N1000" t="s">
        <v>85</v>
      </c>
      <c r="O1000" s="7">
        <v>91</v>
      </c>
      <c r="P1000" s="2">
        <v>46016.791666666664</v>
      </c>
      <c r="Q1000" t="s">
        <v>34</v>
      </c>
      <c r="R1000">
        <v>12</v>
      </c>
      <c r="S1000" t="s">
        <v>35</v>
      </c>
      <c r="T1000">
        <f>IF(orders[[#This Row],[Status]]="Completed",1,0)</f>
        <v>0</v>
      </c>
      <c r="U1000">
        <f>IF(orders[[#This Row],[Status]]="Pending",1,0)</f>
        <v>0</v>
      </c>
      <c r="V1000">
        <f>IF(orders[[#This Row],[Status]]="Delayed",1,0)</f>
        <v>1</v>
      </c>
      <c r="W1000">
        <f>IF(orders[[#This Row],[Status]]="Cancelled",1,0)</f>
        <v>0</v>
      </c>
    </row>
    <row r="1001" spans="1:23" x14ac:dyDescent="0.35">
      <c r="A1001" t="s">
        <v>1372</v>
      </c>
      <c r="B1001" s="1">
        <v>45990</v>
      </c>
      <c r="C1001" t="s">
        <v>252</v>
      </c>
      <c r="D1001" t="s">
        <v>38</v>
      </c>
      <c r="E1001" t="s">
        <v>113</v>
      </c>
      <c r="F1001" t="s">
        <v>72</v>
      </c>
      <c r="G1001" t="s">
        <v>119</v>
      </c>
      <c r="H1001" s="7">
        <v>1</v>
      </c>
      <c r="I1001" s="4">
        <v>2482.5300000000002</v>
      </c>
      <c r="J1001" s="23">
        <v>0</v>
      </c>
      <c r="K1001" s="4">
        <v>2482.5300000000002</v>
      </c>
      <c r="L1001" s="4">
        <v>1397.68</v>
      </c>
      <c r="M1001" s="4">
        <v>1084.8499999999999</v>
      </c>
      <c r="N1001" t="s">
        <v>25</v>
      </c>
      <c r="O1001" s="7">
        <v>17</v>
      </c>
      <c r="P1001" s="2">
        <v>45990.708333333336</v>
      </c>
      <c r="Q1001" t="s">
        <v>86</v>
      </c>
      <c r="R1001">
        <v>11</v>
      </c>
      <c r="S1001" t="s">
        <v>35</v>
      </c>
      <c r="T1001">
        <f>IF(orders[[#This Row],[Status]]="Completed",1,0)</f>
        <v>1</v>
      </c>
      <c r="U1001">
        <f>IF(orders[[#This Row],[Status]]="Pending",1,0)</f>
        <v>0</v>
      </c>
      <c r="V1001">
        <f>IF(orders[[#This Row],[Status]]="Delayed",1,0)</f>
        <v>0</v>
      </c>
      <c r="W1001">
        <f>IF(orders[[#This Row],[Status]]="Cancelled",1,0)</f>
        <v>0</v>
      </c>
    </row>
    <row r="1002" spans="1:23" x14ac:dyDescent="0.35">
      <c r="A1002" t="s">
        <v>1373</v>
      </c>
      <c r="B1002" s="1">
        <v>45916</v>
      </c>
      <c r="C1002" t="s">
        <v>1063</v>
      </c>
      <c r="D1002" t="s">
        <v>51</v>
      </c>
      <c r="E1002" t="s">
        <v>92</v>
      </c>
      <c r="F1002" t="s">
        <v>39</v>
      </c>
      <c r="G1002" t="s">
        <v>93</v>
      </c>
      <c r="H1002" s="7">
        <v>6</v>
      </c>
      <c r="I1002" s="4">
        <v>18378.419999999998</v>
      </c>
      <c r="J1002" s="23">
        <v>0.1</v>
      </c>
      <c r="K1002" s="4">
        <v>16540.580000000002</v>
      </c>
      <c r="L1002" s="4">
        <v>12304.19</v>
      </c>
      <c r="M1002" s="4">
        <v>4236.3900000000003</v>
      </c>
      <c r="N1002" t="s">
        <v>25</v>
      </c>
      <c r="O1002" s="7">
        <v>39</v>
      </c>
      <c r="P1002" s="2">
        <v>45917.625</v>
      </c>
      <c r="Q1002" t="s">
        <v>41</v>
      </c>
      <c r="R1002">
        <v>9</v>
      </c>
      <c r="S1002" t="s">
        <v>42</v>
      </c>
      <c r="T1002">
        <f>IF(orders[[#This Row],[Status]]="Completed",1,0)</f>
        <v>1</v>
      </c>
      <c r="U1002">
        <f>IF(orders[[#This Row],[Status]]="Pending",1,0)</f>
        <v>0</v>
      </c>
      <c r="V1002">
        <f>IF(orders[[#This Row],[Status]]="Delayed",1,0)</f>
        <v>0</v>
      </c>
      <c r="W1002">
        <f>IF(orders[[#This Row],[Status]]="Cancelled",1,0)</f>
        <v>0</v>
      </c>
    </row>
    <row r="1003" spans="1:23" x14ac:dyDescent="0.35">
      <c r="A1003" t="s">
        <v>1374</v>
      </c>
      <c r="B1003" s="1">
        <v>45818</v>
      </c>
      <c r="C1003" t="s">
        <v>1031</v>
      </c>
      <c r="D1003" t="s">
        <v>63</v>
      </c>
      <c r="E1003" t="s">
        <v>78</v>
      </c>
      <c r="F1003" t="s">
        <v>72</v>
      </c>
      <c r="G1003" t="s">
        <v>104</v>
      </c>
      <c r="H1003" s="7">
        <v>6</v>
      </c>
      <c r="I1003" s="4">
        <v>47150.76</v>
      </c>
      <c r="J1003" s="23">
        <v>0</v>
      </c>
      <c r="K1003" s="4">
        <v>47150.76</v>
      </c>
      <c r="L1003" s="4">
        <v>26892.05</v>
      </c>
      <c r="M1003" s="4">
        <v>20258.71</v>
      </c>
      <c r="N1003" t="s">
        <v>25</v>
      </c>
      <c r="O1003" s="7">
        <v>30</v>
      </c>
      <c r="P1003" s="2">
        <v>45819.25</v>
      </c>
      <c r="Q1003" t="s">
        <v>99</v>
      </c>
      <c r="R1003">
        <v>6</v>
      </c>
      <c r="S1003" t="s">
        <v>27</v>
      </c>
      <c r="T1003">
        <f>IF(orders[[#This Row],[Status]]="Completed",1,0)</f>
        <v>1</v>
      </c>
      <c r="U1003">
        <f>IF(orders[[#This Row],[Status]]="Pending",1,0)</f>
        <v>0</v>
      </c>
      <c r="V1003">
        <f>IF(orders[[#This Row],[Status]]="Delayed",1,0)</f>
        <v>0</v>
      </c>
      <c r="W1003">
        <f>IF(orders[[#This Row],[Status]]="Cancelled",1,0)</f>
        <v>0</v>
      </c>
    </row>
    <row r="1004" spans="1:23" x14ac:dyDescent="0.35">
      <c r="A1004" t="s">
        <v>1375</v>
      </c>
      <c r="B1004" s="1">
        <v>45835</v>
      </c>
      <c r="C1004" t="s">
        <v>912</v>
      </c>
      <c r="D1004" t="s">
        <v>21</v>
      </c>
      <c r="E1004" t="s">
        <v>22</v>
      </c>
      <c r="F1004" t="s">
        <v>83</v>
      </c>
      <c r="G1004" t="s">
        <v>152</v>
      </c>
      <c r="H1004" s="7">
        <v>7</v>
      </c>
      <c r="I1004" s="4">
        <v>13128.29</v>
      </c>
      <c r="J1004" s="23">
        <v>0.1</v>
      </c>
      <c r="K1004" s="4">
        <v>11815.46</v>
      </c>
      <c r="L1004" s="4">
        <v>10235.969999999999</v>
      </c>
      <c r="M1004" s="4">
        <v>1579.49</v>
      </c>
      <c r="N1004" t="s">
        <v>25</v>
      </c>
      <c r="O1004" s="7">
        <v>27</v>
      </c>
      <c r="P1004" s="2">
        <v>45836.125</v>
      </c>
      <c r="Q1004" t="s">
        <v>99</v>
      </c>
      <c r="R1004">
        <v>6</v>
      </c>
      <c r="S1004" t="s">
        <v>27</v>
      </c>
      <c r="T1004">
        <f>IF(orders[[#This Row],[Status]]="Completed",1,0)</f>
        <v>1</v>
      </c>
      <c r="U1004">
        <f>IF(orders[[#This Row],[Status]]="Pending",1,0)</f>
        <v>0</v>
      </c>
      <c r="V1004">
        <f>IF(orders[[#This Row],[Status]]="Delayed",1,0)</f>
        <v>0</v>
      </c>
      <c r="W1004">
        <f>IF(orders[[#This Row],[Status]]="Cancelled",1,0)</f>
        <v>0</v>
      </c>
    </row>
    <row r="1005" spans="1:23" x14ac:dyDescent="0.35">
      <c r="A1005" t="s">
        <v>1376</v>
      </c>
      <c r="B1005" s="1">
        <v>45667</v>
      </c>
      <c r="C1005" t="s">
        <v>135</v>
      </c>
      <c r="D1005" t="s">
        <v>58</v>
      </c>
      <c r="E1005" t="s">
        <v>113</v>
      </c>
      <c r="F1005" t="s">
        <v>23</v>
      </c>
      <c r="G1005" t="s">
        <v>24</v>
      </c>
      <c r="H1005" s="7">
        <v>6</v>
      </c>
      <c r="I1005" s="4">
        <v>44692.86</v>
      </c>
      <c r="J1005" s="23">
        <v>0.15</v>
      </c>
      <c r="K1005" s="4">
        <v>37988.93</v>
      </c>
      <c r="L1005" s="4">
        <v>22673.24</v>
      </c>
      <c r="M1005" s="4">
        <v>15315.69</v>
      </c>
      <c r="N1005" t="s">
        <v>98</v>
      </c>
      <c r="O1005" s="7">
        <v>8</v>
      </c>
      <c r="P1005" s="2">
        <v>45667.333333333336</v>
      </c>
      <c r="Q1005" t="s">
        <v>65</v>
      </c>
      <c r="R1005">
        <v>1</v>
      </c>
      <c r="S1005" t="s">
        <v>55</v>
      </c>
      <c r="T1005">
        <f>IF(orders[[#This Row],[Status]]="Completed",1,0)</f>
        <v>0</v>
      </c>
      <c r="U1005">
        <f>IF(orders[[#This Row],[Status]]="Pending",1,0)</f>
        <v>1</v>
      </c>
      <c r="V1005">
        <f>IF(orders[[#This Row],[Status]]="Delayed",1,0)</f>
        <v>0</v>
      </c>
      <c r="W1005">
        <f>IF(orders[[#This Row],[Status]]="Cancelled",1,0)</f>
        <v>0</v>
      </c>
    </row>
    <row r="1006" spans="1:23" x14ac:dyDescent="0.35">
      <c r="A1006" t="s">
        <v>1377</v>
      </c>
      <c r="B1006" s="1">
        <v>45918</v>
      </c>
      <c r="C1006" t="s">
        <v>368</v>
      </c>
      <c r="D1006" t="s">
        <v>58</v>
      </c>
      <c r="E1006" t="s">
        <v>31</v>
      </c>
      <c r="F1006" t="s">
        <v>32</v>
      </c>
      <c r="G1006" t="s">
        <v>53</v>
      </c>
      <c r="H1006" s="7">
        <v>4</v>
      </c>
      <c r="I1006" s="4">
        <v>1617.28</v>
      </c>
      <c r="J1006" s="23">
        <v>0.05</v>
      </c>
      <c r="K1006" s="4">
        <v>1536.42</v>
      </c>
      <c r="L1006" s="4">
        <v>999.53</v>
      </c>
      <c r="M1006" s="4">
        <v>536.89</v>
      </c>
      <c r="N1006" t="s">
        <v>98</v>
      </c>
      <c r="O1006" s="7">
        <v>15</v>
      </c>
      <c r="P1006" s="2">
        <v>45918.625</v>
      </c>
      <c r="Q1006" t="s">
        <v>41</v>
      </c>
      <c r="R1006">
        <v>9</v>
      </c>
      <c r="S1006" t="s">
        <v>42</v>
      </c>
      <c r="T1006">
        <f>IF(orders[[#This Row],[Status]]="Completed",1,0)</f>
        <v>0</v>
      </c>
      <c r="U1006">
        <f>IF(orders[[#This Row],[Status]]="Pending",1,0)</f>
        <v>1</v>
      </c>
      <c r="V1006">
        <f>IF(orders[[#This Row],[Status]]="Delayed",1,0)</f>
        <v>0</v>
      </c>
      <c r="W1006">
        <f>IF(orders[[#This Row],[Status]]="Cancelled",1,0)</f>
        <v>0</v>
      </c>
    </row>
    <row r="1007" spans="1:23" x14ac:dyDescent="0.35">
      <c r="A1007" t="s">
        <v>1378</v>
      </c>
      <c r="B1007" s="1">
        <v>45795</v>
      </c>
      <c r="C1007" t="s">
        <v>1099</v>
      </c>
      <c r="D1007" t="s">
        <v>68</v>
      </c>
      <c r="E1007" t="s">
        <v>78</v>
      </c>
      <c r="F1007" t="s">
        <v>39</v>
      </c>
      <c r="G1007" t="s">
        <v>93</v>
      </c>
      <c r="H1007" s="7">
        <v>1</v>
      </c>
      <c r="I1007" s="4">
        <v>908.82</v>
      </c>
      <c r="J1007" s="23">
        <v>0.1</v>
      </c>
      <c r="K1007" s="4">
        <v>817.94</v>
      </c>
      <c r="L1007" s="4">
        <v>671.88</v>
      </c>
      <c r="M1007" s="4">
        <v>146.06</v>
      </c>
      <c r="N1007" t="s">
        <v>25</v>
      </c>
      <c r="O1007" s="7">
        <v>48</v>
      </c>
      <c r="P1007" s="2">
        <v>45797</v>
      </c>
      <c r="Q1007" t="s">
        <v>74</v>
      </c>
      <c r="R1007">
        <v>5</v>
      </c>
      <c r="S1007" t="s">
        <v>27</v>
      </c>
      <c r="T1007">
        <f>IF(orders[[#This Row],[Status]]="Completed",1,0)</f>
        <v>1</v>
      </c>
      <c r="U1007">
        <f>IF(orders[[#This Row],[Status]]="Pending",1,0)</f>
        <v>0</v>
      </c>
      <c r="V1007">
        <f>IF(orders[[#This Row],[Status]]="Delayed",1,0)</f>
        <v>0</v>
      </c>
      <c r="W1007">
        <f>IF(orders[[#This Row],[Status]]="Cancelled",1,0)</f>
        <v>0</v>
      </c>
    </row>
    <row r="1008" spans="1:23" x14ac:dyDescent="0.35">
      <c r="A1008" t="s">
        <v>1379</v>
      </c>
      <c r="B1008" s="1">
        <v>45829</v>
      </c>
      <c r="C1008" t="s">
        <v>363</v>
      </c>
      <c r="D1008" t="s">
        <v>68</v>
      </c>
      <c r="E1008" t="s">
        <v>31</v>
      </c>
      <c r="F1008" t="s">
        <v>23</v>
      </c>
      <c r="G1008" t="s">
        <v>69</v>
      </c>
      <c r="H1008" s="7">
        <v>3</v>
      </c>
      <c r="I1008" s="4">
        <v>21859.62</v>
      </c>
      <c r="J1008" s="23">
        <v>0.05</v>
      </c>
      <c r="K1008" s="4">
        <v>20766.64</v>
      </c>
      <c r="L1008" s="4">
        <v>12920.68</v>
      </c>
      <c r="M1008" s="4">
        <v>7845.96</v>
      </c>
      <c r="N1008" t="s">
        <v>25</v>
      </c>
      <c r="O1008" s="7">
        <v>25</v>
      </c>
      <c r="P1008" s="2">
        <v>45830.041666666664</v>
      </c>
      <c r="Q1008" t="s">
        <v>99</v>
      </c>
      <c r="R1008">
        <v>6</v>
      </c>
      <c r="S1008" t="s">
        <v>27</v>
      </c>
      <c r="T1008">
        <f>IF(orders[[#This Row],[Status]]="Completed",1,0)</f>
        <v>1</v>
      </c>
      <c r="U1008">
        <f>IF(orders[[#This Row],[Status]]="Pending",1,0)</f>
        <v>0</v>
      </c>
      <c r="V1008">
        <f>IF(orders[[#This Row],[Status]]="Delayed",1,0)</f>
        <v>0</v>
      </c>
      <c r="W1008">
        <f>IF(orders[[#This Row],[Status]]="Cancelled",1,0)</f>
        <v>0</v>
      </c>
    </row>
    <row r="1009" spans="1:23" x14ac:dyDescent="0.35">
      <c r="A1009" t="s">
        <v>1380</v>
      </c>
      <c r="B1009" s="1">
        <v>45670</v>
      </c>
      <c r="C1009" t="s">
        <v>701</v>
      </c>
      <c r="D1009" t="s">
        <v>38</v>
      </c>
      <c r="E1009" t="s">
        <v>78</v>
      </c>
      <c r="F1009" t="s">
        <v>72</v>
      </c>
      <c r="G1009" t="s">
        <v>73</v>
      </c>
      <c r="H1009" s="7">
        <v>1</v>
      </c>
      <c r="I1009" s="4">
        <v>5415.14</v>
      </c>
      <c r="J1009" s="23">
        <v>0.05</v>
      </c>
      <c r="K1009" s="4">
        <v>5144.38</v>
      </c>
      <c r="L1009" s="4">
        <v>3241.88</v>
      </c>
      <c r="M1009" s="4">
        <v>1902.5</v>
      </c>
      <c r="N1009" t="s">
        <v>25</v>
      </c>
      <c r="O1009" s="7">
        <v>11</v>
      </c>
      <c r="P1009" s="2">
        <v>45670.458333333336</v>
      </c>
      <c r="Q1009" t="s">
        <v>65</v>
      </c>
      <c r="R1009">
        <v>1</v>
      </c>
      <c r="S1009" t="s">
        <v>55</v>
      </c>
      <c r="T1009">
        <f>IF(orders[[#This Row],[Status]]="Completed",1,0)</f>
        <v>1</v>
      </c>
      <c r="U1009">
        <f>IF(orders[[#This Row],[Status]]="Pending",1,0)</f>
        <v>0</v>
      </c>
      <c r="V1009">
        <f>IF(orders[[#This Row],[Status]]="Delayed",1,0)</f>
        <v>0</v>
      </c>
      <c r="W1009">
        <f>IF(orders[[#This Row],[Status]]="Cancelled",1,0)</f>
        <v>0</v>
      </c>
    </row>
    <row r="1010" spans="1:23" x14ac:dyDescent="0.35">
      <c r="A1010" t="s">
        <v>1381</v>
      </c>
      <c r="B1010" s="1">
        <v>45825</v>
      </c>
      <c r="C1010" t="s">
        <v>112</v>
      </c>
      <c r="D1010" t="s">
        <v>38</v>
      </c>
      <c r="E1010" t="s">
        <v>78</v>
      </c>
      <c r="F1010" t="s">
        <v>39</v>
      </c>
      <c r="G1010" t="s">
        <v>188</v>
      </c>
      <c r="H1010" s="7">
        <v>4</v>
      </c>
      <c r="I1010" s="4">
        <v>25557.68</v>
      </c>
      <c r="J1010" s="23">
        <v>0.15</v>
      </c>
      <c r="K1010" s="4">
        <v>21724.03</v>
      </c>
      <c r="L1010" s="4">
        <v>16552.88</v>
      </c>
      <c r="M1010" s="4">
        <v>5171.1499999999996</v>
      </c>
      <c r="N1010" t="s">
        <v>98</v>
      </c>
      <c r="O1010" s="7">
        <v>11</v>
      </c>
      <c r="P1010" s="2">
        <v>45825.458333333336</v>
      </c>
      <c r="Q1010" t="s">
        <v>99</v>
      </c>
      <c r="R1010">
        <v>6</v>
      </c>
      <c r="S1010" t="s">
        <v>27</v>
      </c>
      <c r="T1010">
        <f>IF(orders[[#This Row],[Status]]="Completed",1,0)</f>
        <v>0</v>
      </c>
      <c r="U1010">
        <f>IF(orders[[#This Row],[Status]]="Pending",1,0)</f>
        <v>1</v>
      </c>
      <c r="V1010">
        <f>IF(orders[[#This Row],[Status]]="Delayed",1,0)</f>
        <v>0</v>
      </c>
      <c r="W1010">
        <f>IF(orders[[#This Row],[Status]]="Cancelled",1,0)</f>
        <v>0</v>
      </c>
    </row>
    <row r="1011" spans="1:23" x14ac:dyDescent="0.35">
      <c r="A1011" t="s">
        <v>1382</v>
      </c>
      <c r="B1011" s="1">
        <v>45787</v>
      </c>
      <c r="C1011" t="s">
        <v>1383</v>
      </c>
      <c r="D1011" t="s">
        <v>149</v>
      </c>
      <c r="E1011" t="s">
        <v>113</v>
      </c>
      <c r="F1011" t="s">
        <v>23</v>
      </c>
      <c r="G1011" t="s">
        <v>136</v>
      </c>
      <c r="H1011" s="7">
        <v>7</v>
      </c>
      <c r="I1011" s="4">
        <v>13290.48</v>
      </c>
      <c r="J1011" s="23">
        <v>0.05</v>
      </c>
      <c r="K1011" s="4">
        <v>12625.96</v>
      </c>
      <c r="L1011" s="4">
        <v>8094.61</v>
      </c>
      <c r="M1011" s="4">
        <v>4531.3500000000004</v>
      </c>
      <c r="N1011" t="s">
        <v>48</v>
      </c>
      <c r="O1011" s="7">
        <v>2</v>
      </c>
      <c r="P1011" s="2">
        <v>45787.083333333336</v>
      </c>
      <c r="Q1011" t="s">
        <v>74</v>
      </c>
      <c r="R1011">
        <v>5</v>
      </c>
      <c r="S1011" t="s">
        <v>27</v>
      </c>
      <c r="T1011">
        <f>IF(orders[[#This Row],[Status]]="Completed",1,0)</f>
        <v>0</v>
      </c>
      <c r="U1011">
        <f>IF(orders[[#This Row],[Status]]="Pending",1,0)</f>
        <v>0</v>
      </c>
      <c r="V1011">
        <f>IF(orders[[#This Row],[Status]]="Delayed",1,0)</f>
        <v>0</v>
      </c>
      <c r="W1011">
        <f>IF(orders[[#This Row],[Status]]="Cancelled",1,0)</f>
        <v>1</v>
      </c>
    </row>
    <row r="1012" spans="1:23" x14ac:dyDescent="0.35">
      <c r="A1012" t="s">
        <v>1384</v>
      </c>
      <c r="B1012" s="1">
        <v>45741</v>
      </c>
      <c r="C1012" t="s">
        <v>465</v>
      </c>
      <c r="D1012" t="s">
        <v>149</v>
      </c>
      <c r="E1012" t="s">
        <v>31</v>
      </c>
      <c r="F1012" t="s">
        <v>39</v>
      </c>
      <c r="G1012" t="s">
        <v>47</v>
      </c>
      <c r="H1012" s="7">
        <v>7</v>
      </c>
      <c r="I1012" s="4">
        <v>32442.55</v>
      </c>
      <c r="J1012" s="23">
        <v>0.15</v>
      </c>
      <c r="K1012" s="4">
        <v>27576.17</v>
      </c>
      <c r="L1012" s="4">
        <v>17145.7</v>
      </c>
      <c r="M1012" s="4">
        <v>10430.469999999999</v>
      </c>
      <c r="N1012" t="s">
        <v>25</v>
      </c>
      <c r="O1012" s="7">
        <v>7</v>
      </c>
      <c r="P1012" s="2">
        <v>45741.291666666664</v>
      </c>
      <c r="Q1012" t="s">
        <v>54</v>
      </c>
      <c r="R1012">
        <v>3</v>
      </c>
      <c r="S1012" t="s">
        <v>55</v>
      </c>
      <c r="T1012">
        <f>IF(orders[[#This Row],[Status]]="Completed",1,0)</f>
        <v>1</v>
      </c>
      <c r="U1012">
        <f>IF(orders[[#This Row],[Status]]="Pending",1,0)</f>
        <v>0</v>
      </c>
      <c r="V1012">
        <f>IF(orders[[#This Row],[Status]]="Delayed",1,0)</f>
        <v>0</v>
      </c>
      <c r="W1012">
        <f>IF(orders[[#This Row],[Status]]="Cancelled",1,0)</f>
        <v>0</v>
      </c>
    </row>
    <row r="1013" spans="1:23" x14ac:dyDescent="0.35">
      <c r="A1013" t="s">
        <v>1385</v>
      </c>
      <c r="B1013" s="1">
        <v>45978</v>
      </c>
      <c r="C1013" t="s">
        <v>495</v>
      </c>
      <c r="D1013" t="s">
        <v>63</v>
      </c>
      <c r="E1013" t="s">
        <v>22</v>
      </c>
      <c r="F1013" t="s">
        <v>83</v>
      </c>
      <c r="G1013" t="s">
        <v>84</v>
      </c>
      <c r="H1013" s="7">
        <v>2</v>
      </c>
      <c r="I1013" s="4">
        <v>12611.56</v>
      </c>
      <c r="J1013" s="23">
        <v>0.05</v>
      </c>
      <c r="K1013" s="4">
        <v>11980.98</v>
      </c>
      <c r="L1013" s="4">
        <v>7594.49</v>
      </c>
      <c r="M1013" s="4">
        <v>4386.49</v>
      </c>
      <c r="N1013" t="s">
        <v>25</v>
      </c>
      <c r="O1013" s="7">
        <v>14</v>
      </c>
      <c r="P1013" s="2">
        <v>45978.583333333336</v>
      </c>
      <c r="Q1013" t="s">
        <v>86</v>
      </c>
      <c r="R1013">
        <v>11</v>
      </c>
      <c r="S1013" t="s">
        <v>35</v>
      </c>
      <c r="T1013">
        <f>IF(orders[[#This Row],[Status]]="Completed",1,0)</f>
        <v>1</v>
      </c>
      <c r="U1013">
        <f>IF(orders[[#This Row],[Status]]="Pending",1,0)</f>
        <v>0</v>
      </c>
      <c r="V1013">
        <f>IF(orders[[#This Row],[Status]]="Delayed",1,0)</f>
        <v>0</v>
      </c>
      <c r="W1013">
        <f>IF(orders[[#This Row],[Status]]="Cancelled",1,0)</f>
        <v>0</v>
      </c>
    </row>
    <row r="1014" spans="1:23" x14ac:dyDescent="0.35">
      <c r="A1014" t="s">
        <v>1386</v>
      </c>
      <c r="B1014" s="1">
        <v>45976</v>
      </c>
      <c r="C1014" t="s">
        <v>1016</v>
      </c>
      <c r="D1014" t="s">
        <v>149</v>
      </c>
      <c r="E1014" t="s">
        <v>46</v>
      </c>
      <c r="F1014" t="s">
        <v>83</v>
      </c>
      <c r="G1014" t="s">
        <v>182</v>
      </c>
      <c r="H1014" s="7">
        <v>1</v>
      </c>
      <c r="I1014" s="4">
        <v>5388.07</v>
      </c>
      <c r="J1014" s="23">
        <v>0.05</v>
      </c>
      <c r="K1014" s="4">
        <v>5118.67</v>
      </c>
      <c r="L1014" s="4">
        <v>3644.05</v>
      </c>
      <c r="M1014" s="4">
        <v>1474.62</v>
      </c>
      <c r="N1014" t="s">
        <v>85</v>
      </c>
      <c r="O1014" s="7">
        <v>57</v>
      </c>
      <c r="P1014" s="2">
        <v>45978.375</v>
      </c>
      <c r="Q1014" t="s">
        <v>86</v>
      </c>
      <c r="R1014">
        <v>11</v>
      </c>
      <c r="S1014" t="s">
        <v>35</v>
      </c>
      <c r="T1014">
        <f>IF(orders[[#This Row],[Status]]="Completed",1,0)</f>
        <v>0</v>
      </c>
      <c r="U1014">
        <f>IF(orders[[#This Row],[Status]]="Pending",1,0)</f>
        <v>0</v>
      </c>
      <c r="V1014">
        <f>IF(orders[[#This Row],[Status]]="Delayed",1,0)</f>
        <v>1</v>
      </c>
      <c r="W1014">
        <f>IF(orders[[#This Row],[Status]]="Cancelled",1,0)</f>
        <v>0</v>
      </c>
    </row>
    <row r="1015" spans="1:23" x14ac:dyDescent="0.35">
      <c r="A1015" t="s">
        <v>1387</v>
      </c>
      <c r="B1015" s="1">
        <v>45758</v>
      </c>
      <c r="C1015" t="s">
        <v>409</v>
      </c>
      <c r="D1015" t="s">
        <v>21</v>
      </c>
      <c r="E1015" t="s">
        <v>78</v>
      </c>
      <c r="F1015" t="s">
        <v>32</v>
      </c>
      <c r="G1015" t="s">
        <v>33</v>
      </c>
      <c r="H1015" s="7">
        <v>7</v>
      </c>
      <c r="I1015" s="4">
        <v>28620.76</v>
      </c>
      <c r="J1015" s="23">
        <v>0.05</v>
      </c>
      <c r="K1015" s="4">
        <v>27189.72</v>
      </c>
      <c r="L1015" s="4">
        <v>23622.78</v>
      </c>
      <c r="M1015" s="4">
        <v>3566.94</v>
      </c>
      <c r="N1015" t="s">
        <v>85</v>
      </c>
      <c r="O1015" s="7">
        <v>92</v>
      </c>
      <c r="P1015" s="2">
        <v>45761.833333333336</v>
      </c>
      <c r="Q1015" t="s">
        <v>26</v>
      </c>
      <c r="R1015">
        <v>4</v>
      </c>
      <c r="S1015" t="s">
        <v>27</v>
      </c>
      <c r="T1015">
        <f>IF(orders[[#This Row],[Status]]="Completed",1,0)</f>
        <v>0</v>
      </c>
      <c r="U1015">
        <f>IF(orders[[#This Row],[Status]]="Pending",1,0)</f>
        <v>0</v>
      </c>
      <c r="V1015">
        <f>IF(orders[[#This Row],[Status]]="Delayed",1,0)</f>
        <v>1</v>
      </c>
      <c r="W1015">
        <f>IF(orders[[#This Row],[Status]]="Cancelled",1,0)</f>
        <v>0</v>
      </c>
    </row>
    <row r="1016" spans="1:23" x14ac:dyDescent="0.35">
      <c r="A1016" t="s">
        <v>1388</v>
      </c>
      <c r="B1016" s="1">
        <v>45986</v>
      </c>
      <c r="C1016" t="s">
        <v>154</v>
      </c>
      <c r="D1016" t="s">
        <v>21</v>
      </c>
      <c r="E1016" t="s">
        <v>59</v>
      </c>
      <c r="F1016" t="s">
        <v>32</v>
      </c>
      <c r="G1016" t="s">
        <v>79</v>
      </c>
      <c r="H1016" s="7">
        <v>6</v>
      </c>
      <c r="I1016" s="4">
        <v>48985.14</v>
      </c>
      <c r="J1016" s="23">
        <v>0.1</v>
      </c>
      <c r="K1016" s="4">
        <v>44086.63</v>
      </c>
      <c r="L1016" s="4">
        <v>36355.53</v>
      </c>
      <c r="M1016" s="4">
        <v>7731.1</v>
      </c>
      <c r="N1016" t="s">
        <v>48</v>
      </c>
      <c r="O1016" s="7">
        <v>19</v>
      </c>
      <c r="P1016" s="2">
        <v>45986.791666666664</v>
      </c>
      <c r="Q1016" t="s">
        <v>86</v>
      </c>
      <c r="R1016">
        <v>11</v>
      </c>
      <c r="S1016" t="s">
        <v>35</v>
      </c>
      <c r="T1016">
        <f>IF(orders[[#This Row],[Status]]="Completed",1,0)</f>
        <v>0</v>
      </c>
      <c r="U1016">
        <f>IF(orders[[#This Row],[Status]]="Pending",1,0)</f>
        <v>0</v>
      </c>
      <c r="V1016">
        <f>IF(orders[[#This Row],[Status]]="Delayed",1,0)</f>
        <v>0</v>
      </c>
      <c r="W1016">
        <f>IF(orders[[#This Row],[Status]]="Cancelled",1,0)</f>
        <v>1</v>
      </c>
    </row>
    <row r="1017" spans="1:23" x14ac:dyDescent="0.35">
      <c r="A1017" t="s">
        <v>1389</v>
      </c>
      <c r="B1017" s="1">
        <v>45930</v>
      </c>
      <c r="C1017" t="s">
        <v>681</v>
      </c>
      <c r="D1017" t="s">
        <v>58</v>
      </c>
      <c r="E1017" t="s">
        <v>52</v>
      </c>
      <c r="F1017" t="s">
        <v>83</v>
      </c>
      <c r="G1017" t="s">
        <v>155</v>
      </c>
      <c r="H1017" s="7">
        <v>7</v>
      </c>
      <c r="I1017" s="4">
        <v>40571.370000000003</v>
      </c>
      <c r="J1017" s="23">
        <v>0.1</v>
      </c>
      <c r="K1017" s="4">
        <v>36514.230000000003</v>
      </c>
      <c r="L1017" s="4">
        <v>23512.29</v>
      </c>
      <c r="M1017" s="4">
        <v>13001.94</v>
      </c>
      <c r="N1017" t="s">
        <v>48</v>
      </c>
      <c r="O1017" s="7">
        <v>21</v>
      </c>
      <c r="P1017" s="2">
        <v>45930.875</v>
      </c>
      <c r="Q1017" t="s">
        <v>41</v>
      </c>
      <c r="R1017">
        <v>9</v>
      </c>
      <c r="S1017" t="s">
        <v>42</v>
      </c>
      <c r="T1017">
        <f>IF(orders[[#This Row],[Status]]="Completed",1,0)</f>
        <v>0</v>
      </c>
      <c r="U1017">
        <f>IF(orders[[#This Row],[Status]]="Pending",1,0)</f>
        <v>0</v>
      </c>
      <c r="V1017">
        <f>IF(orders[[#This Row],[Status]]="Delayed",1,0)</f>
        <v>0</v>
      </c>
      <c r="W1017">
        <f>IF(orders[[#This Row],[Status]]="Cancelled",1,0)</f>
        <v>1</v>
      </c>
    </row>
    <row r="1018" spans="1:23" x14ac:dyDescent="0.35">
      <c r="A1018" t="s">
        <v>1390</v>
      </c>
      <c r="B1018" s="1">
        <v>45922</v>
      </c>
      <c r="C1018" t="s">
        <v>299</v>
      </c>
      <c r="D1018" t="s">
        <v>45</v>
      </c>
      <c r="E1018" t="s">
        <v>31</v>
      </c>
      <c r="F1018" t="s">
        <v>39</v>
      </c>
      <c r="G1018" t="s">
        <v>47</v>
      </c>
      <c r="H1018" s="7">
        <v>7</v>
      </c>
      <c r="I1018" s="4">
        <v>54108.04</v>
      </c>
      <c r="J1018" s="23">
        <v>0.15</v>
      </c>
      <c r="K1018" s="4">
        <v>45991.83</v>
      </c>
      <c r="L1018" s="4">
        <v>30810.53</v>
      </c>
      <c r="M1018" s="4">
        <v>15181.3</v>
      </c>
      <c r="N1018" t="s">
        <v>25</v>
      </c>
      <c r="O1018" s="7">
        <v>9</v>
      </c>
      <c r="P1018" s="2">
        <v>45922.375</v>
      </c>
      <c r="Q1018" t="s">
        <v>41</v>
      </c>
      <c r="R1018">
        <v>9</v>
      </c>
      <c r="S1018" t="s">
        <v>42</v>
      </c>
      <c r="T1018">
        <f>IF(orders[[#This Row],[Status]]="Completed",1,0)</f>
        <v>1</v>
      </c>
      <c r="U1018">
        <f>IF(orders[[#This Row],[Status]]="Pending",1,0)</f>
        <v>0</v>
      </c>
      <c r="V1018">
        <f>IF(orders[[#This Row],[Status]]="Delayed",1,0)</f>
        <v>0</v>
      </c>
      <c r="W1018">
        <f>IF(orders[[#This Row],[Status]]="Cancelled",1,0)</f>
        <v>0</v>
      </c>
    </row>
    <row r="1019" spans="1:23" x14ac:dyDescent="0.35">
      <c r="A1019" t="s">
        <v>1391</v>
      </c>
      <c r="B1019" s="1">
        <v>45695</v>
      </c>
      <c r="C1019" t="s">
        <v>967</v>
      </c>
      <c r="D1019" t="s">
        <v>21</v>
      </c>
      <c r="E1019" t="s">
        <v>31</v>
      </c>
      <c r="F1019" t="s">
        <v>83</v>
      </c>
      <c r="G1019" t="s">
        <v>155</v>
      </c>
      <c r="H1019" s="7">
        <v>7</v>
      </c>
      <c r="I1019" s="4">
        <v>43705.06</v>
      </c>
      <c r="J1019" s="23">
        <v>0.05</v>
      </c>
      <c r="K1019" s="4">
        <v>41519.81</v>
      </c>
      <c r="L1019" s="4">
        <v>29200.43</v>
      </c>
      <c r="M1019" s="4">
        <v>12319.38</v>
      </c>
      <c r="N1019" t="s">
        <v>25</v>
      </c>
      <c r="O1019" s="7">
        <v>19</v>
      </c>
      <c r="P1019" s="2">
        <v>45695.791666666664</v>
      </c>
      <c r="Q1019" t="s">
        <v>139</v>
      </c>
      <c r="R1019">
        <v>2</v>
      </c>
      <c r="S1019" t="s">
        <v>55</v>
      </c>
      <c r="T1019">
        <f>IF(orders[[#This Row],[Status]]="Completed",1,0)</f>
        <v>1</v>
      </c>
      <c r="U1019">
        <f>IF(orders[[#This Row],[Status]]="Pending",1,0)</f>
        <v>0</v>
      </c>
      <c r="V1019">
        <f>IF(orders[[#This Row],[Status]]="Delayed",1,0)</f>
        <v>0</v>
      </c>
      <c r="W1019">
        <f>IF(orders[[#This Row],[Status]]="Cancelled",1,0)</f>
        <v>0</v>
      </c>
    </row>
    <row r="1020" spans="1:23" x14ac:dyDescent="0.35">
      <c r="A1020" t="s">
        <v>1392</v>
      </c>
      <c r="B1020" s="1">
        <v>45751</v>
      </c>
      <c r="C1020" t="s">
        <v>448</v>
      </c>
      <c r="D1020" t="s">
        <v>30</v>
      </c>
      <c r="E1020" t="s">
        <v>113</v>
      </c>
      <c r="F1020" t="s">
        <v>32</v>
      </c>
      <c r="G1020" t="s">
        <v>79</v>
      </c>
      <c r="H1020" s="7">
        <v>7</v>
      </c>
      <c r="I1020" s="4">
        <v>44037.84</v>
      </c>
      <c r="J1020" s="23">
        <v>0</v>
      </c>
      <c r="K1020" s="4">
        <v>44037.84</v>
      </c>
      <c r="L1020" s="4">
        <v>38447.089999999997</v>
      </c>
      <c r="M1020" s="4">
        <v>5590.75</v>
      </c>
      <c r="N1020" t="s">
        <v>98</v>
      </c>
      <c r="O1020" s="7">
        <v>2</v>
      </c>
      <c r="P1020" s="2">
        <v>45751.083333333336</v>
      </c>
      <c r="Q1020" t="s">
        <v>26</v>
      </c>
      <c r="R1020">
        <v>4</v>
      </c>
      <c r="S1020" t="s">
        <v>27</v>
      </c>
      <c r="T1020">
        <f>IF(orders[[#This Row],[Status]]="Completed",1,0)</f>
        <v>0</v>
      </c>
      <c r="U1020">
        <f>IF(orders[[#This Row],[Status]]="Pending",1,0)</f>
        <v>1</v>
      </c>
      <c r="V1020">
        <f>IF(orders[[#This Row],[Status]]="Delayed",1,0)</f>
        <v>0</v>
      </c>
      <c r="W1020">
        <f>IF(orders[[#This Row],[Status]]="Cancelled",1,0)</f>
        <v>0</v>
      </c>
    </row>
    <row r="1021" spans="1:23" x14ac:dyDescent="0.35">
      <c r="A1021" t="s">
        <v>1393</v>
      </c>
      <c r="B1021" s="1">
        <v>45752</v>
      </c>
      <c r="C1021" t="s">
        <v>200</v>
      </c>
      <c r="D1021" t="s">
        <v>38</v>
      </c>
      <c r="E1021" t="s">
        <v>78</v>
      </c>
      <c r="F1021" t="s">
        <v>83</v>
      </c>
      <c r="G1021" t="s">
        <v>155</v>
      </c>
      <c r="H1021" s="7">
        <v>3</v>
      </c>
      <c r="I1021" s="4">
        <v>2454.4499999999998</v>
      </c>
      <c r="J1021" s="23">
        <v>0.15</v>
      </c>
      <c r="K1021" s="4">
        <v>2086.2800000000002</v>
      </c>
      <c r="L1021" s="4">
        <v>1266.1400000000001</v>
      </c>
      <c r="M1021" s="4">
        <v>820.14</v>
      </c>
      <c r="N1021" t="s">
        <v>25</v>
      </c>
      <c r="O1021" s="7">
        <v>12</v>
      </c>
      <c r="P1021" s="2">
        <v>45752.5</v>
      </c>
      <c r="Q1021" t="s">
        <v>26</v>
      </c>
      <c r="R1021">
        <v>4</v>
      </c>
      <c r="S1021" t="s">
        <v>27</v>
      </c>
      <c r="T1021">
        <f>IF(orders[[#This Row],[Status]]="Completed",1,0)</f>
        <v>1</v>
      </c>
      <c r="U1021">
        <f>IF(orders[[#This Row],[Status]]="Pending",1,0)</f>
        <v>0</v>
      </c>
      <c r="V1021">
        <f>IF(orders[[#This Row],[Status]]="Delayed",1,0)</f>
        <v>0</v>
      </c>
      <c r="W1021">
        <f>IF(orders[[#This Row],[Status]]="Cancelled",1,0)</f>
        <v>0</v>
      </c>
    </row>
    <row r="1022" spans="1:23" x14ac:dyDescent="0.35">
      <c r="A1022" t="s">
        <v>1394</v>
      </c>
      <c r="B1022" s="1">
        <v>45962</v>
      </c>
      <c r="C1022" t="s">
        <v>1395</v>
      </c>
      <c r="D1022" t="s">
        <v>68</v>
      </c>
      <c r="E1022" t="s">
        <v>59</v>
      </c>
      <c r="F1022" t="s">
        <v>83</v>
      </c>
      <c r="G1022" t="s">
        <v>155</v>
      </c>
      <c r="H1022" s="7">
        <v>3</v>
      </c>
      <c r="I1022" s="4">
        <v>9454.59</v>
      </c>
      <c r="J1022" s="23">
        <v>0.15</v>
      </c>
      <c r="K1022" s="4">
        <v>8036.4</v>
      </c>
      <c r="L1022" s="4">
        <v>5368.07</v>
      </c>
      <c r="M1022" s="4">
        <v>2668.33</v>
      </c>
      <c r="N1022" t="s">
        <v>25</v>
      </c>
      <c r="O1022" s="7">
        <v>46</v>
      </c>
      <c r="P1022" s="2">
        <v>45963.916666666664</v>
      </c>
      <c r="Q1022" t="s">
        <v>86</v>
      </c>
      <c r="R1022">
        <v>11</v>
      </c>
      <c r="S1022" t="s">
        <v>35</v>
      </c>
      <c r="T1022">
        <f>IF(orders[[#This Row],[Status]]="Completed",1,0)</f>
        <v>1</v>
      </c>
      <c r="U1022">
        <f>IF(orders[[#This Row],[Status]]="Pending",1,0)</f>
        <v>0</v>
      </c>
      <c r="V1022">
        <f>IF(orders[[#This Row],[Status]]="Delayed",1,0)</f>
        <v>0</v>
      </c>
      <c r="W1022">
        <f>IF(orders[[#This Row],[Status]]="Cancelled",1,0)</f>
        <v>0</v>
      </c>
    </row>
    <row r="1023" spans="1:23" x14ac:dyDescent="0.35">
      <c r="A1023" t="s">
        <v>1396</v>
      </c>
      <c r="B1023" s="1">
        <v>45726</v>
      </c>
      <c r="C1023" t="s">
        <v>1016</v>
      </c>
      <c r="D1023" t="s">
        <v>149</v>
      </c>
      <c r="E1023" t="s">
        <v>113</v>
      </c>
      <c r="F1023" t="s">
        <v>39</v>
      </c>
      <c r="G1023" t="s">
        <v>47</v>
      </c>
      <c r="H1023" s="7">
        <v>2</v>
      </c>
      <c r="I1023" s="4">
        <v>14634.76</v>
      </c>
      <c r="J1023" s="23">
        <v>0</v>
      </c>
      <c r="K1023" s="4">
        <v>14634.76</v>
      </c>
      <c r="L1023" s="4">
        <v>11571.86</v>
      </c>
      <c r="M1023" s="4">
        <v>3062.9</v>
      </c>
      <c r="N1023" t="s">
        <v>25</v>
      </c>
      <c r="O1023" s="7">
        <v>37</v>
      </c>
      <c r="P1023" s="2">
        <v>45727.541666666664</v>
      </c>
      <c r="Q1023" t="s">
        <v>54</v>
      </c>
      <c r="R1023">
        <v>3</v>
      </c>
      <c r="S1023" t="s">
        <v>55</v>
      </c>
      <c r="T1023">
        <f>IF(orders[[#This Row],[Status]]="Completed",1,0)</f>
        <v>1</v>
      </c>
      <c r="U1023">
        <f>IF(orders[[#This Row],[Status]]="Pending",1,0)</f>
        <v>0</v>
      </c>
      <c r="V1023">
        <f>IF(orders[[#This Row],[Status]]="Delayed",1,0)</f>
        <v>0</v>
      </c>
      <c r="W1023">
        <f>IF(orders[[#This Row],[Status]]="Cancelled",1,0)</f>
        <v>0</v>
      </c>
    </row>
    <row r="1024" spans="1:23" x14ac:dyDescent="0.35">
      <c r="A1024" t="s">
        <v>1397</v>
      </c>
      <c r="B1024" s="1">
        <v>45975</v>
      </c>
      <c r="C1024" t="s">
        <v>633</v>
      </c>
      <c r="D1024" t="s">
        <v>58</v>
      </c>
      <c r="E1024" t="s">
        <v>46</v>
      </c>
      <c r="F1024" t="s">
        <v>23</v>
      </c>
      <c r="G1024" t="s">
        <v>110</v>
      </c>
      <c r="H1024" s="7">
        <v>7</v>
      </c>
      <c r="I1024" s="4">
        <v>14645.68</v>
      </c>
      <c r="J1024" s="23">
        <v>0.1</v>
      </c>
      <c r="K1024" s="4">
        <v>13181.11</v>
      </c>
      <c r="L1024" s="4">
        <v>11442.54</v>
      </c>
      <c r="M1024" s="4">
        <v>1738.57</v>
      </c>
      <c r="N1024" t="s">
        <v>25</v>
      </c>
      <c r="O1024" s="7">
        <v>30</v>
      </c>
      <c r="P1024" s="2">
        <v>45976.25</v>
      </c>
      <c r="Q1024" t="s">
        <v>86</v>
      </c>
      <c r="R1024">
        <v>11</v>
      </c>
      <c r="S1024" t="s">
        <v>35</v>
      </c>
      <c r="T1024">
        <f>IF(orders[[#This Row],[Status]]="Completed",1,0)</f>
        <v>1</v>
      </c>
      <c r="U1024">
        <f>IF(orders[[#This Row],[Status]]="Pending",1,0)</f>
        <v>0</v>
      </c>
      <c r="V1024">
        <f>IF(orders[[#This Row],[Status]]="Delayed",1,0)</f>
        <v>0</v>
      </c>
      <c r="W1024">
        <f>IF(orders[[#This Row],[Status]]="Cancelled",1,0)</f>
        <v>0</v>
      </c>
    </row>
    <row r="1025" spans="1:23" x14ac:dyDescent="0.35">
      <c r="A1025" t="s">
        <v>1398</v>
      </c>
      <c r="B1025" s="1">
        <v>45893</v>
      </c>
      <c r="C1025" t="s">
        <v>101</v>
      </c>
      <c r="D1025" t="s">
        <v>51</v>
      </c>
      <c r="E1025" t="s">
        <v>78</v>
      </c>
      <c r="F1025" t="s">
        <v>32</v>
      </c>
      <c r="G1025" t="s">
        <v>89</v>
      </c>
      <c r="H1025" s="7">
        <v>1</v>
      </c>
      <c r="I1025" s="4">
        <v>1114.47</v>
      </c>
      <c r="J1025" s="23">
        <v>0.05</v>
      </c>
      <c r="K1025" s="4">
        <v>1058.75</v>
      </c>
      <c r="L1025" s="4">
        <v>636.70000000000005</v>
      </c>
      <c r="M1025" s="4">
        <v>422.05</v>
      </c>
      <c r="N1025" t="s">
        <v>48</v>
      </c>
      <c r="O1025" s="7">
        <v>0</v>
      </c>
      <c r="P1025" s="2">
        <v>45893</v>
      </c>
      <c r="Q1025" t="s">
        <v>80</v>
      </c>
      <c r="R1025">
        <v>8</v>
      </c>
      <c r="S1025" t="s">
        <v>42</v>
      </c>
      <c r="T1025">
        <f>IF(orders[[#This Row],[Status]]="Completed",1,0)</f>
        <v>0</v>
      </c>
      <c r="U1025">
        <f>IF(orders[[#This Row],[Status]]="Pending",1,0)</f>
        <v>0</v>
      </c>
      <c r="V1025">
        <f>IF(orders[[#This Row],[Status]]="Delayed",1,0)</f>
        <v>0</v>
      </c>
      <c r="W1025">
        <f>IF(orders[[#This Row],[Status]]="Cancelled",1,0)</f>
        <v>1</v>
      </c>
    </row>
    <row r="1026" spans="1:23" x14ac:dyDescent="0.35">
      <c r="A1026" t="s">
        <v>1399</v>
      </c>
      <c r="B1026" s="1">
        <v>45991</v>
      </c>
      <c r="C1026" t="s">
        <v>706</v>
      </c>
      <c r="D1026" t="s">
        <v>68</v>
      </c>
      <c r="E1026" t="s">
        <v>22</v>
      </c>
      <c r="F1026" t="s">
        <v>39</v>
      </c>
      <c r="G1026" t="s">
        <v>114</v>
      </c>
      <c r="H1026" s="7">
        <v>4</v>
      </c>
      <c r="I1026" s="4">
        <v>11491.96</v>
      </c>
      <c r="J1026" s="23">
        <v>0.15</v>
      </c>
      <c r="K1026" s="4">
        <v>9768.17</v>
      </c>
      <c r="L1026" s="4">
        <v>6105.45</v>
      </c>
      <c r="M1026" s="4">
        <v>3662.72</v>
      </c>
      <c r="N1026" t="s">
        <v>98</v>
      </c>
      <c r="O1026" s="7">
        <v>7</v>
      </c>
      <c r="P1026" s="2">
        <v>45991.291666666664</v>
      </c>
      <c r="Q1026" t="s">
        <v>86</v>
      </c>
      <c r="R1026">
        <v>11</v>
      </c>
      <c r="S1026" t="s">
        <v>35</v>
      </c>
      <c r="T1026">
        <f>IF(orders[[#This Row],[Status]]="Completed",1,0)</f>
        <v>0</v>
      </c>
      <c r="U1026">
        <f>IF(orders[[#This Row],[Status]]="Pending",1,0)</f>
        <v>1</v>
      </c>
      <c r="V1026">
        <f>IF(orders[[#This Row],[Status]]="Delayed",1,0)</f>
        <v>0</v>
      </c>
      <c r="W1026">
        <f>IF(orders[[#This Row],[Status]]="Cancelled",1,0)</f>
        <v>0</v>
      </c>
    </row>
    <row r="1027" spans="1:23" x14ac:dyDescent="0.35">
      <c r="A1027" t="s">
        <v>1400</v>
      </c>
      <c r="B1027" s="1">
        <v>45794</v>
      </c>
      <c r="C1027" t="s">
        <v>493</v>
      </c>
      <c r="D1027" t="s">
        <v>30</v>
      </c>
      <c r="E1027" t="s">
        <v>113</v>
      </c>
      <c r="F1027" t="s">
        <v>83</v>
      </c>
      <c r="G1027" t="s">
        <v>107</v>
      </c>
      <c r="H1027" s="7">
        <v>2</v>
      </c>
      <c r="I1027" s="4">
        <v>3981.32</v>
      </c>
      <c r="J1027" s="23">
        <v>0.2</v>
      </c>
      <c r="K1027" s="4">
        <v>3185.06</v>
      </c>
      <c r="L1027" s="4">
        <v>1989</v>
      </c>
      <c r="M1027" s="4">
        <v>1196.06</v>
      </c>
      <c r="N1027" t="s">
        <v>25</v>
      </c>
      <c r="O1027" s="7">
        <v>30</v>
      </c>
      <c r="P1027" s="2">
        <v>45795.25</v>
      </c>
      <c r="Q1027" t="s">
        <v>74</v>
      </c>
      <c r="R1027">
        <v>5</v>
      </c>
      <c r="S1027" t="s">
        <v>27</v>
      </c>
      <c r="T1027">
        <f>IF(orders[[#This Row],[Status]]="Completed",1,0)</f>
        <v>1</v>
      </c>
      <c r="U1027">
        <f>IF(orders[[#This Row],[Status]]="Pending",1,0)</f>
        <v>0</v>
      </c>
      <c r="V1027">
        <f>IF(orders[[#This Row],[Status]]="Delayed",1,0)</f>
        <v>0</v>
      </c>
      <c r="W1027">
        <f>IF(orders[[#This Row],[Status]]="Cancelled",1,0)</f>
        <v>0</v>
      </c>
    </row>
    <row r="1028" spans="1:23" x14ac:dyDescent="0.35">
      <c r="A1028" t="s">
        <v>1401</v>
      </c>
      <c r="B1028" s="1">
        <v>45733</v>
      </c>
      <c r="C1028" t="s">
        <v>169</v>
      </c>
      <c r="D1028" t="s">
        <v>149</v>
      </c>
      <c r="E1028" t="s">
        <v>31</v>
      </c>
      <c r="F1028" t="s">
        <v>83</v>
      </c>
      <c r="G1028" t="s">
        <v>84</v>
      </c>
      <c r="H1028" s="7">
        <v>1</v>
      </c>
      <c r="I1028" s="4">
        <v>7876.16</v>
      </c>
      <c r="J1028" s="23">
        <v>0.2</v>
      </c>
      <c r="K1028" s="4">
        <v>6300.93</v>
      </c>
      <c r="L1028" s="4">
        <v>3509.04</v>
      </c>
      <c r="M1028" s="4">
        <v>2791.89</v>
      </c>
      <c r="N1028" t="s">
        <v>48</v>
      </c>
      <c r="O1028" s="7">
        <v>24</v>
      </c>
      <c r="P1028" s="2">
        <v>45734</v>
      </c>
      <c r="Q1028" t="s">
        <v>54</v>
      </c>
      <c r="R1028">
        <v>3</v>
      </c>
      <c r="S1028" t="s">
        <v>55</v>
      </c>
      <c r="T1028">
        <f>IF(orders[[#This Row],[Status]]="Completed",1,0)</f>
        <v>0</v>
      </c>
      <c r="U1028">
        <f>IF(orders[[#This Row],[Status]]="Pending",1,0)</f>
        <v>0</v>
      </c>
      <c r="V1028">
        <f>IF(orders[[#This Row],[Status]]="Delayed",1,0)</f>
        <v>0</v>
      </c>
      <c r="W1028">
        <f>IF(orders[[#This Row],[Status]]="Cancelled",1,0)</f>
        <v>1</v>
      </c>
    </row>
    <row r="1029" spans="1:23" x14ac:dyDescent="0.35">
      <c r="A1029" t="s">
        <v>1402</v>
      </c>
      <c r="B1029" s="1">
        <v>45692</v>
      </c>
      <c r="C1029" t="s">
        <v>157</v>
      </c>
      <c r="D1029" t="s">
        <v>30</v>
      </c>
      <c r="E1029" t="s">
        <v>78</v>
      </c>
      <c r="F1029" t="s">
        <v>23</v>
      </c>
      <c r="G1029" t="s">
        <v>122</v>
      </c>
      <c r="H1029" s="7">
        <v>7</v>
      </c>
      <c r="I1029" s="4">
        <v>51782.64</v>
      </c>
      <c r="J1029" s="23">
        <v>0.15</v>
      </c>
      <c r="K1029" s="4">
        <v>44015.24</v>
      </c>
      <c r="L1029" s="4">
        <v>32983.18</v>
      </c>
      <c r="M1029" s="4">
        <v>11032.06</v>
      </c>
      <c r="N1029" t="s">
        <v>25</v>
      </c>
      <c r="O1029" s="7">
        <v>8</v>
      </c>
      <c r="P1029" s="2">
        <v>45692.333333333336</v>
      </c>
      <c r="Q1029" t="s">
        <v>139</v>
      </c>
      <c r="R1029">
        <v>2</v>
      </c>
      <c r="S1029" t="s">
        <v>55</v>
      </c>
      <c r="T1029">
        <f>IF(orders[[#This Row],[Status]]="Completed",1,0)</f>
        <v>1</v>
      </c>
      <c r="U1029">
        <f>IF(orders[[#This Row],[Status]]="Pending",1,0)</f>
        <v>0</v>
      </c>
      <c r="V1029">
        <f>IF(orders[[#This Row],[Status]]="Delayed",1,0)</f>
        <v>0</v>
      </c>
      <c r="W1029">
        <f>IF(orders[[#This Row],[Status]]="Cancelled",1,0)</f>
        <v>0</v>
      </c>
    </row>
    <row r="1030" spans="1:23" x14ac:dyDescent="0.35">
      <c r="A1030" t="s">
        <v>1403</v>
      </c>
      <c r="B1030" s="1">
        <v>45658</v>
      </c>
      <c r="C1030" t="s">
        <v>474</v>
      </c>
      <c r="D1030" t="s">
        <v>38</v>
      </c>
      <c r="E1030" t="s">
        <v>59</v>
      </c>
      <c r="F1030" t="s">
        <v>32</v>
      </c>
      <c r="G1030" t="s">
        <v>89</v>
      </c>
      <c r="H1030" s="7">
        <v>5</v>
      </c>
      <c r="I1030" s="4">
        <v>21611.75</v>
      </c>
      <c r="J1030" s="23">
        <v>0.05</v>
      </c>
      <c r="K1030" s="4">
        <v>20531.16</v>
      </c>
      <c r="L1030" s="4">
        <v>15836.34</v>
      </c>
      <c r="M1030" s="4">
        <v>4694.82</v>
      </c>
      <c r="N1030" t="s">
        <v>48</v>
      </c>
      <c r="O1030" s="7">
        <v>16</v>
      </c>
      <c r="P1030" s="2">
        <v>45658.666666666664</v>
      </c>
      <c r="Q1030" t="s">
        <v>65</v>
      </c>
      <c r="R1030">
        <v>1</v>
      </c>
      <c r="S1030" t="s">
        <v>55</v>
      </c>
      <c r="T1030">
        <f>IF(orders[[#This Row],[Status]]="Completed",1,0)</f>
        <v>0</v>
      </c>
      <c r="U1030">
        <f>IF(orders[[#This Row],[Status]]="Pending",1,0)</f>
        <v>0</v>
      </c>
      <c r="V1030">
        <f>IF(orders[[#This Row],[Status]]="Delayed",1,0)</f>
        <v>0</v>
      </c>
      <c r="W1030">
        <f>IF(orders[[#This Row],[Status]]="Cancelled",1,0)</f>
        <v>1</v>
      </c>
    </row>
    <row r="1031" spans="1:23" x14ac:dyDescent="0.35">
      <c r="A1031" t="s">
        <v>1404</v>
      </c>
      <c r="B1031" s="1">
        <v>45953</v>
      </c>
      <c r="C1031" t="s">
        <v>1011</v>
      </c>
      <c r="D1031" t="s">
        <v>38</v>
      </c>
      <c r="E1031" t="s">
        <v>22</v>
      </c>
      <c r="F1031" t="s">
        <v>32</v>
      </c>
      <c r="G1031" t="s">
        <v>89</v>
      </c>
      <c r="H1031" s="7">
        <v>7</v>
      </c>
      <c r="I1031" s="4">
        <v>4635.54</v>
      </c>
      <c r="J1031" s="23">
        <v>0.15</v>
      </c>
      <c r="K1031" s="4">
        <v>3940.21</v>
      </c>
      <c r="L1031" s="4">
        <v>2950.56</v>
      </c>
      <c r="M1031" s="4">
        <v>989.65</v>
      </c>
      <c r="N1031" t="s">
        <v>25</v>
      </c>
      <c r="O1031" s="7">
        <v>34</v>
      </c>
      <c r="P1031" s="2">
        <v>45954.416666666664</v>
      </c>
      <c r="Q1031" t="s">
        <v>116</v>
      </c>
      <c r="R1031">
        <v>10</v>
      </c>
      <c r="S1031" t="s">
        <v>35</v>
      </c>
      <c r="T1031">
        <f>IF(orders[[#This Row],[Status]]="Completed",1,0)</f>
        <v>1</v>
      </c>
      <c r="U1031">
        <f>IF(orders[[#This Row],[Status]]="Pending",1,0)</f>
        <v>0</v>
      </c>
      <c r="V1031">
        <f>IF(orders[[#This Row],[Status]]="Delayed",1,0)</f>
        <v>0</v>
      </c>
      <c r="W1031">
        <f>IF(orders[[#This Row],[Status]]="Cancelled",1,0)</f>
        <v>0</v>
      </c>
    </row>
    <row r="1032" spans="1:23" x14ac:dyDescent="0.35">
      <c r="A1032" t="s">
        <v>1405</v>
      </c>
      <c r="B1032" s="1">
        <v>45977</v>
      </c>
      <c r="C1032" t="s">
        <v>568</v>
      </c>
      <c r="D1032" t="s">
        <v>63</v>
      </c>
      <c r="E1032" t="s">
        <v>31</v>
      </c>
      <c r="F1032" t="s">
        <v>72</v>
      </c>
      <c r="G1032" t="s">
        <v>146</v>
      </c>
      <c r="H1032" s="7">
        <v>3</v>
      </c>
      <c r="I1032" s="4">
        <v>18349.8</v>
      </c>
      <c r="J1032" s="23">
        <v>0.1</v>
      </c>
      <c r="K1032" s="4">
        <v>16514.82</v>
      </c>
      <c r="L1032" s="4">
        <v>9471.85</v>
      </c>
      <c r="M1032" s="4">
        <v>7042.97</v>
      </c>
      <c r="N1032" t="s">
        <v>25</v>
      </c>
      <c r="O1032" s="7">
        <v>6</v>
      </c>
      <c r="P1032" s="2">
        <v>45977.25</v>
      </c>
      <c r="Q1032" t="s">
        <v>86</v>
      </c>
      <c r="R1032">
        <v>11</v>
      </c>
      <c r="S1032" t="s">
        <v>35</v>
      </c>
      <c r="T1032">
        <f>IF(orders[[#This Row],[Status]]="Completed",1,0)</f>
        <v>1</v>
      </c>
      <c r="U1032">
        <f>IF(orders[[#This Row],[Status]]="Pending",1,0)</f>
        <v>0</v>
      </c>
      <c r="V1032">
        <f>IF(orders[[#This Row],[Status]]="Delayed",1,0)</f>
        <v>0</v>
      </c>
      <c r="W1032">
        <f>IF(orders[[#This Row],[Status]]="Cancelled",1,0)</f>
        <v>0</v>
      </c>
    </row>
    <row r="1033" spans="1:23" x14ac:dyDescent="0.35">
      <c r="A1033" t="s">
        <v>1406</v>
      </c>
      <c r="B1033" s="1">
        <v>45717</v>
      </c>
      <c r="C1033" t="s">
        <v>216</v>
      </c>
      <c r="D1033" t="s">
        <v>58</v>
      </c>
      <c r="E1033" t="s">
        <v>22</v>
      </c>
      <c r="F1033" t="s">
        <v>32</v>
      </c>
      <c r="G1033" t="s">
        <v>64</v>
      </c>
      <c r="H1033" s="7">
        <v>4</v>
      </c>
      <c r="I1033" s="4">
        <v>21421.96</v>
      </c>
      <c r="J1033" s="23">
        <v>0</v>
      </c>
      <c r="K1033" s="4">
        <v>21421.96</v>
      </c>
      <c r="L1033" s="4">
        <v>12271.48</v>
      </c>
      <c r="M1033" s="4">
        <v>9150.48</v>
      </c>
      <c r="N1033" t="s">
        <v>25</v>
      </c>
      <c r="O1033" s="7">
        <v>33</v>
      </c>
      <c r="P1033" s="2">
        <v>45718.375</v>
      </c>
      <c r="Q1033" t="s">
        <v>54</v>
      </c>
      <c r="R1033">
        <v>3</v>
      </c>
      <c r="S1033" t="s">
        <v>55</v>
      </c>
      <c r="T1033">
        <f>IF(orders[[#This Row],[Status]]="Completed",1,0)</f>
        <v>1</v>
      </c>
      <c r="U1033">
        <f>IF(orders[[#This Row],[Status]]="Pending",1,0)</f>
        <v>0</v>
      </c>
      <c r="V1033">
        <f>IF(orders[[#This Row],[Status]]="Delayed",1,0)</f>
        <v>0</v>
      </c>
      <c r="W1033">
        <f>IF(orders[[#This Row],[Status]]="Cancelled",1,0)</f>
        <v>0</v>
      </c>
    </row>
    <row r="1034" spans="1:23" x14ac:dyDescent="0.35">
      <c r="A1034" t="s">
        <v>1407</v>
      </c>
      <c r="B1034" s="1">
        <v>45977</v>
      </c>
      <c r="C1034" t="s">
        <v>349</v>
      </c>
      <c r="D1034" t="s">
        <v>68</v>
      </c>
      <c r="E1034" t="s">
        <v>31</v>
      </c>
      <c r="F1034" t="s">
        <v>23</v>
      </c>
      <c r="G1034" t="s">
        <v>122</v>
      </c>
      <c r="H1034" s="7">
        <v>6</v>
      </c>
      <c r="I1034" s="4">
        <v>49524.78</v>
      </c>
      <c r="J1034" s="23">
        <v>0.1</v>
      </c>
      <c r="K1034" s="4">
        <v>44572.3</v>
      </c>
      <c r="L1034" s="4">
        <v>27609.31</v>
      </c>
      <c r="M1034" s="4">
        <v>16962.990000000002</v>
      </c>
      <c r="N1034" t="s">
        <v>25</v>
      </c>
      <c r="O1034" s="7">
        <v>24</v>
      </c>
      <c r="P1034" s="2">
        <v>45978</v>
      </c>
      <c r="Q1034" t="s">
        <v>86</v>
      </c>
      <c r="R1034">
        <v>11</v>
      </c>
      <c r="S1034" t="s">
        <v>35</v>
      </c>
      <c r="T1034">
        <f>IF(orders[[#This Row],[Status]]="Completed",1,0)</f>
        <v>1</v>
      </c>
      <c r="U1034">
        <f>IF(orders[[#This Row],[Status]]="Pending",1,0)</f>
        <v>0</v>
      </c>
      <c r="V1034">
        <f>IF(orders[[#This Row],[Status]]="Delayed",1,0)</f>
        <v>0</v>
      </c>
      <c r="W1034">
        <f>IF(orders[[#This Row],[Status]]="Cancelled",1,0)</f>
        <v>0</v>
      </c>
    </row>
    <row r="1035" spans="1:23" x14ac:dyDescent="0.35">
      <c r="A1035" t="s">
        <v>1408</v>
      </c>
      <c r="B1035" s="1">
        <v>46006</v>
      </c>
      <c r="C1035" t="s">
        <v>486</v>
      </c>
      <c r="D1035" t="s">
        <v>77</v>
      </c>
      <c r="E1035" t="s">
        <v>31</v>
      </c>
      <c r="F1035" t="s">
        <v>72</v>
      </c>
      <c r="G1035" t="s">
        <v>129</v>
      </c>
      <c r="H1035" s="7">
        <v>4</v>
      </c>
      <c r="I1035" s="4">
        <v>19269.04</v>
      </c>
      <c r="J1035" s="23">
        <v>0.2</v>
      </c>
      <c r="K1035" s="4">
        <v>15415.23</v>
      </c>
      <c r="L1035" s="4">
        <v>9955.11</v>
      </c>
      <c r="M1035" s="4">
        <v>5460.12</v>
      </c>
      <c r="N1035" t="s">
        <v>25</v>
      </c>
      <c r="O1035" s="7">
        <v>38</v>
      </c>
      <c r="P1035" s="2">
        <v>46007.583333333336</v>
      </c>
      <c r="Q1035" t="s">
        <v>34</v>
      </c>
      <c r="R1035">
        <v>12</v>
      </c>
      <c r="S1035" t="s">
        <v>35</v>
      </c>
      <c r="T1035">
        <f>IF(orders[[#This Row],[Status]]="Completed",1,0)</f>
        <v>1</v>
      </c>
      <c r="U1035">
        <f>IF(orders[[#This Row],[Status]]="Pending",1,0)</f>
        <v>0</v>
      </c>
      <c r="V1035">
        <f>IF(orders[[#This Row],[Status]]="Delayed",1,0)</f>
        <v>0</v>
      </c>
      <c r="W1035">
        <f>IF(orders[[#This Row],[Status]]="Cancelled",1,0)</f>
        <v>0</v>
      </c>
    </row>
    <row r="1036" spans="1:23" x14ac:dyDescent="0.35">
      <c r="A1036" t="s">
        <v>1409</v>
      </c>
      <c r="B1036" s="1">
        <v>45985</v>
      </c>
      <c r="C1036" t="s">
        <v>1410</v>
      </c>
      <c r="D1036" t="s">
        <v>77</v>
      </c>
      <c r="E1036" t="s">
        <v>31</v>
      </c>
      <c r="F1036" t="s">
        <v>72</v>
      </c>
      <c r="G1036" t="s">
        <v>146</v>
      </c>
      <c r="H1036" s="7">
        <v>6</v>
      </c>
      <c r="I1036" s="4">
        <v>17753.34</v>
      </c>
      <c r="J1036" s="23">
        <v>0.2</v>
      </c>
      <c r="K1036" s="4">
        <v>14202.67</v>
      </c>
      <c r="L1036" s="4">
        <v>11497.91</v>
      </c>
      <c r="M1036" s="4">
        <v>2704.76</v>
      </c>
      <c r="N1036" t="s">
        <v>98</v>
      </c>
      <c r="O1036" s="7">
        <v>2</v>
      </c>
      <c r="P1036" s="2">
        <v>45985.083333333336</v>
      </c>
      <c r="Q1036" t="s">
        <v>86</v>
      </c>
      <c r="R1036">
        <v>11</v>
      </c>
      <c r="S1036" t="s">
        <v>35</v>
      </c>
      <c r="T1036">
        <f>IF(orders[[#This Row],[Status]]="Completed",1,0)</f>
        <v>0</v>
      </c>
      <c r="U1036">
        <f>IF(orders[[#This Row],[Status]]="Pending",1,0)</f>
        <v>1</v>
      </c>
      <c r="V1036">
        <f>IF(orders[[#This Row],[Status]]="Delayed",1,0)</f>
        <v>0</v>
      </c>
      <c r="W1036">
        <f>IF(orders[[#This Row],[Status]]="Cancelled",1,0)</f>
        <v>0</v>
      </c>
    </row>
    <row r="1037" spans="1:23" x14ac:dyDescent="0.35">
      <c r="A1037" t="s">
        <v>1411</v>
      </c>
      <c r="B1037" s="1">
        <v>45924</v>
      </c>
      <c r="C1037" t="s">
        <v>493</v>
      </c>
      <c r="D1037" t="s">
        <v>68</v>
      </c>
      <c r="E1037" t="s">
        <v>78</v>
      </c>
      <c r="F1037" t="s">
        <v>83</v>
      </c>
      <c r="G1037" t="s">
        <v>155</v>
      </c>
      <c r="H1037" s="7">
        <v>4</v>
      </c>
      <c r="I1037" s="4">
        <v>17935.32</v>
      </c>
      <c r="J1037" s="23">
        <v>0</v>
      </c>
      <c r="K1037" s="4">
        <v>17935.32</v>
      </c>
      <c r="L1037" s="4">
        <v>10807.8</v>
      </c>
      <c r="M1037" s="4">
        <v>7127.52</v>
      </c>
      <c r="N1037" t="s">
        <v>25</v>
      </c>
      <c r="O1037" s="7">
        <v>31</v>
      </c>
      <c r="P1037" s="2">
        <v>45925.291666666664</v>
      </c>
      <c r="Q1037" t="s">
        <v>41</v>
      </c>
      <c r="R1037">
        <v>9</v>
      </c>
      <c r="S1037" t="s">
        <v>42</v>
      </c>
      <c r="T1037">
        <f>IF(orders[[#This Row],[Status]]="Completed",1,0)</f>
        <v>1</v>
      </c>
      <c r="U1037">
        <f>IF(orders[[#This Row],[Status]]="Pending",1,0)</f>
        <v>0</v>
      </c>
      <c r="V1037">
        <f>IF(orders[[#This Row],[Status]]="Delayed",1,0)</f>
        <v>0</v>
      </c>
      <c r="W1037">
        <f>IF(orders[[#This Row],[Status]]="Cancelled",1,0)</f>
        <v>0</v>
      </c>
    </row>
    <row r="1038" spans="1:23" x14ac:dyDescent="0.35">
      <c r="A1038" t="s">
        <v>1412</v>
      </c>
      <c r="B1038" s="1">
        <v>46018</v>
      </c>
      <c r="C1038" t="s">
        <v>363</v>
      </c>
      <c r="D1038" t="s">
        <v>51</v>
      </c>
      <c r="E1038" t="s">
        <v>52</v>
      </c>
      <c r="F1038" t="s">
        <v>83</v>
      </c>
      <c r="G1038" t="s">
        <v>152</v>
      </c>
      <c r="H1038" s="7">
        <v>3</v>
      </c>
      <c r="I1038" s="4">
        <v>24980.55</v>
      </c>
      <c r="J1038" s="23">
        <v>0.15</v>
      </c>
      <c r="K1038" s="4">
        <v>21233.47</v>
      </c>
      <c r="L1038" s="4">
        <v>11987.36</v>
      </c>
      <c r="M1038" s="4">
        <v>9246.11</v>
      </c>
      <c r="N1038" t="s">
        <v>25</v>
      </c>
      <c r="O1038" s="7">
        <v>35</v>
      </c>
      <c r="P1038" s="2">
        <v>46019.458333333336</v>
      </c>
      <c r="Q1038" t="s">
        <v>34</v>
      </c>
      <c r="R1038">
        <v>12</v>
      </c>
      <c r="S1038" t="s">
        <v>35</v>
      </c>
      <c r="T1038">
        <f>IF(orders[[#This Row],[Status]]="Completed",1,0)</f>
        <v>1</v>
      </c>
      <c r="U1038">
        <f>IF(orders[[#This Row],[Status]]="Pending",1,0)</f>
        <v>0</v>
      </c>
      <c r="V1038">
        <f>IF(orders[[#This Row],[Status]]="Delayed",1,0)</f>
        <v>0</v>
      </c>
      <c r="W1038">
        <f>IF(orders[[#This Row],[Status]]="Cancelled",1,0)</f>
        <v>0</v>
      </c>
    </row>
    <row r="1039" spans="1:23" x14ac:dyDescent="0.35">
      <c r="A1039" t="s">
        <v>1413</v>
      </c>
      <c r="B1039" s="1">
        <v>45886</v>
      </c>
      <c r="C1039" t="s">
        <v>261</v>
      </c>
      <c r="D1039" t="s">
        <v>58</v>
      </c>
      <c r="E1039" t="s">
        <v>92</v>
      </c>
      <c r="F1039" t="s">
        <v>32</v>
      </c>
      <c r="G1039" t="s">
        <v>53</v>
      </c>
      <c r="H1039" s="7">
        <v>6</v>
      </c>
      <c r="I1039" s="4">
        <v>35787.78</v>
      </c>
      <c r="J1039" s="23">
        <v>0.15</v>
      </c>
      <c r="K1039" s="4">
        <v>30419.61</v>
      </c>
      <c r="L1039" s="4">
        <v>20685.82</v>
      </c>
      <c r="M1039" s="4">
        <v>9733.7900000000009</v>
      </c>
      <c r="N1039" t="s">
        <v>25</v>
      </c>
      <c r="O1039" s="7">
        <v>45</v>
      </c>
      <c r="P1039" s="2">
        <v>45887.875</v>
      </c>
      <c r="Q1039" t="s">
        <v>80</v>
      </c>
      <c r="R1039">
        <v>8</v>
      </c>
      <c r="S1039" t="s">
        <v>42</v>
      </c>
      <c r="T1039">
        <f>IF(orders[[#This Row],[Status]]="Completed",1,0)</f>
        <v>1</v>
      </c>
      <c r="U1039">
        <f>IF(orders[[#This Row],[Status]]="Pending",1,0)</f>
        <v>0</v>
      </c>
      <c r="V1039">
        <f>IF(orders[[#This Row],[Status]]="Delayed",1,0)</f>
        <v>0</v>
      </c>
      <c r="W1039">
        <f>IF(orders[[#This Row],[Status]]="Cancelled",1,0)</f>
        <v>0</v>
      </c>
    </row>
    <row r="1040" spans="1:23" x14ac:dyDescent="0.35">
      <c r="A1040" t="s">
        <v>1414</v>
      </c>
      <c r="B1040" s="1">
        <v>45927</v>
      </c>
      <c r="C1040" t="s">
        <v>126</v>
      </c>
      <c r="D1040" t="s">
        <v>30</v>
      </c>
      <c r="E1040" t="s">
        <v>59</v>
      </c>
      <c r="F1040" t="s">
        <v>72</v>
      </c>
      <c r="G1040" t="s">
        <v>129</v>
      </c>
      <c r="H1040" s="7">
        <v>1</v>
      </c>
      <c r="I1040" s="4">
        <v>5761</v>
      </c>
      <c r="J1040" s="23">
        <v>0.05</v>
      </c>
      <c r="K1040" s="4">
        <v>5472.95</v>
      </c>
      <c r="L1040" s="4">
        <v>3762.16</v>
      </c>
      <c r="M1040" s="4">
        <v>1710.79</v>
      </c>
      <c r="N1040" t="s">
        <v>48</v>
      </c>
      <c r="O1040" s="7">
        <v>15</v>
      </c>
      <c r="P1040" s="2">
        <v>45927.625</v>
      </c>
      <c r="Q1040" t="s">
        <v>41</v>
      </c>
      <c r="R1040">
        <v>9</v>
      </c>
      <c r="S1040" t="s">
        <v>42</v>
      </c>
      <c r="T1040">
        <f>IF(orders[[#This Row],[Status]]="Completed",1,0)</f>
        <v>0</v>
      </c>
      <c r="U1040">
        <f>IF(orders[[#This Row],[Status]]="Pending",1,0)</f>
        <v>0</v>
      </c>
      <c r="V1040">
        <f>IF(orders[[#This Row],[Status]]="Delayed",1,0)</f>
        <v>0</v>
      </c>
      <c r="W1040">
        <f>IF(orders[[#This Row],[Status]]="Cancelled",1,0)</f>
        <v>1</v>
      </c>
    </row>
    <row r="1041" spans="1:23" x14ac:dyDescent="0.35">
      <c r="A1041" t="s">
        <v>1415</v>
      </c>
      <c r="B1041" s="1">
        <v>45973</v>
      </c>
      <c r="C1041" t="s">
        <v>388</v>
      </c>
      <c r="D1041" t="s">
        <v>51</v>
      </c>
      <c r="E1041" t="s">
        <v>46</v>
      </c>
      <c r="F1041" t="s">
        <v>83</v>
      </c>
      <c r="G1041" t="s">
        <v>152</v>
      </c>
      <c r="H1041" s="7">
        <v>6</v>
      </c>
      <c r="I1041" s="4">
        <v>12958.14</v>
      </c>
      <c r="J1041" s="23">
        <v>0.1</v>
      </c>
      <c r="K1041" s="4">
        <v>11662.33</v>
      </c>
      <c r="L1041" s="4">
        <v>8149.63</v>
      </c>
      <c r="M1041" s="4">
        <v>3512.7</v>
      </c>
      <c r="N1041" t="s">
        <v>25</v>
      </c>
      <c r="O1041" s="7">
        <v>28</v>
      </c>
      <c r="P1041" s="2">
        <v>45974.166666666664</v>
      </c>
      <c r="Q1041" t="s">
        <v>86</v>
      </c>
      <c r="R1041">
        <v>11</v>
      </c>
      <c r="S1041" t="s">
        <v>35</v>
      </c>
      <c r="T1041">
        <f>IF(orders[[#This Row],[Status]]="Completed",1,0)</f>
        <v>1</v>
      </c>
      <c r="U1041">
        <f>IF(orders[[#This Row],[Status]]="Pending",1,0)</f>
        <v>0</v>
      </c>
      <c r="V1041">
        <f>IF(orders[[#This Row],[Status]]="Delayed",1,0)</f>
        <v>0</v>
      </c>
      <c r="W1041">
        <f>IF(orders[[#This Row],[Status]]="Cancelled",1,0)</f>
        <v>0</v>
      </c>
    </row>
    <row r="1042" spans="1:23" x14ac:dyDescent="0.35">
      <c r="A1042" t="s">
        <v>1416</v>
      </c>
      <c r="B1042" s="1">
        <v>45943</v>
      </c>
      <c r="C1042" t="s">
        <v>304</v>
      </c>
      <c r="D1042" t="s">
        <v>45</v>
      </c>
      <c r="E1042" t="s">
        <v>52</v>
      </c>
      <c r="F1042" t="s">
        <v>23</v>
      </c>
      <c r="G1042" t="s">
        <v>24</v>
      </c>
      <c r="H1042" s="7">
        <v>2</v>
      </c>
      <c r="I1042" s="4">
        <v>12718.16</v>
      </c>
      <c r="J1042" s="23">
        <v>0.15</v>
      </c>
      <c r="K1042" s="4">
        <v>10810.44</v>
      </c>
      <c r="L1042" s="4">
        <v>8895.68</v>
      </c>
      <c r="M1042" s="4">
        <v>1914.76</v>
      </c>
      <c r="N1042" t="s">
        <v>98</v>
      </c>
      <c r="O1042" s="7">
        <v>12</v>
      </c>
      <c r="P1042" s="2">
        <v>45943.5</v>
      </c>
      <c r="Q1042" t="s">
        <v>116</v>
      </c>
      <c r="R1042">
        <v>10</v>
      </c>
      <c r="S1042" t="s">
        <v>35</v>
      </c>
      <c r="T1042">
        <f>IF(orders[[#This Row],[Status]]="Completed",1,0)</f>
        <v>0</v>
      </c>
      <c r="U1042">
        <f>IF(orders[[#This Row],[Status]]="Pending",1,0)</f>
        <v>1</v>
      </c>
      <c r="V1042">
        <f>IF(orders[[#This Row],[Status]]="Delayed",1,0)</f>
        <v>0</v>
      </c>
      <c r="W1042">
        <f>IF(orders[[#This Row],[Status]]="Cancelled",1,0)</f>
        <v>0</v>
      </c>
    </row>
    <row r="1043" spans="1:23" x14ac:dyDescent="0.35">
      <c r="A1043" t="s">
        <v>1417</v>
      </c>
      <c r="B1043" s="1">
        <v>45948</v>
      </c>
      <c r="C1043" t="s">
        <v>103</v>
      </c>
      <c r="D1043" t="s">
        <v>68</v>
      </c>
      <c r="E1043" t="s">
        <v>92</v>
      </c>
      <c r="F1043" t="s">
        <v>83</v>
      </c>
      <c r="G1043" t="s">
        <v>107</v>
      </c>
      <c r="H1043" s="7">
        <v>1</v>
      </c>
      <c r="I1043" s="4">
        <v>6414.77</v>
      </c>
      <c r="J1043" s="23">
        <v>0.05</v>
      </c>
      <c r="K1043" s="4">
        <v>6094.03</v>
      </c>
      <c r="L1043" s="4">
        <v>3548.81</v>
      </c>
      <c r="M1043" s="4">
        <v>2545.2199999999998</v>
      </c>
      <c r="N1043" t="s">
        <v>25</v>
      </c>
      <c r="O1043" s="7">
        <v>38</v>
      </c>
      <c r="P1043" s="2">
        <v>45949.583333333336</v>
      </c>
      <c r="Q1043" t="s">
        <v>116</v>
      </c>
      <c r="R1043">
        <v>10</v>
      </c>
      <c r="S1043" t="s">
        <v>35</v>
      </c>
      <c r="T1043">
        <f>IF(orders[[#This Row],[Status]]="Completed",1,0)</f>
        <v>1</v>
      </c>
      <c r="U1043">
        <f>IF(orders[[#This Row],[Status]]="Pending",1,0)</f>
        <v>0</v>
      </c>
      <c r="V1043">
        <f>IF(orders[[#This Row],[Status]]="Delayed",1,0)</f>
        <v>0</v>
      </c>
      <c r="W1043">
        <f>IF(orders[[#This Row],[Status]]="Cancelled",1,0)</f>
        <v>0</v>
      </c>
    </row>
    <row r="1044" spans="1:23" x14ac:dyDescent="0.35">
      <c r="A1044" t="s">
        <v>1418</v>
      </c>
      <c r="B1044" s="1">
        <v>45870</v>
      </c>
      <c r="C1044" t="s">
        <v>734</v>
      </c>
      <c r="D1044" t="s">
        <v>30</v>
      </c>
      <c r="E1044" t="s">
        <v>22</v>
      </c>
      <c r="F1044" t="s">
        <v>83</v>
      </c>
      <c r="G1044" t="s">
        <v>155</v>
      </c>
      <c r="H1044" s="7">
        <v>2</v>
      </c>
      <c r="I1044" s="4">
        <v>5598.72</v>
      </c>
      <c r="J1044" s="23">
        <v>0</v>
      </c>
      <c r="K1044" s="4">
        <v>5598.72</v>
      </c>
      <c r="L1044" s="4">
        <v>4379.88</v>
      </c>
      <c r="M1044" s="4">
        <v>1218.8399999999999</v>
      </c>
      <c r="N1044" t="s">
        <v>85</v>
      </c>
      <c r="O1044" s="7">
        <v>73</v>
      </c>
      <c r="P1044" s="2">
        <v>45873.041666666664</v>
      </c>
      <c r="Q1044" t="s">
        <v>80</v>
      </c>
      <c r="R1044">
        <v>8</v>
      </c>
      <c r="S1044" t="s">
        <v>42</v>
      </c>
      <c r="T1044">
        <f>IF(orders[[#This Row],[Status]]="Completed",1,0)</f>
        <v>0</v>
      </c>
      <c r="U1044">
        <f>IF(orders[[#This Row],[Status]]="Pending",1,0)</f>
        <v>0</v>
      </c>
      <c r="V1044">
        <f>IF(orders[[#This Row],[Status]]="Delayed",1,0)</f>
        <v>1</v>
      </c>
      <c r="W1044">
        <f>IF(orders[[#This Row],[Status]]="Cancelled",1,0)</f>
        <v>0</v>
      </c>
    </row>
    <row r="1045" spans="1:23" x14ac:dyDescent="0.35">
      <c r="A1045" t="s">
        <v>1419</v>
      </c>
      <c r="B1045" s="1">
        <v>45822</v>
      </c>
      <c r="C1045" t="s">
        <v>50</v>
      </c>
      <c r="D1045" t="s">
        <v>77</v>
      </c>
      <c r="E1045" t="s">
        <v>92</v>
      </c>
      <c r="F1045" t="s">
        <v>72</v>
      </c>
      <c r="G1045" t="s">
        <v>73</v>
      </c>
      <c r="H1045" s="7">
        <v>7</v>
      </c>
      <c r="I1045" s="4">
        <v>29323.07</v>
      </c>
      <c r="J1045" s="23">
        <v>0.15</v>
      </c>
      <c r="K1045" s="4">
        <v>24924.61</v>
      </c>
      <c r="L1045" s="4">
        <v>16488.18</v>
      </c>
      <c r="M1045" s="4">
        <v>8436.43</v>
      </c>
      <c r="N1045" t="s">
        <v>25</v>
      </c>
      <c r="O1045" s="7">
        <v>27</v>
      </c>
      <c r="P1045" s="2">
        <v>45823.125</v>
      </c>
      <c r="Q1045" t="s">
        <v>99</v>
      </c>
      <c r="R1045">
        <v>6</v>
      </c>
      <c r="S1045" t="s">
        <v>27</v>
      </c>
      <c r="T1045">
        <f>IF(orders[[#This Row],[Status]]="Completed",1,0)</f>
        <v>1</v>
      </c>
      <c r="U1045">
        <f>IF(orders[[#This Row],[Status]]="Pending",1,0)</f>
        <v>0</v>
      </c>
      <c r="V1045">
        <f>IF(orders[[#This Row],[Status]]="Delayed",1,0)</f>
        <v>0</v>
      </c>
      <c r="W1045">
        <f>IF(orders[[#This Row],[Status]]="Cancelled",1,0)</f>
        <v>0</v>
      </c>
    </row>
    <row r="1046" spans="1:23" x14ac:dyDescent="0.35">
      <c r="A1046" t="s">
        <v>1420</v>
      </c>
      <c r="B1046" s="1">
        <v>45662</v>
      </c>
      <c r="C1046" t="s">
        <v>538</v>
      </c>
      <c r="D1046" t="s">
        <v>21</v>
      </c>
      <c r="E1046" t="s">
        <v>78</v>
      </c>
      <c r="F1046" t="s">
        <v>72</v>
      </c>
      <c r="G1046" t="s">
        <v>104</v>
      </c>
      <c r="H1046" s="7">
        <v>4</v>
      </c>
      <c r="I1046" s="4">
        <v>10439.76</v>
      </c>
      <c r="J1046" s="23">
        <v>0.2</v>
      </c>
      <c r="K1046" s="4">
        <v>8351.81</v>
      </c>
      <c r="L1046" s="4">
        <v>5447.83</v>
      </c>
      <c r="M1046" s="4">
        <v>2903.98</v>
      </c>
      <c r="N1046" t="s">
        <v>25</v>
      </c>
      <c r="O1046" s="7">
        <v>42</v>
      </c>
      <c r="P1046" s="2">
        <v>45663.75</v>
      </c>
      <c r="Q1046" t="s">
        <v>65</v>
      </c>
      <c r="R1046">
        <v>1</v>
      </c>
      <c r="S1046" t="s">
        <v>55</v>
      </c>
      <c r="T1046">
        <f>IF(orders[[#This Row],[Status]]="Completed",1,0)</f>
        <v>1</v>
      </c>
      <c r="U1046">
        <f>IF(orders[[#This Row],[Status]]="Pending",1,0)</f>
        <v>0</v>
      </c>
      <c r="V1046">
        <f>IF(orders[[#This Row],[Status]]="Delayed",1,0)</f>
        <v>0</v>
      </c>
      <c r="W1046">
        <f>IF(orders[[#This Row],[Status]]="Cancelled",1,0)</f>
        <v>0</v>
      </c>
    </row>
    <row r="1047" spans="1:23" x14ac:dyDescent="0.35">
      <c r="A1047" t="s">
        <v>1421</v>
      </c>
      <c r="B1047" s="1">
        <v>45996</v>
      </c>
      <c r="C1047" t="s">
        <v>242</v>
      </c>
      <c r="D1047" t="s">
        <v>63</v>
      </c>
      <c r="E1047" t="s">
        <v>78</v>
      </c>
      <c r="F1047" t="s">
        <v>39</v>
      </c>
      <c r="G1047" t="s">
        <v>114</v>
      </c>
      <c r="H1047" s="7">
        <v>1</v>
      </c>
      <c r="I1047" s="4">
        <v>2310.19</v>
      </c>
      <c r="J1047" s="23">
        <v>0.1</v>
      </c>
      <c r="K1047" s="4">
        <v>2079.17</v>
      </c>
      <c r="L1047" s="4">
        <v>1783.39</v>
      </c>
      <c r="M1047" s="4">
        <v>295.77999999999997</v>
      </c>
      <c r="N1047" t="s">
        <v>98</v>
      </c>
      <c r="O1047" s="7">
        <v>11</v>
      </c>
      <c r="P1047" s="2">
        <v>45996.458333333336</v>
      </c>
      <c r="Q1047" t="s">
        <v>34</v>
      </c>
      <c r="R1047">
        <v>12</v>
      </c>
      <c r="S1047" t="s">
        <v>35</v>
      </c>
      <c r="T1047">
        <f>IF(orders[[#This Row],[Status]]="Completed",1,0)</f>
        <v>0</v>
      </c>
      <c r="U1047">
        <f>IF(orders[[#This Row],[Status]]="Pending",1,0)</f>
        <v>1</v>
      </c>
      <c r="V1047">
        <f>IF(orders[[#This Row],[Status]]="Delayed",1,0)</f>
        <v>0</v>
      </c>
      <c r="W1047">
        <f>IF(orders[[#This Row],[Status]]="Cancelled",1,0)</f>
        <v>0</v>
      </c>
    </row>
    <row r="1048" spans="1:23" x14ac:dyDescent="0.35">
      <c r="A1048" t="s">
        <v>1422</v>
      </c>
      <c r="B1048" s="1">
        <v>45735</v>
      </c>
      <c r="C1048" t="s">
        <v>600</v>
      </c>
      <c r="D1048" t="s">
        <v>77</v>
      </c>
      <c r="E1048" t="s">
        <v>78</v>
      </c>
      <c r="F1048" t="s">
        <v>23</v>
      </c>
      <c r="G1048" t="s">
        <v>136</v>
      </c>
      <c r="H1048" s="7">
        <v>4</v>
      </c>
      <c r="I1048" s="4">
        <v>1464.92</v>
      </c>
      <c r="J1048" s="23">
        <v>0.15</v>
      </c>
      <c r="K1048" s="4">
        <v>1245.18</v>
      </c>
      <c r="L1048" s="4">
        <v>786.95</v>
      </c>
      <c r="M1048" s="4">
        <v>458.23</v>
      </c>
      <c r="N1048" t="s">
        <v>85</v>
      </c>
      <c r="O1048" s="7">
        <v>69</v>
      </c>
      <c r="P1048" s="2">
        <v>45737.875</v>
      </c>
      <c r="Q1048" t="s">
        <v>54</v>
      </c>
      <c r="R1048">
        <v>3</v>
      </c>
      <c r="S1048" t="s">
        <v>55</v>
      </c>
      <c r="T1048">
        <f>IF(orders[[#This Row],[Status]]="Completed",1,0)</f>
        <v>0</v>
      </c>
      <c r="U1048">
        <f>IF(orders[[#This Row],[Status]]="Pending",1,0)</f>
        <v>0</v>
      </c>
      <c r="V1048">
        <f>IF(orders[[#This Row],[Status]]="Delayed",1,0)</f>
        <v>1</v>
      </c>
      <c r="W1048">
        <f>IF(orders[[#This Row],[Status]]="Cancelled",1,0)</f>
        <v>0</v>
      </c>
    </row>
    <row r="1049" spans="1:23" x14ac:dyDescent="0.35">
      <c r="A1049" t="s">
        <v>1423</v>
      </c>
      <c r="B1049" s="1">
        <v>45719</v>
      </c>
      <c r="C1049" t="s">
        <v>106</v>
      </c>
      <c r="D1049" t="s">
        <v>58</v>
      </c>
      <c r="E1049" t="s">
        <v>92</v>
      </c>
      <c r="F1049" t="s">
        <v>72</v>
      </c>
      <c r="G1049" t="s">
        <v>146</v>
      </c>
      <c r="H1049" s="7">
        <v>7</v>
      </c>
      <c r="I1049" s="4">
        <v>17720.64</v>
      </c>
      <c r="J1049" s="23">
        <v>0.05</v>
      </c>
      <c r="K1049" s="4">
        <v>16834.61</v>
      </c>
      <c r="L1049" s="4">
        <v>12828.57</v>
      </c>
      <c r="M1049" s="4">
        <v>4006.04</v>
      </c>
      <c r="N1049" t="s">
        <v>48</v>
      </c>
      <c r="O1049" s="7">
        <v>19</v>
      </c>
      <c r="P1049" s="2">
        <v>45719.791666666664</v>
      </c>
      <c r="Q1049" t="s">
        <v>54</v>
      </c>
      <c r="R1049">
        <v>3</v>
      </c>
      <c r="S1049" t="s">
        <v>55</v>
      </c>
      <c r="T1049">
        <f>IF(orders[[#This Row],[Status]]="Completed",1,0)</f>
        <v>0</v>
      </c>
      <c r="U1049">
        <f>IF(orders[[#This Row],[Status]]="Pending",1,0)</f>
        <v>0</v>
      </c>
      <c r="V1049">
        <f>IF(orders[[#This Row],[Status]]="Delayed",1,0)</f>
        <v>0</v>
      </c>
      <c r="W1049">
        <f>IF(orders[[#This Row],[Status]]="Cancelled",1,0)</f>
        <v>1</v>
      </c>
    </row>
    <row r="1050" spans="1:23" x14ac:dyDescent="0.35">
      <c r="A1050" t="s">
        <v>1424</v>
      </c>
      <c r="B1050" s="1">
        <v>45789</v>
      </c>
      <c r="C1050" t="s">
        <v>1425</v>
      </c>
      <c r="D1050" t="s">
        <v>38</v>
      </c>
      <c r="E1050" t="s">
        <v>52</v>
      </c>
      <c r="F1050" t="s">
        <v>32</v>
      </c>
      <c r="G1050" t="s">
        <v>79</v>
      </c>
      <c r="H1050" s="7">
        <v>5</v>
      </c>
      <c r="I1050" s="4">
        <v>23878.25</v>
      </c>
      <c r="J1050" s="23">
        <v>0</v>
      </c>
      <c r="K1050" s="4">
        <v>23878.25</v>
      </c>
      <c r="L1050" s="4">
        <v>15301</v>
      </c>
      <c r="M1050" s="4">
        <v>8577.25</v>
      </c>
      <c r="N1050" t="s">
        <v>48</v>
      </c>
      <c r="O1050" s="7">
        <v>7</v>
      </c>
      <c r="P1050" s="2">
        <v>45789.291666666664</v>
      </c>
      <c r="Q1050" t="s">
        <v>74</v>
      </c>
      <c r="R1050">
        <v>5</v>
      </c>
      <c r="S1050" t="s">
        <v>27</v>
      </c>
      <c r="T1050">
        <f>IF(orders[[#This Row],[Status]]="Completed",1,0)</f>
        <v>0</v>
      </c>
      <c r="U1050">
        <f>IF(orders[[#This Row],[Status]]="Pending",1,0)</f>
        <v>0</v>
      </c>
      <c r="V1050">
        <f>IF(orders[[#This Row],[Status]]="Delayed",1,0)</f>
        <v>0</v>
      </c>
      <c r="W1050">
        <f>IF(orders[[#This Row],[Status]]="Cancelled",1,0)</f>
        <v>1</v>
      </c>
    </row>
    <row r="1051" spans="1:23" x14ac:dyDescent="0.35">
      <c r="A1051" t="s">
        <v>1426</v>
      </c>
      <c r="B1051" s="1">
        <v>45746</v>
      </c>
      <c r="C1051" t="s">
        <v>1427</v>
      </c>
      <c r="D1051" t="s">
        <v>21</v>
      </c>
      <c r="E1051" t="s">
        <v>59</v>
      </c>
      <c r="F1051" t="s">
        <v>23</v>
      </c>
      <c r="G1051" t="s">
        <v>122</v>
      </c>
      <c r="H1051" s="7">
        <v>4</v>
      </c>
      <c r="I1051" s="4">
        <v>653.48</v>
      </c>
      <c r="J1051" s="23">
        <v>0.1</v>
      </c>
      <c r="K1051" s="4">
        <v>588.13</v>
      </c>
      <c r="L1051" s="4">
        <v>421.9</v>
      </c>
      <c r="M1051" s="4">
        <v>166.23</v>
      </c>
      <c r="N1051" t="s">
        <v>85</v>
      </c>
      <c r="O1051" s="7">
        <v>90</v>
      </c>
      <c r="P1051" s="2">
        <v>45749.75</v>
      </c>
      <c r="Q1051" t="s">
        <v>54</v>
      </c>
      <c r="R1051">
        <v>3</v>
      </c>
      <c r="S1051" t="s">
        <v>55</v>
      </c>
      <c r="T1051">
        <f>IF(orders[[#This Row],[Status]]="Completed",1,0)</f>
        <v>0</v>
      </c>
      <c r="U1051">
        <f>IF(orders[[#This Row],[Status]]="Pending",1,0)</f>
        <v>0</v>
      </c>
      <c r="V1051">
        <f>IF(orders[[#This Row],[Status]]="Delayed",1,0)</f>
        <v>1</v>
      </c>
      <c r="W1051">
        <f>IF(orders[[#This Row],[Status]]="Cancelled",1,0)</f>
        <v>0</v>
      </c>
    </row>
    <row r="1052" spans="1:23" x14ac:dyDescent="0.35">
      <c r="A1052" t="s">
        <v>1428</v>
      </c>
      <c r="B1052" s="1">
        <v>45894</v>
      </c>
      <c r="C1052" t="s">
        <v>254</v>
      </c>
      <c r="D1052" t="s">
        <v>63</v>
      </c>
      <c r="E1052" t="s">
        <v>113</v>
      </c>
      <c r="F1052" t="s">
        <v>23</v>
      </c>
      <c r="G1052" t="s">
        <v>136</v>
      </c>
      <c r="H1052" s="7">
        <v>7</v>
      </c>
      <c r="I1052" s="4">
        <v>17604.16</v>
      </c>
      <c r="J1052" s="23">
        <v>0.05</v>
      </c>
      <c r="K1052" s="4">
        <v>16723.95</v>
      </c>
      <c r="L1052" s="4">
        <v>13537.65</v>
      </c>
      <c r="M1052" s="4">
        <v>3186.3</v>
      </c>
      <c r="N1052" t="s">
        <v>48</v>
      </c>
      <c r="O1052" s="7">
        <v>20</v>
      </c>
      <c r="P1052" s="2">
        <v>45894.833333333336</v>
      </c>
      <c r="Q1052" t="s">
        <v>80</v>
      </c>
      <c r="R1052">
        <v>8</v>
      </c>
      <c r="S1052" t="s">
        <v>42</v>
      </c>
      <c r="T1052">
        <f>IF(orders[[#This Row],[Status]]="Completed",1,0)</f>
        <v>0</v>
      </c>
      <c r="U1052">
        <f>IF(orders[[#This Row],[Status]]="Pending",1,0)</f>
        <v>0</v>
      </c>
      <c r="V1052">
        <f>IF(orders[[#This Row],[Status]]="Delayed",1,0)</f>
        <v>0</v>
      </c>
      <c r="W1052">
        <f>IF(orders[[#This Row],[Status]]="Cancelled",1,0)</f>
        <v>1</v>
      </c>
    </row>
    <row r="1053" spans="1:23" x14ac:dyDescent="0.35">
      <c r="A1053" t="s">
        <v>1429</v>
      </c>
      <c r="B1053" s="1">
        <v>45699</v>
      </c>
      <c r="C1053" t="s">
        <v>29</v>
      </c>
      <c r="D1053" t="s">
        <v>63</v>
      </c>
      <c r="E1053" t="s">
        <v>92</v>
      </c>
      <c r="F1053" t="s">
        <v>72</v>
      </c>
      <c r="G1053" t="s">
        <v>104</v>
      </c>
      <c r="H1053" s="7">
        <v>4</v>
      </c>
      <c r="I1053" s="4">
        <v>30039.119999999999</v>
      </c>
      <c r="J1053" s="23">
        <v>0.2</v>
      </c>
      <c r="K1053" s="4">
        <v>24031.3</v>
      </c>
      <c r="L1053" s="4">
        <v>20209.560000000001</v>
      </c>
      <c r="M1053" s="4">
        <v>3821.74</v>
      </c>
      <c r="N1053" t="s">
        <v>85</v>
      </c>
      <c r="O1053" s="7">
        <v>50</v>
      </c>
      <c r="P1053" s="2">
        <v>45701.083333333336</v>
      </c>
      <c r="Q1053" t="s">
        <v>139</v>
      </c>
      <c r="R1053">
        <v>2</v>
      </c>
      <c r="S1053" t="s">
        <v>55</v>
      </c>
      <c r="T1053">
        <f>IF(orders[[#This Row],[Status]]="Completed",1,0)</f>
        <v>0</v>
      </c>
      <c r="U1053">
        <f>IF(orders[[#This Row],[Status]]="Pending",1,0)</f>
        <v>0</v>
      </c>
      <c r="V1053">
        <f>IF(orders[[#This Row],[Status]]="Delayed",1,0)</f>
        <v>1</v>
      </c>
      <c r="W1053">
        <f>IF(orders[[#This Row],[Status]]="Cancelled",1,0)</f>
        <v>0</v>
      </c>
    </row>
    <row r="1054" spans="1:23" x14ac:dyDescent="0.35">
      <c r="A1054" t="s">
        <v>1430</v>
      </c>
      <c r="B1054" s="1">
        <v>45746</v>
      </c>
      <c r="C1054" t="s">
        <v>290</v>
      </c>
      <c r="D1054" t="s">
        <v>45</v>
      </c>
      <c r="E1054" t="s">
        <v>78</v>
      </c>
      <c r="F1054" t="s">
        <v>23</v>
      </c>
      <c r="G1054" t="s">
        <v>136</v>
      </c>
      <c r="H1054" s="7">
        <v>7</v>
      </c>
      <c r="I1054" s="4">
        <v>35748.79</v>
      </c>
      <c r="J1054" s="23">
        <v>0</v>
      </c>
      <c r="K1054" s="4">
        <v>35748.79</v>
      </c>
      <c r="L1054" s="4">
        <v>29556.03</v>
      </c>
      <c r="M1054" s="4">
        <v>6192.76</v>
      </c>
      <c r="N1054" t="s">
        <v>98</v>
      </c>
      <c r="O1054" s="7">
        <v>21</v>
      </c>
      <c r="P1054" s="2">
        <v>45746.875</v>
      </c>
      <c r="Q1054" t="s">
        <v>54</v>
      </c>
      <c r="R1054">
        <v>3</v>
      </c>
      <c r="S1054" t="s">
        <v>55</v>
      </c>
      <c r="T1054">
        <f>IF(orders[[#This Row],[Status]]="Completed",1,0)</f>
        <v>0</v>
      </c>
      <c r="U1054">
        <f>IF(orders[[#This Row],[Status]]="Pending",1,0)</f>
        <v>1</v>
      </c>
      <c r="V1054">
        <f>IF(orders[[#This Row],[Status]]="Delayed",1,0)</f>
        <v>0</v>
      </c>
      <c r="W1054">
        <f>IF(orders[[#This Row],[Status]]="Cancelled",1,0)</f>
        <v>0</v>
      </c>
    </row>
    <row r="1055" spans="1:23" x14ac:dyDescent="0.35">
      <c r="A1055" t="s">
        <v>1431</v>
      </c>
      <c r="B1055" s="1">
        <v>45953</v>
      </c>
      <c r="C1055" t="s">
        <v>490</v>
      </c>
      <c r="D1055" t="s">
        <v>45</v>
      </c>
      <c r="E1055" t="s">
        <v>113</v>
      </c>
      <c r="F1055" t="s">
        <v>72</v>
      </c>
      <c r="G1055" t="s">
        <v>119</v>
      </c>
      <c r="H1055" s="7">
        <v>2</v>
      </c>
      <c r="I1055" s="4">
        <v>10451.299999999999</v>
      </c>
      <c r="J1055" s="23">
        <v>0.05</v>
      </c>
      <c r="K1055" s="4">
        <v>9928.73</v>
      </c>
      <c r="L1055" s="4">
        <v>7368.31</v>
      </c>
      <c r="M1055" s="4">
        <v>2560.42</v>
      </c>
      <c r="N1055" t="s">
        <v>85</v>
      </c>
      <c r="O1055" s="7">
        <v>56</v>
      </c>
      <c r="P1055" s="2">
        <v>45955.333333333336</v>
      </c>
      <c r="Q1055" t="s">
        <v>116</v>
      </c>
      <c r="R1055">
        <v>10</v>
      </c>
      <c r="S1055" t="s">
        <v>35</v>
      </c>
      <c r="T1055">
        <f>IF(orders[[#This Row],[Status]]="Completed",1,0)</f>
        <v>0</v>
      </c>
      <c r="U1055">
        <f>IF(orders[[#This Row],[Status]]="Pending",1,0)</f>
        <v>0</v>
      </c>
      <c r="V1055">
        <f>IF(orders[[#This Row],[Status]]="Delayed",1,0)</f>
        <v>1</v>
      </c>
      <c r="W1055">
        <f>IF(orders[[#This Row],[Status]]="Cancelled",1,0)</f>
        <v>0</v>
      </c>
    </row>
    <row r="1056" spans="1:23" x14ac:dyDescent="0.35">
      <c r="A1056" t="s">
        <v>1432</v>
      </c>
      <c r="B1056" s="1">
        <v>45985</v>
      </c>
      <c r="C1056" t="s">
        <v>332</v>
      </c>
      <c r="D1056" t="s">
        <v>149</v>
      </c>
      <c r="E1056" t="s">
        <v>113</v>
      </c>
      <c r="F1056" t="s">
        <v>83</v>
      </c>
      <c r="G1056" t="s">
        <v>107</v>
      </c>
      <c r="H1056" s="7">
        <v>7</v>
      </c>
      <c r="I1056" s="4">
        <v>24626.63</v>
      </c>
      <c r="J1056" s="23">
        <v>0.05</v>
      </c>
      <c r="K1056" s="4">
        <v>23395.3</v>
      </c>
      <c r="L1056" s="4">
        <v>14788.39</v>
      </c>
      <c r="M1056" s="4">
        <v>8606.91</v>
      </c>
      <c r="N1056" t="s">
        <v>85</v>
      </c>
      <c r="O1056" s="7">
        <v>80</v>
      </c>
      <c r="P1056" s="2">
        <v>45988.333333333336</v>
      </c>
      <c r="Q1056" t="s">
        <v>86</v>
      </c>
      <c r="R1056">
        <v>11</v>
      </c>
      <c r="S1056" t="s">
        <v>35</v>
      </c>
      <c r="T1056">
        <f>IF(orders[[#This Row],[Status]]="Completed",1,0)</f>
        <v>0</v>
      </c>
      <c r="U1056">
        <f>IF(orders[[#This Row],[Status]]="Pending",1,0)</f>
        <v>0</v>
      </c>
      <c r="V1056">
        <f>IF(orders[[#This Row],[Status]]="Delayed",1,0)</f>
        <v>1</v>
      </c>
      <c r="W1056">
        <f>IF(orders[[#This Row],[Status]]="Cancelled",1,0)</f>
        <v>0</v>
      </c>
    </row>
    <row r="1057" spans="1:23" x14ac:dyDescent="0.35">
      <c r="A1057" t="s">
        <v>1433</v>
      </c>
      <c r="B1057" s="1">
        <v>45952</v>
      </c>
      <c r="C1057" t="s">
        <v>1011</v>
      </c>
      <c r="D1057" t="s">
        <v>77</v>
      </c>
      <c r="E1057" t="s">
        <v>31</v>
      </c>
      <c r="F1057" t="s">
        <v>39</v>
      </c>
      <c r="G1057" t="s">
        <v>93</v>
      </c>
      <c r="H1057" s="7">
        <v>6</v>
      </c>
      <c r="I1057" s="4">
        <v>34791.24</v>
      </c>
      <c r="J1057" s="23">
        <v>0.2</v>
      </c>
      <c r="K1057" s="4">
        <v>27832.99</v>
      </c>
      <c r="L1057" s="4">
        <v>21381.5</v>
      </c>
      <c r="M1057" s="4">
        <v>6451.49</v>
      </c>
      <c r="N1057" t="s">
        <v>25</v>
      </c>
      <c r="O1057" s="7">
        <v>42</v>
      </c>
      <c r="P1057" s="2">
        <v>45953.75</v>
      </c>
      <c r="Q1057" t="s">
        <v>116</v>
      </c>
      <c r="R1057">
        <v>10</v>
      </c>
      <c r="S1057" t="s">
        <v>35</v>
      </c>
      <c r="T1057">
        <f>IF(orders[[#This Row],[Status]]="Completed",1,0)</f>
        <v>1</v>
      </c>
      <c r="U1057">
        <f>IF(orders[[#This Row],[Status]]="Pending",1,0)</f>
        <v>0</v>
      </c>
      <c r="V1057">
        <f>IF(orders[[#This Row],[Status]]="Delayed",1,0)</f>
        <v>0</v>
      </c>
      <c r="W1057">
        <f>IF(orders[[#This Row],[Status]]="Cancelled",1,0)</f>
        <v>0</v>
      </c>
    </row>
    <row r="1058" spans="1:23" x14ac:dyDescent="0.35">
      <c r="A1058" t="s">
        <v>1434</v>
      </c>
      <c r="B1058" s="1">
        <v>45761</v>
      </c>
      <c r="C1058" t="s">
        <v>225</v>
      </c>
      <c r="D1058" t="s">
        <v>77</v>
      </c>
      <c r="E1058" t="s">
        <v>113</v>
      </c>
      <c r="F1058" t="s">
        <v>83</v>
      </c>
      <c r="G1058" t="s">
        <v>152</v>
      </c>
      <c r="H1058" s="7">
        <v>5</v>
      </c>
      <c r="I1058" s="4">
        <v>8679.7000000000007</v>
      </c>
      <c r="J1058" s="23">
        <v>0</v>
      </c>
      <c r="K1058" s="4">
        <v>8679.7000000000007</v>
      </c>
      <c r="L1058" s="4">
        <v>6807.22</v>
      </c>
      <c r="M1058" s="4">
        <v>1872.48</v>
      </c>
      <c r="N1058" t="s">
        <v>25</v>
      </c>
      <c r="O1058" s="7">
        <v>16</v>
      </c>
      <c r="P1058" s="2">
        <v>45761.666666666664</v>
      </c>
      <c r="Q1058" t="s">
        <v>26</v>
      </c>
      <c r="R1058">
        <v>4</v>
      </c>
      <c r="S1058" t="s">
        <v>27</v>
      </c>
      <c r="T1058">
        <f>IF(orders[[#This Row],[Status]]="Completed",1,0)</f>
        <v>1</v>
      </c>
      <c r="U1058">
        <f>IF(orders[[#This Row],[Status]]="Pending",1,0)</f>
        <v>0</v>
      </c>
      <c r="V1058">
        <f>IF(orders[[#This Row],[Status]]="Delayed",1,0)</f>
        <v>0</v>
      </c>
      <c r="W1058">
        <f>IF(orders[[#This Row],[Status]]="Cancelled",1,0)</f>
        <v>0</v>
      </c>
    </row>
    <row r="1059" spans="1:23" x14ac:dyDescent="0.35">
      <c r="A1059" t="s">
        <v>1435</v>
      </c>
      <c r="B1059" s="1">
        <v>45671</v>
      </c>
      <c r="C1059" t="s">
        <v>175</v>
      </c>
      <c r="D1059" t="s">
        <v>77</v>
      </c>
      <c r="E1059" t="s">
        <v>22</v>
      </c>
      <c r="F1059" t="s">
        <v>72</v>
      </c>
      <c r="G1059" t="s">
        <v>73</v>
      </c>
      <c r="H1059" s="7">
        <v>4</v>
      </c>
      <c r="I1059" s="4">
        <v>27946.16</v>
      </c>
      <c r="J1059" s="23">
        <v>0</v>
      </c>
      <c r="K1059" s="4">
        <v>27946.16</v>
      </c>
      <c r="L1059" s="4">
        <v>15468.99</v>
      </c>
      <c r="M1059" s="4">
        <v>12477.17</v>
      </c>
      <c r="N1059" t="s">
        <v>25</v>
      </c>
      <c r="O1059" s="7">
        <v>13</v>
      </c>
      <c r="P1059" s="2">
        <v>45671.541666666664</v>
      </c>
      <c r="Q1059" t="s">
        <v>65</v>
      </c>
      <c r="R1059">
        <v>1</v>
      </c>
      <c r="S1059" t="s">
        <v>55</v>
      </c>
      <c r="T1059">
        <f>IF(orders[[#This Row],[Status]]="Completed",1,0)</f>
        <v>1</v>
      </c>
      <c r="U1059">
        <f>IF(orders[[#This Row],[Status]]="Pending",1,0)</f>
        <v>0</v>
      </c>
      <c r="V1059">
        <f>IF(orders[[#This Row],[Status]]="Delayed",1,0)</f>
        <v>0</v>
      </c>
      <c r="W1059">
        <f>IF(orders[[#This Row],[Status]]="Cancelled",1,0)</f>
        <v>0</v>
      </c>
    </row>
    <row r="1060" spans="1:23" x14ac:dyDescent="0.35">
      <c r="A1060" t="s">
        <v>1436</v>
      </c>
      <c r="B1060" s="1">
        <v>45945</v>
      </c>
      <c r="C1060" t="s">
        <v>690</v>
      </c>
      <c r="D1060" t="s">
        <v>149</v>
      </c>
      <c r="E1060" t="s">
        <v>22</v>
      </c>
      <c r="F1060" t="s">
        <v>72</v>
      </c>
      <c r="G1060" t="s">
        <v>104</v>
      </c>
      <c r="H1060" s="7">
        <v>7</v>
      </c>
      <c r="I1060" s="4">
        <v>7870.45</v>
      </c>
      <c r="J1060" s="23">
        <v>0.05</v>
      </c>
      <c r="K1060" s="4">
        <v>7476.93</v>
      </c>
      <c r="L1060" s="4">
        <v>5196.01</v>
      </c>
      <c r="M1060" s="4">
        <v>2280.92</v>
      </c>
      <c r="N1060" t="s">
        <v>98</v>
      </c>
      <c r="O1060" s="7">
        <v>21</v>
      </c>
      <c r="P1060" s="2">
        <v>45945.875</v>
      </c>
      <c r="Q1060" t="s">
        <v>116</v>
      </c>
      <c r="R1060">
        <v>10</v>
      </c>
      <c r="S1060" t="s">
        <v>35</v>
      </c>
      <c r="T1060">
        <f>IF(orders[[#This Row],[Status]]="Completed",1,0)</f>
        <v>0</v>
      </c>
      <c r="U1060">
        <f>IF(orders[[#This Row],[Status]]="Pending",1,0)</f>
        <v>1</v>
      </c>
      <c r="V1060">
        <f>IF(orders[[#This Row],[Status]]="Delayed",1,0)</f>
        <v>0</v>
      </c>
      <c r="W1060">
        <f>IF(orders[[#This Row],[Status]]="Cancelled",1,0)</f>
        <v>0</v>
      </c>
    </row>
    <row r="1061" spans="1:23" x14ac:dyDescent="0.35">
      <c r="A1061" t="s">
        <v>1437</v>
      </c>
      <c r="B1061" s="1">
        <v>45836</v>
      </c>
      <c r="C1061" t="s">
        <v>432</v>
      </c>
      <c r="D1061" t="s">
        <v>51</v>
      </c>
      <c r="E1061" t="s">
        <v>31</v>
      </c>
      <c r="F1061" t="s">
        <v>83</v>
      </c>
      <c r="G1061" t="s">
        <v>84</v>
      </c>
      <c r="H1061" s="7">
        <v>7</v>
      </c>
      <c r="I1061" s="4">
        <v>39393.269999999997</v>
      </c>
      <c r="J1061" s="23">
        <v>0.15</v>
      </c>
      <c r="K1061" s="4">
        <v>33484.28</v>
      </c>
      <c r="L1061" s="4">
        <v>27734.240000000002</v>
      </c>
      <c r="M1061" s="4">
        <v>5750.04</v>
      </c>
      <c r="N1061" t="s">
        <v>98</v>
      </c>
      <c r="O1061" s="7">
        <v>6</v>
      </c>
      <c r="P1061" s="2">
        <v>45836.25</v>
      </c>
      <c r="Q1061" t="s">
        <v>99</v>
      </c>
      <c r="R1061">
        <v>6</v>
      </c>
      <c r="S1061" t="s">
        <v>27</v>
      </c>
      <c r="T1061">
        <f>IF(orders[[#This Row],[Status]]="Completed",1,0)</f>
        <v>0</v>
      </c>
      <c r="U1061">
        <f>IF(orders[[#This Row],[Status]]="Pending",1,0)</f>
        <v>1</v>
      </c>
      <c r="V1061">
        <f>IF(orders[[#This Row],[Status]]="Delayed",1,0)</f>
        <v>0</v>
      </c>
      <c r="W1061">
        <f>IF(orders[[#This Row],[Status]]="Cancelled",1,0)</f>
        <v>0</v>
      </c>
    </row>
    <row r="1062" spans="1:23" x14ac:dyDescent="0.35">
      <c r="A1062" t="s">
        <v>1438</v>
      </c>
      <c r="B1062" s="1">
        <v>45782</v>
      </c>
      <c r="C1062" t="s">
        <v>495</v>
      </c>
      <c r="D1062" t="s">
        <v>63</v>
      </c>
      <c r="E1062" t="s">
        <v>59</v>
      </c>
      <c r="F1062" t="s">
        <v>32</v>
      </c>
      <c r="G1062" t="s">
        <v>53</v>
      </c>
      <c r="H1062" s="7">
        <v>4</v>
      </c>
      <c r="I1062" s="4">
        <v>11994.4</v>
      </c>
      <c r="J1062" s="23">
        <v>0.05</v>
      </c>
      <c r="K1062" s="4">
        <v>11394.68</v>
      </c>
      <c r="L1062" s="4">
        <v>8108.04</v>
      </c>
      <c r="M1062" s="4">
        <v>3286.64</v>
      </c>
      <c r="N1062" t="s">
        <v>25</v>
      </c>
      <c r="O1062" s="7">
        <v>35</v>
      </c>
      <c r="P1062" s="2">
        <v>45783.458333333336</v>
      </c>
      <c r="Q1062" t="s">
        <v>74</v>
      </c>
      <c r="R1062">
        <v>5</v>
      </c>
      <c r="S1062" t="s">
        <v>27</v>
      </c>
      <c r="T1062">
        <f>IF(orders[[#This Row],[Status]]="Completed",1,0)</f>
        <v>1</v>
      </c>
      <c r="U1062">
        <f>IF(orders[[#This Row],[Status]]="Pending",1,0)</f>
        <v>0</v>
      </c>
      <c r="V1062">
        <f>IF(orders[[#This Row],[Status]]="Delayed",1,0)</f>
        <v>0</v>
      </c>
      <c r="W1062">
        <f>IF(orders[[#This Row],[Status]]="Cancelled",1,0)</f>
        <v>0</v>
      </c>
    </row>
    <row r="1063" spans="1:23" x14ac:dyDescent="0.35">
      <c r="A1063" t="s">
        <v>1439</v>
      </c>
      <c r="B1063" s="1">
        <v>46010</v>
      </c>
      <c r="C1063" t="s">
        <v>126</v>
      </c>
      <c r="D1063" t="s">
        <v>21</v>
      </c>
      <c r="E1063" t="s">
        <v>46</v>
      </c>
      <c r="F1063" t="s">
        <v>32</v>
      </c>
      <c r="G1063" t="s">
        <v>33</v>
      </c>
      <c r="H1063" s="7">
        <v>5</v>
      </c>
      <c r="I1063" s="4">
        <v>31958.65</v>
      </c>
      <c r="J1063" s="23">
        <v>0.05</v>
      </c>
      <c r="K1063" s="4">
        <v>30360.720000000001</v>
      </c>
      <c r="L1063" s="4">
        <v>19818.080000000002</v>
      </c>
      <c r="M1063" s="4">
        <v>10542.64</v>
      </c>
      <c r="N1063" t="s">
        <v>25</v>
      </c>
      <c r="O1063" s="7">
        <v>36</v>
      </c>
      <c r="P1063" s="2">
        <v>46011.5</v>
      </c>
      <c r="Q1063" t="s">
        <v>34</v>
      </c>
      <c r="R1063">
        <v>12</v>
      </c>
      <c r="S1063" t="s">
        <v>35</v>
      </c>
      <c r="T1063">
        <f>IF(orders[[#This Row],[Status]]="Completed",1,0)</f>
        <v>1</v>
      </c>
      <c r="U1063">
        <f>IF(orders[[#This Row],[Status]]="Pending",1,0)</f>
        <v>0</v>
      </c>
      <c r="V1063">
        <f>IF(orders[[#This Row],[Status]]="Delayed",1,0)</f>
        <v>0</v>
      </c>
      <c r="W1063">
        <f>IF(orders[[#This Row],[Status]]="Cancelled",1,0)</f>
        <v>0</v>
      </c>
    </row>
    <row r="1064" spans="1:23" x14ac:dyDescent="0.35">
      <c r="A1064" t="s">
        <v>1440</v>
      </c>
      <c r="B1064" s="1">
        <v>45680</v>
      </c>
      <c r="C1064" t="s">
        <v>181</v>
      </c>
      <c r="D1064" t="s">
        <v>58</v>
      </c>
      <c r="E1064" t="s">
        <v>59</v>
      </c>
      <c r="F1064" t="s">
        <v>32</v>
      </c>
      <c r="G1064" t="s">
        <v>64</v>
      </c>
      <c r="H1064" s="7">
        <v>5</v>
      </c>
      <c r="I1064" s="4">
        <v>23702.65</v>
      </c>
      <c r="J1064" s="23">
        <v>0</v>
      </c>
      <c r="K1064" s="4">
        <v>23702.65</v>
      </c>
      <c r="L1064" s="4">
        <v>19855.55</v>
      </c>
      <c r="M1064" s="4">
        <v>3847.1</v>
      </c>
      <c r="N1064" t="s">
        <v>25</v>
      </c>
      <c r="O1064" s="7">
        <v>39</v>
      </c>
      <c r="P1064" s="2">
        <v>45681.625</v>
      </c>
      <c r="Q1064" t="s">
        <v>65</v>
      </c>
      <c r="R1064">
        <v>1</v>
      </c>
      <c r="S1064" t="s">
        <v>55</v>
      </c>
      <c r="T1064">
        <f>IF(orders[[#This Row],[Status]]="Completed",1,0)</f>
        <v>1</v>
      </c>
      <c r="U1064">
        <f>IF(orders[[#This Row],[Status]]="Pending",1,0)</f>
        <v>0</v>
      </c>
      <c r="V1064">
        <f>IF(orders[[#This Row],[Status]]="Delayed",1,0)</f>
        <v>0</v>
      </c>
      <c r="W1064">
        <f>IF(orders[[#This Row],[Status]]="Cancelled",1,0)</f>
        <v>0</v>
      </c>
    </row>
    <row r="1065" spans="1:23" x14ac:dyDescent="0.35">
      <c r="A1065" t="s">
        <v>1441</v>
      </c>
      <c r="B1065" s="1">
        <v>45720</v>
      </c>
      <c r="C1065" t="s">
        <v>1442</v>
      </c>
      <c r="D1065" t="s">
        <v>63</v>
      </c>
      <c r="E1065" t="s">
        <v>22</v>
      </c>
      <c r="F1065" t="s">
        <v>72</v>
      </c>
      <c r="G1065" t="s">
        <v>119</v>
      </c>
      <c r="H1065" s="7">
        <v>7</v>
      </c>
      <c r="I1065" s="4">
        <v>27490.05</v>
      </c>
      <c r="J1065" s="23">
        <v>0.15</v>
      </c>
      <c r="K1065" s="4">
        <v>23366.54</v>
      </c>
      <c r="L1065" s="4">
        <v>14053.59</v>
      </c>
      <c r="M1065" s="4">
        <v>9312.9500000000007</v>
      </c>
      <c r="N1065" t="s">
        <v>25</v>
      </c>
      <c r="O1065" s="7">
        <v>31</v>
      </c>
      <c r="P1065" s="2">
        <v>45721.291666666664</v>
      </c>
      <c r="Q1065" t="s">
        <v>54</v>
      </c>
      <c r="R1065">
        <v>3</v>
      </c>
      <c r="S1065" t="s">
        <v>55</v>
      </c>
      <c r="T1065">
        <f>IF(orders[[#This Row],[Status]]="Completed",1,0)</f>
        <v>1</v>
      </c>
      <c r="U1065">
        <f>IF(orders[[#This Row],[Status]]="Pending",1,0)</f>
        <v>0</v>
      </c>
      <c r="V1065">
        <f>IF(orders[[#This Row],[Status]]="Delayed",1,0)</f>
        <v>0</v>
      </c>
      <c r="W1065">
        <f>IF(orders[[#This Row],[Status]]="Cancelled",1,0)</f>
        <v>0</v>
      </c>
    </row>
    <row r="1066" spans="1:23" x14ac:dyDescent="0.35">
      <c r="A1066" t="s">
        <v>1443</v>
      </c>
      <c r="B1066" s="1">
        <v>45800</v>
      </c>
      <c r="C1066" t="s">
        <v>734</v>
      </c>
      <c r="D1066" t="s">
        <v>45</v>
      </c>
      <c r="E1066" t="s">
        <v>46</v>
      </c>
      <c r="F1066" t="s">
        <v>23</v>
      </c>
      <c r="G1066" t="s">
        <v>110</v>
      </c>
      <c r="H1066" s="7">
        <v>1</v>
      </c>
      <c r="I1066" s="4">
        <v>1564.68</v>
      </c>
      <c r="J1066" s="23">
        <v>0</v>
      </c>
      <c r="K1066" s="4">
        <v>1564.68</v>
      </c>
      <c r="L1066" s="4">
        <v>967.17</v>
      </c>
      <c r="M1066" s="4">
        <v>597.51</v>
      </c>
      <c r="N1066" t="s">
        <v>25</v>
      </c>
      <c r="O1066" s="7">
        <v>19</v>
      </c>
      <c r="P1066" s="2">
        <v>45800.791666666664</v>
      </c>
      <c r="Q1066" t="s">
        <v>74</v>
      </c>
      <c r="R1066">
        <v>5</v>
      </c>
      <c r="S1066" t="s">
        <v>27</v>
      </c>
      <c r="T1066">
        <f>IF(orders[[#This Row],[Status]]="Completed",1,0)</f>
        <v>1</v>
      </c>
      <c r="U1066">
        <f>IF(orders[[#This Row],[Status]]="Pending",1,0)</f>
        <v>0</v>
      </c>
      <c r="V1066">
        <f>IF(orders[[#This Row],[Status]]="Delayed",1,0)</f>
        <v>0</v>
      </c>
      <c r="W1066">
        <f>IF(orders[[#This Row],[Status]]="Cancelled",1,0)</f>
        <v>0</v>
      </c>
    </row>
    <row r="1067" spans="1:23" x14ac:dyDescent="0.35">
      <c r="A1067" t="s">
        <v>1444</v>
      </c>
      <c r="B1067" s="1">
        <v>45810</v>
      </c>
      <c r="C1067" t="s">
        <v>640</v>
      </c>
      <c r="D1067" t="s">
        <v>30</v>
      </c>
      <c r="E1067" t="s">
        <v>31</v>
      </c>
      <c r="F1067" t="s">
        <v>72</v>
      </c>
      <c r="G1067" t="s">
        <v>119</v>
      </c>
      <c r="H1067" s="7">
        <v>2</v>
      </c>
      <c r="I1067" s="4">
        <v>10934.92</v>
      </c>
      <c r="J1067" s="23">
        <v>0.05</v>
      </c>
      <c r="K1067" s="4">
        <v>10388.17</v>
      </c>
      <c r="L1067" s="4">
        <v>8069.87</v>
      </c>
      <c r="M1067" s="4">
        <v>2318.3000000000002</v>
      </c>
      <c r="N1067" t="s">
        <v>25</v>
      </c>
      <c r="O1067" s="7">
        <v>19</v>
      </c>
      <c r="P1067" s="2">
        <v>45810.791666666664</v>
      </c>
      <c r="Q1067" t="s">
        <v>99</v>
      </c>
      <c r="R1067">
        <v>6</v>
      </c>
      <c r="S1067" t="s">
        <v>27</v>
      </c>
      <c r="T1067">
        <f>IF(orders[[#This Row],[Status]]="Completed",1,0)</f>
        <v>1</v>
      </c>
      <c r="U1067">
        <f>IF(orders[[#This Row],[Status]]="Pending",1,0)</f>
        <v>0</v>
      </c>
      <c r="V1067">
        <f>IF(orders[[#This Row],[Status]]="Delayed",1,0)</f>
        <v>0</v>
      </c>
      <c r="W1067">
        <f>IF(orders[[#This Row],[Status]]="Cancelled",1,0)</f>
        <v>0</v>
      </c>
    </row>
    <row r="1068" spans="1:23" x14ac:dyDescent="0.35">
      <c r="A1068" t="s">
        <v>1445</v>
      </c>
      <c r="B1068" s="1">
        <v>45802</v>
      </c>
      <c r="C1068" t="s">
        <v>1427</v>
      </c>
      <c r="D1068" t="s">
        <v>38</v>
      </c>
      <c r="E1068" t="s">
        <v>59</v>
      </c>
      <c r="F1068" t="s">
        <v>23</v>
      </c>
      <c r="G1068" t="s">
        <v>122</v>
      </c>
      <c r="H1068" s="7">
        <v>5</v>
      </c>
      <c r="I1068" s="4">
        <v>41446.65</v>
      </c>
      <c r="J1068" s="23">
        <v>0.05</v>
      </c>
      <c r="K1068" s="4">
        <v>39374.32</v>
      </c>
      <c r="L1068" s="4">
        <v>26235.26</v>
      </c>
      <c r="M1068" s="4">
        <v>13139.06</v>
      </c>
      <c r="N1068" t="s">
        <v>25</v>
      </c>
      <c r="O1068" s="7">
        <v>21</v>
      </c>
      <c r="P1068" s="2">
        <v>45802.875</v>
      </c>
      <c r="Q1068" t="s">
        <v>74</v>
      </c>
      <c r="R1068">
        <v>5</v>
      </c>
      <c r="S1068" t="s">
        <v>27</v>
      </c>
      <c r="T1068">
        <f>IF(orders[[#This Row],[Status]]="Completed",1,0)</f>
        <v>1</v>
      </c>
      <c r="U1068">
        <f>IF(orders[[#This Row],[Status]]="Pending",1,0)</f>
        <v>0</v>
      </c>
      <c r="V1068">
        <f>IF(orders[[#This Row],[Status]]="Delayed",1,0)</f>
        <v>0</v>
      </c>
      <c r="W1068">
        <f>IF(orders[[#This Row],[Status]]="Cancelled",1,0)</f>
        <v>0</v>
      </c>
    </row>
    <row r="1069" spans="1:23" x14ac:dyDescent="0.35">
      <c r="A1069" t="s">
        <v>1446</v>
      </c>
      <c r="B1069" s="1">
        <v>45882</v>
      </c>
      <c r="C1069" t="s">
        <v>37</v>
      </c>
      <c r="D1069" t="s">
        <v>149</v>
      </c>
      <c r="E1069" t="s">
        <v>46</v>
      </c>
      <c r="F1069" t="s">
        <v>83</v>
      </c>
      <c r="G1069" t="s">
        <v>84</v>
      </c>
      <c r="H1069" s="7">
        <v>5</v>
      </c>
      <c r="I1069" s="4">
        <v>35218.949999999997</v>
      </c>
      <c r="J1069" s="23">
        <v>0.1</v>
      </c>
      <c r="K1069" s="4">
        <v>31697.05</v>
      </c>
      <c r="L1069" s="4">
        <v>24891.55</v>
      </c>
      <c r="M1069" s="4">
        <v>6805.5</v>
      </c>
      <c r="N1069" t="s">
        <v>25</v>
      </c>
      <c r="O1069" s="7">
        <v>11</v>
      </c>
      <c r="P1069" s="2">
        <v>45882.458333333336</v>
      </c>
      <c r="Q1069" t="s">
        <v>80</v>
      </c>
      <c r="R1069">
        <v>8</v>
      </c>
      <c r="S1069" t="s">
        <v>42</v>
      </c>
      <c r="T1069">
        <f>IF(orders[[#This Row],[Status]]="Completed",1,0)</f>
        <v>1</v>
      </c>
      <c r="U1069">
        <f>IF(orders[[#This Row],[Status]]="Pending",1,0)</f>
        <v>0</v>
      </c>
      <c r="V1069">
        <f>IF(orders[[#This Row],[Status]]="Delayed",1,0)</f>
        <v>0</v>
      </c>
      <c r="W1069">
        <f>IF(orders[[#This Row],[Status]]="Cancelled",1,0)</f>
        <v>0</v>
      </c>
    </row>
    <row r="1070" spans="1:23" x14ac:dyDescent="0.35">
      <c r="A1070" t="s">
        <v>1447</v>
      </c>
      <c r="B1070" s="1">
        <v>45966</v>
      </c>
      <c r="C1070" t="s">
        <v>614</v>
      </c>
      <c r="D1070" t="s">
        <v>68</v>
      </c>
      <c r="E1070" t="s">
        <v>46</v>
      </c>
      <c r="F1070" t="s">
        <v>39</v>
      </c>
      <c r="G1070" t="s">
        <v>47</v>
      </c>
      <c r="H1070" s="7">
        <v>3</v>
      </c>
      <c r="I1070" s="4">
        <v>1953.21</v>
      </c>
      <c r="J1070" s="23">
        <v>0.15</v>
      </c>
      <c r="K1070" s="4">
        <v>1660.23</v>
      </c>
      <c r="L1070" s="4">
        <v>999.53</v>
      </c>
      <c r="M1070" s="4">
        <v>660.7</v>
      </c>
      <c r="N1070" t="s">
        <v>25</v>
      </c>
      <c r="O1070" s="7">
        <v>45</v>
      </c>
      <c r="P1070" s="2">
        <v>45967.875</v>
      </c>
      <c r="Q1070" t="s">
        <v>86</v>
      </c>
      <c r="R1070">
        <v>11</v>
      </c>
      <c r="S1070" t="s">
        <v>35</v>
      </c>
      <c r="T1070">
        <f>IF(orders[[#This Row],[Status]]="Completed",1,0)</f>
        <v>1</v>
      </c>
      <c r="U1070">
        <f>IF(orders[[#This Row],[Status]]="Pending",1,0)</f>
        <v>0</v>
      </c>
      <c r="V1070">
        <f>IF(orders[[#This Row],[Status]]="Delayed",1,0)</f>
        <v>0</v>
      </c>
      <c r="W1070">
        <f>IF(orders[[#This Row],[Status]]="Cancelled",1,0)</f>
        <v>0</v>
      </c>
    </row>
    <row r="1071" spans="1:23" x14ac:dyDescent="0.35">
      <c r="A1071" t="s">
        <v>1448</v>
      </c>
      <c r="B1071" s="1">
        <v>45761</v>
      </c>
      <c r="C1071" t="s">
        <v>706</v>
      </c>
      <c r="D1071" t="s">
        <v>30</v>
      </c>
      <c r="E1071" t="s">
        <v>92</v>
      </c>
      <c r="F1071" t="s">
        <v>23</v>
      </c>
      <c r="G1071" t="s">
        <v>122</v>
      </c>
      <c r="H1071" s="7">
        <v>6</v>
      </c>
      <c r="I1071" s="4">
        <v>19749.12</v>
      </c>
      <c r="J1071" s="23">
        <v>0.1</v>
      </c>
      <c r="K1071" s="4">
        <v>17774.21</v>
      </c>
      <c r="L1071" s="4">
        <v>11255.5</v>
      </c>
      <c r="M1071" s="4">
        <v>6518.71</v>
      </c>
      <c r="N1071" t="s">
        <v>25</v>
      </c>
      <c r="O1071" s="7">
        <v>19</v>
      </c>
      <c r="P1071" s="2">
        <v>45761.791666666664</v>
      </c>
      <c r="Q1071" t="s">
        <v>26</v>
      </c>
      <c r="R1071">
        <v>4</v>
      </c>
      <c r="S1071" t="s">
        <v>27</v>
      </c>
      <c r="T1071">
        <f>IF(orders[[#This Row],[Status]]="Completed",1,0)</f>
        <v>1</v>
      </c>
      <c r="U1071">
        <f>IF(orders[[#This Row],[Status]]="Pending",1,0)</f>
        <v>0</v>
      </c>
      <c r="V1071">
        <f>IF(orders[[#This Row],[Status]]="Delayed",1,0)</f>
        <v>0</v>
      </c>
      <c r="W1071">
        <f>IF(orders[[#This Row],[Status]]="Cancelled",1,0)</f>
        <v>0</v>
      </c>
    </row>
    <row r="1072" spans="1:23" x14ac:dyDescent="0.35">
      <c r="A1072" t="s">
        <v>1449</v>
      </c>
      <c r="B1072" s="1">
        <v>45761</v>
      </c>
      <c r="C1072" t="s">
        <v>732</v>
      </c>
      <c r="D1072" t="s">
        <v>58</v>
      </c>
      <c r="E1072" t="s">
        <v>59</v>
      </c>
      <c r="F1072" t="s">
        <v>32</v>
      </c>
      <c r="G1072" t="s">
        <v>33</v>
      </c>
      <c r="H1072" s="7">
        <v>5</v>
      </c>
      <c r="I1072" s="4">
        <v>39393.1</v>
      </c>
      <c r="J1072" s="23">
        <v>0.2</v>
      </c>
      <c r="K1072" s="4">
        <v>31514.48</v>
      </c>
      <c r="L1072" s="4">
        <v>18962.060000000001</v>
      </c>
      <c r="M1072" s="4">
        <v>12552.42</v>
      </c>
      <c r="N1072" t="s">
        <v>25</v>
      </c>
      <c r="O1072" s="7">
        <v>14</v>
      </c>
      <c r="P1072" s="2">
        <v>45761.583333333336</v>
      </c>
      <c r="Q1072" t="s">
        <v>26</v>
      </c>
      <c r="R1072">
        <v>4</v>
      </c>
      <c r="S1072" t="s">
        <v>27</v>
      </c>
      <c r="T1072">
        <f>IF(orders[[#This Row],[Status]]="Completed",1,0)</f>
        <v>1</v>
      </c>
      <c r="U1072">
        <f>IF(orders[[#This Row],[Status]]="Pending",1,0)</f>
        <v>0</v>
      </c>
      <c r="V1072">
        <f>IF(orders[[#This Row],[Status]]="Delayed",1,0)</f>
        <v>0</v>
      </c>
      <c r="W1072">
        <f>IF(orders[[#This Row],[Status]]="Cancelled",1,0)</f>
        <v>0</v>
      </c>
    </row>
    <row r="1073" spans="1:23" x14ac:dyDescent="0.35">
      <c r="A1073" t="s">
        <v>1450</v>
      </c>
      <c r="B1073" s="1">
        <v>45696</v>
      </c>
      <c r="C1073" t="s">
        <v>88</v>
      </c>
      <c r="D1073" t="s">
        <v>77</v>
      </c>
      <c r="E1073" t="s">
        <v>31</v>
      </c>
      <c r="F1073" t="s">
        <v>72</v>
      </c>
      <c r="G1073" t="s">
        <v>146</v>
      </c>
      <c r="H1073" s="7">
        <v>2</v>
      </c>
      <c r="I1073" s="4">
        <v>8700.84</v>
      </c>
      <c r="J1073" s="23">
        <v>0.25</v>
      </c>
      <c r="K1073" s="4">
        <v>6525.63</v>
      </c>
      <c r="L1073" s="4">
        <v>5641.15</v>
      </c>
      <c r="M1073" s="4">
        <v>884.48</v>
      </c>
      <c r="N1073" t="s">
        <v>48</v>
      </c>
      <c r="O1073" s="7">
        <v>2</v>
      </c>
      <c r="P1073" s="2">
        <v>45696.083333333336</v>
      </c>
      <c r="Q1073" t="s">
        <v>139</v>
      </c>
      <c r="R1073">
        <v>2</v>
      </c>
      <c r="S1073" t="s">
        <v>55</v>
      </c>
      <c r="T1073">
        <f>IF(orders[[#This Row],[Status]]="Completed",1,0)</f>
        <v>0</v>
      </c>
      <c r="U1073">
        <f>IF(orders[[#This Row],[Status]]="Pending",1,0)</f>
        <v>0</v>
      </c>
      <c r="V1073">
        <f>IF(orders[[#This Row],[Status]]="Delayed",1,0)</f>
        <v>0</v>
      </c>
      <c r="W1073">
        <f>IF(orders[[#This Row],[Status]]="Cancelled",1,0)</f>
        <v>1</v>
      </c>
    </row>
    <row r="1074" spans="1:23" x14ac:dyDescent="0.35">
      <c r="A1074" t="s">
        <v>1451</v>
      </c>
      <c r="B1074" s="1">
        <v>45855</v>
      </c>
      <c r="C1074" t="s">
        <v>375</v>
      </c>
      <c r="D1074" t="s">
        <v>45</v>
      </c>
      <c r="E1074" t="s">
        <v>46</v>
      </c>
      <c r="F1074" t="s">
        <v>83</v>
      </c>
      <c r="G1074" t="s">
        <v>107</v>
      </c>
      <c r="H1074" s="7">
        <v>6</v>
      </c>
      <c r="I1074" s="4">
        <v>34071.78</v>
      </c>
      <c r="J1074" s="23">
        <v>0.05</v>
      </c>
      <c r="K1074" s="4">
        <v>32368.19</v>
      </c>
      <c r="L1074" s="4">
        <v>22132.83</v>
      </c>
      <c r="M1074" s="4">
        <v>10235.36</v>
      </c>
      <c r="N1074" t="s">
        <v>85</v>
      </c>
      <c r="O1074" s="7">
        <v>79</v>
      </c>
      <c r="P1074" s="2">
        <v>45858.291666666664</v>
      </c>
      <c r="Q1074" t="s">
        <v>60</v>
      </c>
      <c r="R1074">
        <v>7</v>
      </c>
      <c r="S1074" t="s">
        <v>42</v>
      </c>
      <c r="T1074">
        <f>IF(orders[[#This Row],[Status]]="Completed",1,0)</f>
        <v>0</v>
      </c>
      <c r="U1074">
        <f>IF(orders[[#This Row],[Status]]="Pending",1,0)</f>
        <v>0</v>
      </c>
      <c r="V1074">
        <f>IF(orders[[#This Row],[Status]]="Delayed",1,0)</f>
        <v>1</v>
      </c>
      <c r="W1074">
        <f>IF(orders[[#This Row],[Status]]="Cancelled",1,0)</f>
        <v>0</v>
      </c>
    </row>
    <row r="1075" spans="1:23" x14ac:dyDescent="0.35">
      <c r="A1075" t="s">
        <v>1452</v>
      </c>
      <c r="B1075" s="1">
        <v>45791</v>
      </c>
      <c r="C1075" t="s">
        <v>50</v>
      </c>
      <c r="D1075" t="s">
        <v>45</v>
      </c>
      <c r="E1075" t="s">
        <v>22</v>
      </c>
      <c r="F1075" t="s">
        <v>32</v>
      </c>
      <c r="G1075" t="s">
        <v>79</v>
      </c>
      <c r="H1075" s="7">
        <v>6</v>
      </c>
      <c r="I1075" s="4">
        <v>46621.2</v>
      </c>
      <c r="J1075" s="23">
        <v>0.15</v>
      </c>
      <c r="K1075" s="4">
        <v>39628.019999999997</v>
      </c>
      <c r="L1075" s="4">
        <v>26205.32</v>
      </c>
      <c r="M1075" s="4">
        <v>13422.7</v>
      </c>
      <c r="N1075" t="s">
        <v>25</v>
      </c>
      <c r="O1075" s="7">
        <v>15</v>
      </c>
      <c r="P1075" s="2">
        <v>45791.625</v>
      </c>
      <c r="Q1075" t="s">
        <v>74</v>
      </c>
      <c r="R1075">
        <v>5</v>
      </c>
      <c r="S1075" t="s">
        <v>27</v>
      </c>
      <c r="T1075">
        <f>IF(orders[[#This Row],[Status]]="Completed",1,0)</f>
        <v>1</v>
      </c>
      <c r="U1075">
        <f>IF(orders[[#This Row],[Status]]="Pending",1,0)</f>
        <v>0</v>
      </c>
      <c r="V1075">
        <f>IF(orders[[#This Row],[Status]]="Delayed",1,0)</f>
        <v>0</v>
      </c>
      <c r="W1075">
        <f>IF(orders[[#This Row],[Status]]="Cancelled",1,0)</f>
        <v>0</v>
      </c>
    </row>
    <row r="1076" spans="1:23" x14ac:dyDescent="0.35">
      <c r="A1076" t="s">
        <v>1453</v>
      </c>
      <c r="B1076" s="1">
        <v>45724</v>
      </c>
      <c r="C1076" t="s">
        <v>623</v>
      </c>
      <c r="D1076" t="s">
        <v>45</v>
      </c>
      <c r="E1076" t="s">
        <v>78</v>
      </c>
      <c r="F1076" t="s">
        <v>83</v>
      </c>
      <c r="G1076" t="s">
        <v>182</v>
      </c>
      <c r="H1076" s="7">
        <v>4</v>
      </c>
      <c r="I1076" s="4">
        <v>29784.76</v>
      </c>
      <c r="J1076" s="23">
        <v>0.15</v>
      </c>
      <c r="K1076" s="4">
        <v>25317.05</v>
      </c>
      <c r="L1076" s="4">
        <v>14043.03</v>
      </c>
      <c r="M1076" s="4">
        <v>11274.02</v>
      </c>
      <c r="N1076" t="s">
        <v>25</v>
      </c>
      <c r="O1076" s="7">
        <v>41</v>
      </c>
      <c r="P1076" s="2">
        <v>45725.708333333336</v>
      </c>
      <c r="Q1076" t="s">
        <v>54</v>
      </c>
      <c r="R1076">
        <v>3</v>
      </c>
      <c r="S1076" t="s">
        <v>55</v>
      </c>
      <c r="T1076">
        <f>IF(orders[[#This Row],[Status]]="Completed",1,0)</f>
        <v>1</v>
      </c>
      <c r="U1076">
        <f>IF(orders[[#This Row],[Status]]="Pending",1,0)</f>
        <v>0</v>
      </c>
      <c r="V1076">
        <f>IF(orders[[#This Row],[Status]]="Delayed",1,0)</f>
        <v>0</v>
      </c>
      <c r="W1076">
        <f>IF(orders[[#This Row],[Status]]="Cancelled",1,0)</f>
        <v>0</v>
      </c>
    </row>
    <row r="1077" spans="1:23" x14ac:dyDescent="0.35">
      <c r="A1077" t="s">
        <v>1454</v>
      </c>
      <c r="B1077" s="1">
        <v>45836</v>
      </c>
      <c r="C1077" t="s">
        <v>1016</v>
      </c>
      <c r="D1077" t="s">
        <v>77</v>
      </c>
      <c r="E1077" t="s">
        <v>92</v>
      </c>
      <c r="F1077" t="s">
        <v>39</v>
      </c>
      <c r="G1077" t="s">
        <v>114</v>
      </c>
      <c r="H1077" s="7">
        <v>4</v>
      </c>
      <c r="I1077" s="4">
        <v>17360.8</v>
      </c>
      <c r="J1077" s="23">
        <v>0.2</v>
      </c>
      <c r="K1077" s="4">
        <v>13888.64</v>
      </c>
      <c r="L1077" s="4">
        <v>8341.9</v>
      </c>
      <c r="M1077" s="4">
        <v>5546.74</v>
      </c>
      <c r="N1077" t="s">
        <v>85</v>
      </c>
      <c r="O1077" s="7">
        <v>82</v>
      </c>
      <c r="P1077" s="2">
        <v>45839.416666666664</v>
      </c>
      <c r="Q1077" t="s">
        <v>99</v>
      </c>
      <c r="R1077">
        <v>6</v>
      </c>
      <c r="S1077" t="s">
        <v>27</v>
      </c>
      <c r="T1077">
        <f>IF(orders[[#This Row],[Status]]="Completed",1,0)</f>
        <v>0</v>
      </c>
      <c r="U1077">
        <f>IF(orders[[#This Row],[Status]]="Pending",1,0)</f>
        <v>0</v>
      </c>
      <c r="V1077">
        <f>IF(orders[[#This Row],[Status]]="Delayed",1,0)</f>
        <v>1</v>
      </c>
      <c r="W1077">
        <f>IF(orders[[#This Row],[Status]]="Cancelled",1,0)</f>
        <v>0</v>
      </c>
    </row>
    <row r="1078" spans="1:23" x14ac:dyDescent="0.35">
      <c r="A1078" t="s">
        <v>1455</v>
      </c>
      <c r="B1078" s="1">
        <v>45699</v>
      </c>
      <c r="C1078" t="s">
        <v>587</v>
      </c>
      <c r="D1078" t="s">
        <v>68</v>
      </c>
      <c r="E1078" t="s">
        <v>113</v>
      </c>
      <c r="F1078" t="s">
        <v>72</v>
      </c>
      <c r="G1078" t="s">
        <v>119</v>
      </c>
      <c r="H1078" s="7">
        <v>4</v>
      </c>
      <c r="I1078" s="4">
        <v>15217.4</v>
      </c>
      <c r="J1078" s="23">
        <v>0.05</v>
      </c>
      <c r="K1078" s="4">
        <v>14456.53</v>
      </c>
      <c r="L1078" s="4">
        <v>9960.19</v>
      </c>
      <c r="M1078" s="4">
        <v>4496.34</v>
      </c>
      <c r="N1078" t="s">
        <v>85</v>
      </c>
      <c r="O1078" s="7">
        <v>51</v>
      </c>
      <c r="P1078" s="2">
        <v>45701.125</v>
      </c>
      <c r="Q1078" t="s">
        <v>139</v>
      </c>
      <c r="R1078">
        <v>2</v>
      </c>
      <c r="S1078" t="s">
        <v>55</v>
      </c>
      <c r="T1078">
        <f>IF(orders[[#This Row],[Status]]="Completed",1,0)</f>
        <v>0</v>
      </c>
      <c r="U1078">
        <f>IF(orders[[#This Row],[Status]]="Pending",1,0)</f>
        <v>0</v>
      </c>
      <c r="V1078">
        <f>IF(orders[[#This Row],[Status]]="Delayed",1,0)</f>
        <v>1</v>
      </c>
      <c r="W1078">
        <f>IF(orders[[#This Row],[Status]]="Cancelled",1,0)</f>
        <v>0</v>
      </c>
    </row>
    <row r="1079" spans="1:23" x14ac:dyDescent="0.35">
      <c r="A1079" t="s">
        <v>1456</v>
      </c>
      <c r="B1079" s="1">
        <v>45672</v>
      </c>
      <c r="C1079" t="s">
        <v>612</v>
      </c>
      <c r="D1079" t="s">
        <v>149</v>
      </c>
      <c r="E1079" t="s">
        <v>113</v>
      </c>
      <c r="F1079" t="s">
        <v>72</v>
      </c>
      <c r="G1079" t="s">
        <v>129</v>
      </c>
      <c r="H1079" s="7">
        <v>4</v>
      </c>
      <c r="I1079" s="4">
        <v>11945.72</v>
      </c>
      <c r="J1079" s="23">
        <v>0.1</v>
      </c>
      <c r="K1079" s="4">
        <v>10751.15</v>
      </c>
      <c r="L1079" s="4">
        <v>6156.17</v>
      </c>
      <c r="M1079" s="4">
        <v>4594.9799999999996</v>
      </c>
      <c r="N1079" t="s">
        <v>25</v>
      </c>
      <c r="O1079" s="7">
        <v>20</v>
      </c>
      <c r="P1079" s="2">
        <v>45672.833333333336</v>
      </c>
      <c r="Q1079" t="s">
        <v>65</v>
      </c>
      <c r="R1079">
        <v>1</v>
      </c>
      <c r="S1079" t="s">
        <v>55</v>
      </c>
      <c r="T1079">
        <f>IF(orders[[#This Row],[Status]]="Completed",1,0)</f>
        <v>1</v>
      </c>
      <c r="U1079">
        <f>IF(orders[[#This Row],[Status]]="Pending",1,0)</f>
        <v>0</v>
      </c>
      <c r="V1079">
        <f>IF(orders[[#This Row],[Status]]="Delayed",1,0)</f>
        <v>0</v>
      </c>
      <c r="W1079">
        <f>IF(orders[[#This Row],[Status]]="Cancelled",1,0)</f>
        <v>0</v>
      </c>
    </row>
    <row r="1080" spans="1:23" x14ac:dyDescent="0.35">
      <c r="A1080" t="s">
        <v>1457</v>
      </c>
      <c r="B1080" s="1">
        <v>45768</v>
      </c>
      <c r="C1080" t="s">
        <v>397</v>
      </c>
      <c r="D1080" t="s">
        <v>30</v>
      </c>
      <c r="E1080" t="s">
        <v>113</v>
      </c>
      <c r="F1080" t="s">
        <v>39</v>
      </c>
      <c r="G1080" t="s">
        <v>47</v>
      </c>
      <c r="H1080" s="7">
        <v>3</v>
      </c>
      <c r="I1080" s="4">
        <v>18461.43</v>
      </c>
      <c r="J1080" s="23">
        <v>0.05</v>
      </c>
      <c r="K1080" s="4">
        <v>17538.36</v>
      </c>
      <c r="L1080" s="4">
        <v>12602.08</v>
      </c>
      <c r="M1080" s="4">
        <v>4936.28</v>
      </c>
      <c r="N1080" t="s">
        <v>25</v>
      </c>
      <c r="O1080" s="7">
        <v>4</v>
      </c>
      <c r="P1080" s="2">
        <v>45768.166666666664</v>
      </c>
      <c r="Q1080" t="s">
        <v>26</v>
      </c>
      <c r="R1080">
        <v>4</v>
      </c>
      <c r="S1080" t="s">
        <v>27</v>
      </c>
      <c r="T1080">
        <f>IF(orders[[#This Row],[Status]]="Completed",1,0)</f>
        <v>1</v>
      </c>
      <c r="U1080">
        <f>IF(orders[[#This Row],[Status]]="Pending",1,0)</f>
        <v>0</v>
      </c>
      <c r="V1080">
        <f>IF(orders[[#This Row],[Status]]="Delayed",1,0)</f>
        <v>0</v>
      </c>
      <c r="W1080">
        <f>IF(orders[[#This Row],[Status]]="Cancelled",1,0)</f>
        <v>0</v>
      </c>
    </row>
    <row r="1081" spans="1:23" x14ac:dyDescent="0.35">
      <c r="A1081" t="s">
        <v>1458</v>
      </c>
      <c r="B1081" s="1">
        <v>45814</v>
      </c>
      <c r="C1081" t="s">
        <v>544</v>
      </c>
      <c r="D1081" t="s">
        <v>77</v>
      </c>
      <c r="E1081" t="s">
        <v>22</v>
      </c>
      <c r="F1081" t="s">
        <v>72</v>
      </c>
      <c r="G1081" t="s">
        <v>129</v>
      </c>
      <c r="H1081" s="7">
        <v>5</v>
      </c>
      <c r="I1081" s="4">
        <v>12731.7</v>
      </c>
      <c r="J1081" s="23">
        <v>0.2</v>
      </c>
      <c r="K1081" s="4">
        <v>10185.36</v>
      </c>
      <c r="L1081" s="4">
        <v>7131.33</v>
      </c>
      <c r="M1081" s="4">
        <v>3054.03</v>
      </c>
      <c r="N1081" t="s">
        <v>48</v>
      </c>
      <c r="O1081" s="7">
        <v>15</v>
      </c>
      <c r="P1081" s="2">
        <v>45814.625</v>
      </c>
      <c r="Q1081" t="s">
        <v>99</v>
      </c>
      <c r="R1081">
        <v>6</v>
      </c>
      <c r="S1081" t="s">
        <v>27</v>
      </c>
      <c r="T1081">
        <f>IF(orders[[#This Row],[Status]]="Completed",1,0)</f>
        <v>0</v>
      </c>
      <c r="U1081">
        <f>IF(orders[[#This Row],[Status]]="Pending",1,0)</f>
        <v>0</v>
      </c>
      <c r="V1081">
        <f>IF(orders[[#This Row],[Status]]="Delayed",1,0)</f>
        <v>0</v>
      </c>
      <c r="W1081">
        <f>IF(orders[[#This Row],[Status]]="Cancelled",1,0)</f>
        <v>1</v>
      </c>
    </row>
    <row r="1082" spans="1:23" x14ac:dyDescent="0.35">
      <c r="A1082" t="s">
        <v>1459</v>
      </c>
      <c r="B1082" s="1">
        <v>45946</v>
      </c>
      <c r="C1082" t="s">
        <v>275</v>
      </c>
      <c r="D1082" t="s">
        <v>58</v>
      </c>
      <c r="E1082" t="s">
        <v>78</v>
      </c>
      <c r="F1082" t="s">
        <v>23</v>
      </c>
      <c r="G1082" t="s">
        <v>69</v>
      </c>
      <c r="H1082" s="7">
        <v>4</v>
      </c>
      <c r="I1082" s="4">
        <v>8946.24</v>
      </c>
      <c r="J1082" s="23">
        <v>0.05</v>
      </c>
      <c r="K1082" s="4">
        <v>8498.93</v>
      </c>
      <c r="L1082" s="4">
        <v>6826.05</v>
      </c>
      <c r="M1082" s="4">
        <v>1672.88</v>
      </c>
      <c r="N1082" t="s">
        <v>48</v>
      </c>
      <c r="O1082" s="7">
        <v>9</v>
      </c>
      <c r="P1082" s="2">
        <v>45946.375</v>
      </c>
      <c r="Q1082" t="s">
        <v>116</v>
      </c>
      <c r="R1082">
        <v>10</v>
      </c>
      <c r="S1082" t="s">
        <v>35</v>
      </c>
      <c r="T1082">
        <f>IF(orders[[#This Row],[Status]]="Completed",1,0)</f>
        <v>0</v>
      </c>
      <c r="U1082">
        <f>IF(orders[[#This Row],[Status]]="Pending",1,0)</f>
        <v>0</v>
      </c>
      <c r="V1082">
        <f>IF(orders[[#This Row],[Status]]="Delayed",1,0)</f>
        <v>0</v>
      </c>
      <c r="W1082">
        <f>IF(orders[[#This Row],[Status]]="Cancelled",1,0)</f>
        <v>1</v>
      </c>
    </row>
    <row r="1083" spans="1:23" x14ac:dyDescent="0.35">
      <c r="A1083" t="s">
        <v>1460</v>
      </c>
      <c r="B1083" s="1">
        <v>45888</v>
      </c>
      <c r="C1083" t="s">
        <v>420</v>
      </c>
      <c r="D1083" t="s">
        <v>149</v>
      </c>
      <c r="E1083" t="s">
        <v>46</v>
      </c>
      <c r="F1083" t="s">
        <v>83</v>
      </c>
      <c r="G1083" t="s">
        <v>152</v>
      </c>
      <c r="H1083" s="7">
        <v>7</v>
      </c>
      <c r="I1083" s="4">
        <v>21872.83</v>
      </c>
      <c r="J1083" s="23">
        <v>0.05</v>
      </c>
      <c r="K1083" s="4">
        <v>20779.189999999999</v>
      </c>
      <c r="L1083" s="4">
        <v>15952.91</v>
      </c>
      <c r="M1083" s="4">
        <v>4826.28</v>
      </c>
      <c r="N1083" t="s">
        <v>48</v>
      </c>
      <c r="O1083" s="7">
        <v>10</v>
      </c>
      <c r="P1083" s="2">
        <v>45888.416666666664</v>
      </c>
      <c r="Q1083" t="s">
        <v>80</v>
      </c>
      <c r="R1083">
        <v>8</v>
      </c>
      <c r="S1083" t="s">
        <v>42</v>
      </c>
      <c r="T1083">
        <f>IF(orders[[#This Row],[Status]]="Completed",1,0)</f>
        <v>0</v>
      </c>
      <c r="U1083">
        <f>IF(orders[[#This Row],[Status]]="Pending",1,0)</f>
        <v>0</v>
      </c>
      <c r="V1083">
        <f>IF(orders[[#This Row],[Status]]="Delayed",1,0)</f>
        <v>0</v>
      </c>
      <c r="W1083">
        <f>IF(orders[[#This Row],[Status]]="Cancelled",1,0)</f>
        <v>1</v>
      </c>
    </row>
    <row r="1084" spans="1:23" x14ac:dyDescent="0.35">
      <c r="A1084" t="s">
        <v>1461</v>
      </c>
      <c r="B1084" s="1">
        <v>45814</v>
      </c>
      <c r="C1084" t="s">
        <v>656</v>
      </c>
      <c r="D1084" t="s">
        <v>58</v>
      </c>
      <c r="E1084" t="s">
        <v>31</v>
      </c>
      <c r="F1084" t="s">
        <v>32</v>
      </c>
      <c r="G1084" t="s">
        <v>53</v>
      </c>
      <c r="H1084" s="7">
        <v>1</v>
      </c>
      <c r="I1084" s="4">
        <v>1629.75</v>
      </c>
      <c r="J1084" s="23">
        <v>0.05</v>
      </c>
      <c r="K1084" s="4">
        <v>1548.26</v>
      </c>
      <c r="L1084" s="4">
        <v>1079.3900000000001</v>
      </c>
      <c r="M1084" s="4">
        <v>468.87</v>
      </c>
      <c r="N1084" t="s">
        <v>25</v>
      </c>
      <c r="O1084" s="7">
        <v>46</v>
      </c>
      <c r="P1084" s="2">
        <v>45815.916666666664</v>
      </c>
      <c r="Q1084" t="s">
        <v>99</v>
      </c>
      <c r="R1084">
        <v>6</v>
      </c>
      <c r="S1084" t="s">
        <v>27</v>
      </c>
      <c r="T1084">
        <f>IF(orders[[#This Row],[Status]]="Completed",1,0)</f>
        <v>1</v>
      </c>
      <c r="U1084">
        <f>IF(orders[[#This Row],[Status]]="Pending",1,0)</f>
        <v>0</v>
      </c>
      <c r="V1084">
        <f>IF(orders[[#This Row],[Status]]="Delayed",1,0)</f>
        <v>0</v>
      </c>
      <c r="W1084">
        <f>IF(orders[[#This Row],[Status]]="Cancelled",1,0)</f>
        <v>0</v>
      </c>
    </row>
    <row r="1085" spans="1:23" x14ac:dyDescent="0.35">
      <c r="A1085" t="s">
        <v>1462</v>
      </c>
      <c r="B1085" s="1">
        <v>45695</v>
      </c>
      <c r="C1085" t="s">
        <v>570</v>
      </c>
      <c r="D1085" t="s">
        <v>149</v>
      </c>
      <c r="E1085" t="s">
        <v>113</v>
      </c>
      <c r="F1085" t="s">
        <v>39</v>
      </c>
      <c r="G1085" t="s">
        <v>114</v>
      </c>
      <c r="H1085" s="7">
        <v>4</v>
      </c>
      <c r="I1085" s="4">
        <v>23817</v>
      </c>
      <c r="J1085" s="23">
        <v>0.05</v>
      </c>
      <c r="K1085" s="4">
        <v>22626.15</v>
      </c>
      <c r="L1085" s="4">
        <v>14121.84</v>
      </c>
      <c r="M1085" s="4">
        <v>8504.31</v>
      </c>
      <c r="N1085" t="s">
        <v>25</v>
      </c>
      <c r="O1085" s="7">
        <v>27</v>
      </c>
      <c r="P1085" s="2">
        <v>45696.125</v>
      </c>
      <c r="Q1085" t="s">
        <v>139</v>
      </c>
      <c r="R1085">
        <v>2</v>
      </c>
      <c r="S1085" t="s">
        <v>55</v>
      </c>
      <c r="T1085">
        <f>IF(orders[[#This Row],[Status]]="Completed",1,0)</f>
        <v>1</v>
      </c>
      <c r="U1085">
        <f>IF(orders[[#This Row],[Status]]="Pending",1,0)</f>
        <v>0</v>
      </c>
      <c r="V1085">
        <f>IF(orders[[#This Row],[Status]]="Delayed",1,0)</f>
        <v>0</v>
      </c>
      <c r="W1085">
        <f>IF(orders[[#This Row],[Status]]="Cancelled",1,0)</f>
        <v>0</v>
      </c>
    </row>
    <row r="1086" spans="1:23" x14ac:dyDescent="0.35">
      <c r="A1086" t="s">
        <v>1463</v>
      </c>
      <c r="B1086" s="1">
        <v>45754</v>
      </c>
      <c r="C1086" t="s">
        <v>1087</v>
      </c>
      <c r="D1086" t="s">
        <v>68</v>
      </c>
      <c r="E1086" t="s">
        <v>59</v>
      </c>
      <c r="F1086" t="s">
        <v>23</v>
      </c>
      <c r="G1086" t="s">
        <v>110</v>
      </c>
      <c r="H1086" s="7">
        <v>5</v>
      </c>
      <c r="I1086" s="4">
        <v>26478.05</v>
      </c>
      <c r="J1086" s="23">
        <v>0.1</v>
      </c>
      <c r="K1086" s="4">
        <v>23830.240000000002</v>
      </c>
      <c r="L1086" s="4">
        <v>18822.669999999998</v>
      </c>
      <c r="M1086" s="4">
        <v>5007.57</v>
      </c>
      <c r="N1086" t="s">
        <v>48</v>
      </c>
      <c r="O1086" s="7">
        <v>12</v>
      </c>
      <c r="P1086" s="2">
        <v>45754.5</v>
      </c>
      <c r="Q1086" t="s">
        <v>26</v>
      </c>
      <c r="R1086">
        <v>4</v>
      </c>
      <c r="S1086" t="s">
        <v>27</v>
      </c>
      <c r="T1086">
        <f>IF(orders[[#This Row],[Status]]="Completed",1,0)</f>
        <v>0</v>
      </c>
      <c r="U1086">
        <f>IF(orders[[#This Row],[Status]]="Pending",1,0)</f>
        <v>0</v>
      </c>
      <c r="V1086">
        <f>IF(orders[[#This Row],[Status]]="Delayed",1,0)</f>
        <v>0</v>
      </c>
      <c r="W1086">
        <f>IF(orders[[#This Row],[Status]]="Cancelled",1,0)</f>
        <v>1</v>
      </c>
    </row>
    <row r="1087" spans="1:23" x14ac:dyDescent="0.35">
      <c r="A1087" t="s">
        <v>1464</v>
      </c>
      <c r="B1087" s="1">
        <v>45946</v>
      </c>
      <c r="C1087" t="s">
        <v>912</v>
      </c>
      <c r="D1087" t="s">
        <v>38</v>
      </c>
      <c r="E1087" t="s">
        <v>113</v>
      </c>
      <c r="F1087" t="s">
        <v>32</v>
      </c>
      <c r="G1087" t="s">
        <v>64</v>
      </c>
      <c r="H1087" s="7">
        <v>4</v>
      </c>
      <c r="I1087" s="4">
        <v>16728.16</v>
      </c>
      <c r="J1087" s="23">
        <v>0</v>
      </c>
      <c r="K1087" s="4">
        <v>16728.16</v>
      </c>
      <c r="L1087" s="4">
        <v>13108.09</v>
      </c>
      <c r="M1087" s="4">
        <v>3620.07</v>
      </c>
      <c r="N1087" t="s">
        <v>85</v>
      </c>
      <c r="O1087" s="7">
        <v>54</v>
      </c>
      <c r="P1087" s="2">
        <v>45948.25</v>
      </c>
      <c r="Q1087" t="s">
        <v>116</v>
      </c>
      <c r="R1087">
        <v>10</v>
      </c>
      <c r="S1087" t="s">
        <v>35</v>
      </c>
      <c r="T1087">
        <f>IF(orders[[#This Row],[Status]]="Completed",1,0)</f>
        <v>0</v>
      </c>
      <c r="U1087">
        <f>IF(orders[[#This Row],[Status]]="Pending",1,0)</f>
        <v>0</v>
      </c>
      <c r="V1087">
        <f>IF(orders[[#This Row],[Status]]="Delayed",1,0)</f>
        <v>1</v>
      </c>
      <c r="W1087">
        <f>IF(orders[[#This Row],[Status]]="Cancelled",1,0)</f>
        <v>0</v>
      </c>
    </row>
    <row r="1088" spans="1:23" x14ac:dyDescent="0.35">
      <c r="A1088" t="s">
        <v>1465</v>
      </c>
      <c r="B1088" s="1">
        <v>45911</v>
      </c>
      <c r="C1088" t="s">
        <v>600</v>
      </c>
      <c r="D1088" t="s">
        <v>58</v>
      </c>
      <c r="E1088" t="s">
        <v>46</v>
      </c>
      <c r="F1088" t="s">
        <v>32</v>
      </c>
      <c r="G1088" t="s">
        <v>89</v>
      </c>
      <c r="H1088" s="7">
        <v>3</v>
      </c>
      <c r="I1088" s="4">
        <v>10227.66</v>
      </c>
      <c r="J1088" s="23">
        <v>0.05</v>
      </c>
      <c r="K1088" s="4">
        <v>9716.2800000000007</v>
      </c>
      <c r="L1088" s="4">
        <v>5835.48</v>
      </c>
      <c r="M1088" s="4">
        <v>3880.8</v>
      </c>
      <c r="N1088" t="s">
        <v>85</v>
      </c>
      <c r="O1088" s="7">
        <v>91</v>
      </c>
      <c r="P1088" s="2">
        <v>45914.791666666664</v>
      </c>
      <c r="Q1088" t="s">
        <v>41</v>
      </c>
      <c r="R1088">
        <v>9</v>
      </c>
      <c r="S1088" t="s">
        <v>42</v>
      </c>
      <c r="T1088">
        <f>IF(orders[[#This Row],[Status]]="Completed",1,0)</f>
        <v>0</v>
      </c>
      <c r="U1088">
        <f>IF(orders[[#This Row],[Status]]="Pending",1,0)</f>
        <v>0</v>
      </c>
      <c r="V1088">
        <f>IF(orders[[#This Row],[Status]]="Delayed",1,0)</f>
        <v>1</v>
      </c>
      <c r="W1088">
        <f>IF(orders[[#This Row],[Status]]="Cancelled",1,0)</f>
        <v>0</v>
      </c>
    </row>
    <row r="1089" spans="1:23" x14ac:dyDescent="0.35">
      <c r="A1089" t="s">
        <v>1466</v>
      </c>
      <c r="B1089" s="1">
        <v>45853</v>
      </c>
      <c r="C1089" t="s">
        <v>337</v>
      </c>
      <c r="D1089" t="s">
        <v>77</v>
      </c>
      <c r="E1089" t="s">
        <v>52</v>
      </c>
      <c r="F1089" t="s">
        <v>39</v>
      </c>
      <c r="G1089" t="s">
        <v>47</v>
      </c>
      <c r="H1089" s="7">
        <v>2</v>
      </c>
      <c r="I1089" s="4">
        <v>15481.34</v>
      </c>
      <c r="J1089" s="23">
        <v>0.2</v>
      </c>
      <c r="K1089" s="4">
        <v>12385.07</v>
      </c>
      <c r="L1089" s="4">
        <v>10550.45</v>
      </c>
      <c r="M1089" s="4">
        <v>1834.62</v>
      </c>
      <c r="N1089" t="s">
        <v>98</v>
      </c>
      <c r="O1089" s="7">
        <v>15</v>
      </c>
      <c r="P1089" s="2">
        <v>45853.625</v>
      </c>
      <c r="Q1089" t="s">
        <v>60</v>
      </c>
      <c r="R1089">
        <v>7</v>
      </c>
      <c r="S1089" t="s">
        <v>42</v>
      </c>
      <c r="T1089">
        <f>IF(orders[[#This Row],[Status]]="Completed",1,0)</f>
        <v>0</v>
      </c>
      <c r="U1089">
        <f>IF(orders[[#This Row],[Status]]="Pending",1,0)</f>
        <v>1</v>
      </c>
      <c r="V1089">
        <f>IF(orders[[#This Row],[Status]]="Delayed",1,0)</f>
        <v>0</v>
      </c>
      <c r="W1089">
        <f>IF(orders[[#This Row],[Status]]="Cancelled",1,0)</f>
        <v>0</v>
      </c>
    </row>
    <row r="1090" spans="1:23" x14ac:dyDescent="0.35">
      <c r="A1090" t="s">
        <v>1467</v>
      </c>
      <c r="B1090" s="1">
        <v>45743</v>
      </c>
      <c r="C1090" t="s">
        <v>789</v>
      </c>
      <c r="D1090" t="s">
        <v>149</v>
      </c>
      <c r="E1090" t="s">
        <v>22</v>
      </c>
      <c r="F1090" t="s">
        <v>23</v>
      </c>
      <c r="G1090" t="s">
        <v>24</v>
      </c>
      <c r="H1090" s="7">
        <v>2</v>
      </c>
      <c r="I1090" s="4">
        <v>786.36</v>
      </c>
      <c r="J1090" s="23">
        <v>0.05</v>
      </c>
      <c r="K1090" s="4">
        <v>747.04</v>
      </c>
      <c r="L1090" s="4">
        <v>426.75</v>
      </c>
      <c r="M1090" s="4">
        <v>320.29000000000002</v>
      </c>
      <c r="N1090" t="s">
        <v>98</v>
      </c>
      <c r="O1090" s="7">
        <v>14</v>
      </c>
      <c r="P1090" s="2">
        <v>45743.583333333336</v>
      </c>
      <c r="Q1090" t="s">
        <v>54</v>
      </c>
      <c r="R1090">
        <v>3</v>
      </c>
      <c r="S1090" t="s">
        <v>55</v>
      </c>
      <c r="T1090">
        <f>IF(orders[[#This Row],[Status]]="Completed",1,0)</f>
        <v>0</v>
      </c>
      <c r="U1090">
        <f>IF(orders[[#This Row],[Status]]="Pending",1,0)</f>
        <v>1</v>
      </c>
      <c r="V1090">
        <f>IF(orders[[#This Row],[Status]]="Delayed",1,0)</f>
        <v>0</v>
      </c>
      <c r="W1090">
        <f>IF(orders[[#This Row],[Status]]="Cancelled",1,0)</f>
        <v>0</v>
      </c>
    </row>
    <row r="1091" spans="1:23" x14ac:dyDescent="0.35">
      <c r="A1091" t="s">
        <v>1468</v>
      </c>
      <c r="B1091" s="1">
        <v>45979</v>
      </c>
      <c r="C1091" t="s">
        <v>249</v>
      </c>
      <c r="D1091" t="s">
        <v>45</v>
      </c>
      <c r="E1091" t="s">
        <v>52</v>
      </c>
      <c r="F1091" t="s">
        <v>32</v>
      </c>
      <c r="G1091" t="s">
        <v>79</v>
      </c>
      <c r="H1091" s="7">
        <v>5</v>
      </c>
      <c r="I1091" s="4">
        <v>32860.25</v>
      </c>
      <c r="J1091" s="23">
        <v>0.15</v>
      </c>
      <c r="K1091" s="4">
        <v>27931.21</v>
      </c>
      <c r="L1091" s="4">
        <v>15869.46</v>
      </c>
      <c r="M1091" s="4">
        <v>12061.75</v>
      </c>
      <c r="N1091" t="s">
        <v>25</v>
      </c>
      <c r="O1091" s="7">
        <v>28</v>
      </c>
      <c r="P1091" s="2">
        <v>45980.166666666664</v>
      </c>
      <c r="Q1091" t="s">
        <v>86</v>
      </c>
      <c r="R1091">
        <v>11</v>
      </c>
      <c r="S1091" t="s">
        <v>35</v>
      </c>
      <c r="T1091">
        <f>IF(orders[[#This Row],[Status]]="Completed",1,0)</f>
        <v>1</v>
      </c>
      <c r="U1091">
        <f>IF(orders[[#This Row],[Status]]="Pending",1,0)</f>
        <v>0</v>
      </c>
      <c r="V1091">
        <f>IF(orders[[#This Row],[Status]]="Delayed",1,0)</f>
        <v>0</v>
      </c>
      <c r="W1091">
        <f>IF(orders[[#This Row],[Status]]="Cancelled",1,0)</f>
        <v>0</v>
      </c>
    </row>
    <row r="1092" spans="1:23" x14ac:dyDescent="0.35">
      <c r="A1092" t="s">
        <v>1469</v>
      </c>
      <c r="B1092" s="1">
        <v>45667</v>
      </c>
      <c r="C1092" t="s">
        <v>1427</v>
      </c>
      <c r="D1092" t="s">
        <v>63</v>
      </c>
      <c r="E1092" t="s">
        <v>113</v>
      </c>
      <c r="F1092" t="s">
        <v>32</v>
      </c>
      <c r="G1092" t="s">
        <v>64</v>
      </c>
      <c r="H1092" s="7">
        <v>7</v>
      </c>
      <c r="I1092" s="4">
        <v>53766.58</v>
      </c>
      <c r="J1092" s="23">
        <v>0</v>
      </c>
      <c r="K1092" s="4">
        <v>53766.58</v>
      </c>
      <c r="L1092" s="4">
        <v>32895.769999999997</v>
      </c>
      <c r="M1092" s="4">
        <v>20870.810000000001</v>
      </c>
      <c r="N1092" t="s">
        <v>25</v>
      </c>
      <c r="O1092" s="7">
        <v>13</v>
      </c>
      <c r="P1092" s="2">
        <v>45667.541666666664</v>
      </c>
      <c r="Q1092" t="s">
        <v>65</v>
      </c>
      <c r="R1092">
        <v>1</v>
      </c>
      <c r="S1092" t="s">
        <v>55</v>
      </c>
      <c r="T1092">
        <f>IF(orders[[#This Row],[Status]]="Completed",1,0)</f>
        <v>1</v>
      </c>
      <c r="U1092">
        <f>IF(orders[[#This Row],[Status]]="Pending",1,0)</f>
        <v>0</v>
      </c>
      <c r="V1092">
        <f>IF(orders[[#This Row],[Status]]="Delayed",1,0)</f>
        <v>0</v>
      </c>
      <c r="W1092">
        <f>IF(orders[[#This Row],[Status]]="Cancelled",1,0)</f>
        <v>0</v>
      </c>
    </row>
    <row r="1093" spans="1:23" x14ac:dyDescent="0.35">
      <c r="A1093" t="s">
        <v>1470</v>
      </c>
      <c r="B1093" s="1">
        <v>45662</v>
      </c>
      <c r="C1093" t="s">
        <v>159</v>
      </c>
      <c r="D1093" t="s">
        <v>45</v>
      </c>
      <c r="E1093" t="s">
        <v>78</v>
      </c>
      <c r="F1093" t="s">
        <v>23</v>
      </c>
      <c r="G1093" t="s">
        <v>122</v>
      </c>
      <c r="H1093" s="7">
        <v>2</v>
      </c>
      <c r="I1093" s="4">
        <v>7754.12</v>
      </c>
      <c r="J1093" s="23">
        <v>0.05</v>
      </c>
      <c r="K1093" s="4">
        <v>7366.41</v>
      </c>
      <c r="L1093" s="4">
        <v>6262.35</v>
      </c>
      <c r="M1093" s="4">
        <v>1104.06</v>
      </c>
      <c r="N1093" t="s">
        <v>25</v>
      </c>
      <c r="O1093" s="7">
        <v>22</v>
      </c>
      <c r="P1093" s="2">
        <v>45662.916666666664</v>
      </c>
      <c r="Q1093" t="s">
        <v>65</v>
      </c>
      <c r="R1093">
        <v>1</v>
      </c>
      <c r="S1093" t="s">
        <v>55</v>
      </c>
      <c r="T1093">
        <f>IF(orders[[#This Row],[Status]]="Completed",1,0)</f>
        <v>1</v>
      </c>
      <c r="U1093">
        <f>IF(orders[[#This Row],[Status]]="Pending",1,0)</f>
        <v>0</v>
      </c>
      <c r="V1093">
        <f>IF(orders[[#This Row],[Status]]="Delayed",1,0)</f>
        <v>0</v>
      </c>
      <c r="W1093">
        <f>IF(orders[[#This Row],[Status]]="Cancelled",1,0)</f>
        <v>0</v>
      </c>
    </row>
    <row r="1094" spans="1:23" x14ac:dyDescent="0.35">
      <c r="A1094" t="s">
        <v>1471</v>
      </c>
      <c r="B1094" s="1">
        <v>45780</v>
      </c>
      <c r="C1094" t="s">
        <v>275</v>
      </c>
      <c r="D1094" t="s">
        <v>51</v>
      </c>
      <c r="E1094" t="s">
        <v>46</v>
      </c>
      <c r="F1094" t="s">
        <v>72</v>
      </c>
      <c r="G1094" t="s">
        <v>104</v>
      </c>
      <c r="H1094" s="7">
        <v>2</v>
      </c>
      <c r="I1094" s="4">
        <v>9496.5400000000009</v>
      </c>
      <c r="J1094" s="23">
        <v>0.15</v>
      </c>
      <c r="K1094" s="4">
        <v>8072.06</v>
      </c>
      <c r="L1094" s="4">
        <v>5824.79</v>
      </c>
      <c r="M1094" s="4">
        <v>2247.27</v>
      </c>
      <c r="N1094" t="s">
        <v>25</v>
      </c>
      <c r="O1094" s="7">
        <v>48</v>
      </c>
      <c r="P1094" s="2">
        <v>45782</v>
      </c>
      <c r="Q1094" t="s">
        <v>74</v>
      </c>
      <c r="R1094">
        <v>5</v>
      </c>
      <c r="S1094" t="s">
        <v>27</v>
      </c>
      <c r="T1094">
        <f>IF(orders[[#This Row],[Status]]="Completed",1,0)</f>
        <v>1</v>
      </c>
      <c r="U1094">
        <f>IF(orders[[#This Row],[Status]]="Pending",1,0)</f>
        <v>0</v>
      </c>
      <c r="V1094">
        <f>IF(orders[[#This Row],[Status]]="Delayed",1,0)</f>
        <v>0</v>
      </c>
      <c r="W1094">
        <f>IF(orders[[#This Row],[Status]]="Cancelled",1,0)</f>
        <v>0</v>
      </c>
    </row>
    <row r="1095" spans="1:23" x14ac:dyDescent="0.35">
      <c r="A1095" t="s">
        <v>1472</v>
      </c>
      <c r="B1095" s="1">
        <v>45987</v>
      </c>
      <c r="C1095" t="s">
        <v>724</v>
      </c>
      <c r="D1095" t="s">
        <v>38</v>
      </c>
      <c r="E1095" t="s">
        <v>113</v>
      </c>
      <c r="F1095" t="s">
        <v>32</v>
      </c>
      <c r="G1095" t="s">
        <v>89</v>
      </c>
      <c r="H1095" s="7">
        <v>1</v>
      </c>
      <c r="I1095" s="4">
        <v>8036.27</v>
      </c>
      <c r="J1095" s="23">
        <v>0.15</v>
      </c>
      <c r="K1095" s="4">
        <v>6830.83</v>
      </c>
      <c r="L1095" s="4">
        <v>5533.11</v>
      </c>
      <c r="M1095" s="4">
        <v>1297.72</v>
      </c>
      <c r="N1095" t="s">
        <v>25</v>
      </c>
      <c r="O1095" s="7">
        <v>18</v>
      </c>
      <c r="P1095" s="2">
        <v>45987.75</v>
      </c>
      <c r="Q1095" t="s">
        <v>86</v>
      </c>
      <c r="R1095">
        <v>11</v>
      </c>
      <c r="S1095" t="s">
        <v>35</v>
      </c>
      <c r="T1095">
        <f>IF(orders[[#This Row],[Status]]="Completed",1,0)</f>
        <v>1</v>
      </c>
      <c r="U1095">
        <f>IF(orders[[#This Row],[Status]]="Pending",1,0)</f>
        <v>0</v>
      </c>
      <c r="V1095">
        <f>IF(orders[[#This Row],[Status]]="Delayed",1,0)</f>
        <v>0</v>
      </c>
      <c r="W1095">
        <f>IF(orders[[#This Row],[Status]]="Cancelled",1,0)</f>
        <v>0</v>
      </c>
    </row>
    <row r="1096" spans="1:23" x14ac:dyDescent="0.35">
      <c r="A1096" t="s">
        <v>1473</v>
      </c>
      <c r="B1096" s="1">
        <v>46010</v>
      </c>
      <c r="C1096" t="s">
        <v>795</v>
      </c>
      <c r="D1096" t="s">
        <v>38</v>
      </c>
      <c r="E1096" t="s">
        <v>52</v>
      </c>
      <c r="F1096" t="s">
        <v>83</v>
      </c>
      <c r="G1096" t="s">
        <v>182</v>
      </c>
      <c r="H1096" s="7">
        <v>5</v>
      </c>
      <c r="I1096" s="4">
        <v>9612.6</v>
      </c>
      <c r="J1096" s="23">
        <v>0.05</v>
      </c>
      <c r="K1096" s="4">
        <v>9131.9699999999993</v>
      </c>
      <c r="L1096" s="4">
        <v>5709.2</v>
      </c>
      <c r="M1096" s="4">
        <v>3422.77</v>
      </c>
      <c r="N1096" t="s">
        <v>48</v>
      </c>
      <c r="O1096" s="7">
        <v>15</v>
      </c>
      <c r="P1096" s="2">
        <v>46010.625</v>
      </c>
      <c r="Q1096" t="s">
        <v>34</v>
      </c>
      <c r="R1096">
        <v>12</v>
      </c>
      <c r="S1096" t="s">
        <v>35</v>
      </c>
      <c r="T1096">
        <f>IF(orders[[#This Row],[Status]]="Completed",1,0)</f>
        <v>0</v>
      </c>
      <c r="U1096">
        <f>IF(orders[[#This Row],[Status]]="Pending",1,0)</f>
        <v>0</v>
      </c>
      <c r="V1096">
        <f>IF(orders[[#This Row],[Status]]="Delayed",1,0)</f>
        <v>0</v>
      </c>
      <c r="W1096">
        <f>IF(orders[[#This Row],[Status]]="Cancelled",1,0)</f>
        <v>1</v>
      </c>
    </row>
    <row r="1097" spans="1:23" x14ac:dyDescent="0.35">
      <c r="A1097" t="s">
        <v>1474</v>
      </c>
      <c r="B1097" s="1">
        <v>45775</v>
      </c>
      <c r="C1097" t="s">
        <v>141</v>
      </c>
      <c r="D1097" t="s">
        <v>45</v>
      </c>
      <c r="E1097" t="s">
        <v>46</v>
      </c>
      <c r="F1097" t="s">
        <v>23</v>
      </c>
      <c r="G1097" t="s">
        <v>122</v>
      </c>
      <c r="H1097" s="7">
        <v>7</v>
      </c>
      <c r="I1097" s="4">
        <v>31451.91</v>
      </c>
      <c r="J1097" s="23">
        <v>0.25</v>
      </c>
      <c r="K1097" s="4">
        <v>23588.93</v>
      </c>
      <c r="L1097" s="4">
        <v>16789.97</v>
      </c>
      <c r="M1097" s="4">
        <v>6798.96</v>
      </c>
      <c r="N1097" t="s">
        <v>25</v>
      </c>
      <c r="O1097" s="7">
        <v>5</v>
      </c>
      <c r="P1097" s="2">
        <v>45775.208333333336</v>
      </c>
      <c r="Q1097" t="s">
        <v>26</v>
      </c>
      <c r="R1097">
        <v>4</v>
      </c>
      <c r="S1097" t="s">
        <v>27</v>
      </c>
      <c r="T1097">
        <f>IF(orders[[#This Row],[Status]]="Completed",1,0)</f>
        <v>1</v>
      </c>
      <c r="U1097">
        <f>IF(orders[[#This Row],[Status]]="Pending",1,0)</f>
        <v>0</v>
      </c>
      <c r="V1097">
        <f>IF(orders[[#This Row],[Status]]="Delayed",1,0)</f>
        <v>0</v>
      </c>
      <c r="W1097">
        <f>IF(orders[[#This Row],[Status]]="Cancelled",1,0)</f>
        <v>0</v>
      </c>
    </row>
    <row r="1098" spans="1:23" x14ac:dyDescent="0.35">
      <c r="A1098" t="s">
        <v>1475</v>
      </c>
      <c r="B1098" s="1">
        <v>45951</v>
      </c>
      <c r="C1098" t="s">
        <v>734</v>
      </c>
      <c r="D1098" t="s">
        <v>30</v>
      </c>
      <c r="E1098" t="s">
        <v>22</v>
      </c>
      <c r="F1098" t="s">
        <v>32</v>
      </c>
      <c r="G1098" t="s">
        <v>64</v>
      </c>
      <c r="H1098" s="7">
        <v>5</v>
      </c>
      <c r="I1098" s="4">
        <v>20569.599999999999</v>
      </c>
      <c r="J1098" s="23">
        <v>0.2</v>
      </c>
      <c r="K1098" s="4">
        <v>16455.68</v>
      </c>
      <c r="L1098" s="4">
        <v>10996.27</v>
      </c>
      <c r="M1098" s="4">
        <v>5459.41</v>
      </c>
      <c r="N1098" t="s">
        <v>85</v>
      </c>
      <c r="O1098" s="7">
        <v>60</v>
      </c>
      <c r="P1098" s="2">
        <v>45953.5</v>
      </c>
      <c r="Q1098" t="s">
        <v>116</v>
      </c>
      <c r="R1098">
        <v>10</v>
      </c>
      <c r="S1098" t="s">
        <v>35</v>
      </c>
      <c r="T1098">
        <f>IF(orders[[#This Row],[Status]]="Completed",1,0)</f>
        <v>0</v>
      </c>
      <c r="U1098">
        <f>IF(orders[[#This Row],[Status]]="Pending",1,0)</f>
        <v>0</v>
      </c>
      <c r="V1098">
        <f>IF(orders[[#This Row],[Status]]="Delayed",1,0)</f>
        <v>1</v>
      </c>
      <c r="W1098">
        <f>IF(orders[[#This Row],[Status]]="Cancelled",1,0)</f>
        <v>0</v>
      </c>
    </row>
    <row r="1099" spans="1:23" x14ac:dyDescent="0.35">
      <c r="A1099" t="s">
        <v>1476</v>
      </c>
      <c r="B1099" s="1">
        <v>45816</v>
      </c>
      <c r="C1099" t="s">
        <v>181</v>
      </c>
      <c r="D1099" t="s">
        <v>68</v>
      </c>
      <c r="E1099" t="s">
        <v>22</v>
      </c>
      <c r="F1099" t="s">
        <v>39</v>
      </c>
      <c r="G1099" t="s">
        <v>188</v>
      </c>
      <c r="H1099" s="7">
        <v>2</v>
      </c>
      <c r="I1099" s="4">
        <v>4615.16</v>
      </c>
      <c r="J1099" s="23">
        <v>0.25</v>
      </c>
      <c r="K1099" s="4">
        <v>3461.37</v>
      </c>
      <c r="L1099" s="4">
        <v>2849.34</v>
      </c>
      <c r="M1099" s="4">
        <v>612.03</v>
      </c>
      <c r="N1099" t="s">
        <v>25</v>
      </c>
      <c r="O1099" s="7">
        <v>7</v>
      </c>
      <c r="P1099" s="2">
        <v>45816.291666666664</v>
      </c>
      <c r="Q1099" t="s">
        <v>99</v>
      </c>
      <c r="R1099">
        <v>6</v>
      </c>
      <c r="S1099" t="s">
        <v>27</v>
      </c>
      <c r="T1099">
        <f>IF(orders[[#This Row],[Status]]="Completed",1,0)</f>
        <v>1</v>
      </c>
      <c r="U1099">
        <f>IF(orders[[#This Row],[Status]]="Pending",1,0)</f>
        <v>0</v>
      </c>
      <c r="V1099">
        <f>IF(orders[[#This Row],[Status]]="Delayed",1,0)</f>
        <v>0</v>
      </c>
      <c r="W1099">
        <f>IF(orders[[#This Row],[Status]]="Cancelled",1,0)</f>
        <v>0</v>
      </c>
    </row>
    <row r="1100" spans="1:23" x14ac:dyDescent="0.35">
      <c r="A1100" t="s">
        <v>1477</v>
      </c>
      <c r="B1100" s="1">
        <v>45960</v>
      </c>
      <c r="C1100" t="s">
        <v>203</v>
      </c>
      <c r="D1100" t="s">
        <v>58</v>
      </c>
      <c r="E1100" t="s">
        <v>113</v>
      </c>
      <c r="F1100" t="s">
        <v>83</v>
      </c>
      <c r="G1100" t="s">
        <v>84</v>
      </c>
      <c r="H1100" s="7">
        <v>2</v>
      </c>
      <c r="I1100" s="4">
        <v>13970.5</v>
      </c>
      <c r="J1100" s="23">
        <v>0.05</v>
      </c>
      <c r="K1100" s="4">
        <v>13271.97</v>
      </c>
      <c r="L1100" s="4">
        <v>7398.59</v>
      </c>
      <c r="M1100" s="4">
        <v>5873.38</v>
      </c>
      <c r="N1100" t="s">
        <v>25</v>
      </c>
      <c r="O1100" s="7">
        <v>32</v>
      </c>
      <c r="P1100" s="2">
        <v>45961.333333333336</v>
      </c>
      <c r="Q1100" t="s">
        <v>116</v>
      </c>
      <c r="R1100">
        <v>10</v>
      </c>
      <c r="S1100" t="s">
        <v>35</v>
      </c>
      <c r="T1100">
        <f>IF(orders[[#This Row],[Status]]="Completed",1,0)</f>
        <v>1</v>
      </c>
      <c r="U1100">
        <f>IF(orders[[#This Row],[Status]]="Pending",1,0)</f>
        <v>0</v>
      </c>
      <c r="V1100">
        <f>IF(orders[[#This Row],[Status]]="Delayed",1,0)</f>
        <v>0</v>
      </c>
      <c r="W1100">
        <f>IF(orders[[#This Row],[Status]]="Cancelled",1,0)</f>
        <v>0</v>
      </c>
    </row>
    <row r="1101" spans="1:23" x14ac:dyDescent="0.35">
      <c r="A1101" t="s">
        <v>1478</v>
      </c>
      <c r="B1101" s="1">
        <v>45885</v>
      </c>
      <c r="C1101" t="s">
        <v>1006</v>
      </c>
      <c r="D1101" t="s">
        <v>77</v>
      </c>
      <c r="E1101" t="s">
        <v>22</v>
      </c>
      <c r="F1101" t="s">
        <v>32</v>
      </c>
      <c r="G1101" t="s">
        <v>64</v>
      </c>
      <c r="H1101" s="7">
        <v>2</v>
      </c>
      <c r="I1101" s="4">
        <v>15323.32</v>
      </c>
      <c r="J1101" s="23">
        <v>0</v>
      </c>
      <c r="K1101" s="4">
        <v>15323.32</v>
      </c>
      <c r="L1101" s="4">
        <v>9660.86</v>
      </c>
      <c r="M1101" s="4">
        <v>5662.46</v>
      </c>
      <c r="N1101" t="s">
        <v>85</v>
      </c>
      <c r="O1101" s="7">
        <v>94</v>
      </c>
      <c r="P1101" s="2">
        <v>45888.916666666664</v>
      </c>
      <c r="Q1101" t="s">
        <v>80</v>
      </c>
      <c r="R1101">
        <v>8</v>
      </c>
      <c r="S1101" t="s">
        <v>42</v>
      </c>
      <c r="T1101">
        <f>IF(orders[[#This Row],[Status]]="Completed",1,0)</f>
        <v>0</v>
      </c>
      <c r="U1101">
        <f>IF(orders[[#This Row],[Status]]="Pending",1,0)</f>
        <v>0</v>
      </c>
      <c r="V1101">
        <f>IF(orders[[#This Row],[Status]]="Delayed",1,0)</f>
        <v>1</v>
      </c>
      <c r="W1101">
        <f>IF(orders[[#This Row],[Status]]="Cancelled",1,0)</f>
        <v>0</v>
      </c>
    </row>
    <row r="1102" spans="1:23" x14ac:dyDescent="0.35">
      <c r="A1102" t="s">
        <v>1479</v>
      </c>
      <c r="B1102" s="1">
        <v>46022</v>
      </c>
      <c r="C1102" t="s">
        <v>426</v>
      </c>
      <c r="D1102" t="s">
        <v>38</v>
      </c>
      <c r="E1102" t="s">
        <v>92</v>
      </c>
      <c r="F1102" t="s">
        <v>83</v>
      </c>
      <c r="G1102" t="s">
        <v>107</v>
      </c>
      <c r="H1102" s="7">
        <v>6</v>
      </c>
      <c r="I1102" s="4">
        <v>40074.839999999997</v>
      </c>
      <c r="J1102" s="23">
        <v>0.1</v>
      </c>
      <c r="K1102" s="4">
        <v>36067.360000000001</v>
      </c>
      <c r="L1102" s="4">
        <v>21653.02</v>
      </c>
      <c r="M1102" s="4">
        <v>14414.34</v>
      </c>
      <c r="N1102" t="s">
        <v>25</v>
      </c>
      <c r="O1102" s="7">
        <v>20</v>
      </c>
      <c r="P1102" s="2">
        <v>46022.833333333336</v>
      </c>
      <c r="Q1102" t="s">
        <v>34</v>
      </c>
      <c r="R1102">
        <v>12</v>
      </c>
      <c r="S1102" t="s">
        <v>35</v>
      </c>
      <c r="T1102">
        <f>IF(orders[[#This Row],[Status]]="Completed",1,0)</f>
        <v>1</v>
      </c>
      <c r="U1102">
        <f>IF(orders[[#This Row],[Status]]="Pending",1,0)</f>
        <v>0</v>
      </c>
      <c r="V1102">
        <f>IF(orders[[#This Row],[Status]]="Delayed",1,0)</f>
        <v>0</v>
      </c>
      <c r="W1102">
        <f>IF(orders[[#This Row],[Status]]="Cancelled",1,0)</f>
        <v>0</v>
      </c>
    </row>
    <row r="1103" spans="1:23" x14ac:dyDescent="0.35">
      <c r="A1103" t="s">
        <v>1480</v>
      </c>
      <c r="B1103" s="1">
        <v>45873</v>
      </c>
      <c r="C1103" t="s">
        <v>1481</v>
      </c>
      <c r="D1103" t="s">
        <v>45</v>
      </c>
      <c r="E1103" t="s">
        <v>46</v>
      </c>
      <c r="F1103" t="s">
        <v>83</v>
      </c>
      <c r="G1103" t="s">
        <v>152</v>
      </c>
      <c r="H1103" s="7">
        <v>3</v>
      </c>
      <c r="I1103" s="4">
        <v>5343.75</v>
      </c>
      <c r="J1103" s="23">
        <v>0.1</v>
      </c>
      <c r="K1103" s="4">
        <v>4809.38</v>
      </c>
      <c r="L1103" s="4">
        <v>4008.77</v>
      </c>
      <c r="M1103" s="4">
        <v>800.61</v>
      </c>
      <c r="N1103" t="s">
        <v>25</v>
      </c>
      <c r="O1103" s="7">
        <v>13</v>
      </c>
      <c r="P1103" s="2">
        <v>45873.541666666664</v>
      </c>
      <c r="Q1103" t="s">
        <v>80</v>
      </c>
      <c r="R1103">
        <v>8</v>
      </c>
      <c r="S1103" t="s">
        <v>42</v>
      </c>
      <c r="T1103">
        <f>IF(orders[[#This Row],[Status]]="Completed",1,0)</f>
        <v>1</v>
      </c>
      <c r="U1103">
        <f>IF(orders[[#This Row],[Status]]="Pending",1,0)</f>
        <v>0</v>
      </c>
      <c r="V1103">
        <f>IF(orders[[#This Row],[Status]]="Delayed",1,0)</f>
        <v>0</v>
      </c>
      <c r="W1103">
        <f>IF(orders[[#This Row],[Status]]="Cancelled",1,0)</f>
        <v>0</v>
      </c>
    </row>
    <row r="1104" spans="1:23" x14ac:dyDescent="0.35">
      <c r="A1104" t="s">
        <v>1482</v>
      </c>
      <c r="B1104" s="1">
        <v>45841</v>
      </c>
      <c r="C1104" t="s">
        <v>575</v>
      </c>
      <c r="D1104" t="s">
        <v>45</v>
      </c>
      <c r="E1104" t="s">
        <v>78</v>
      </c>
      <c r="F1104" t="s">
        <v>72</v>
      </c>
      <c r="G1104" t="s">
        <v>73</v>
      </c>
      <c r="H1104" s="7">
        <v>4</v>
      </c>
      <c r="I1104" s="4">
        <v>3497.4</v>
      </c>
      <c r="J1104" s="23">
        <v>0</v>
      </c>
      <c r="K1104" s="4">
        <v>3497.4</v>
      </c>
      <c r="L1104" s="4">
        <v>2463.1799999999998</v>
      </c>
      <c r="M1104" s="4">
        <v>1034.22</v>
      </c>
      <c r="N1104" t="s">
        <v>25</v>
      </c>
      <c r="O1104" s="7">
        <v>30</v>
      </c>
      <c r="P1104" s="2">
        <v>45842.25</v>
      </c>
      <c r="Q1104" t="s">
        <v>60</v>
      </c>
      <c r="R1104">
        <v>7</v>
      </c>
      <c r="S1104" t="s">
        <v>42</v>
      </c>
      <c r="T1104">
        <f>IF(orders[[#This Row],[Status]]="Completed",1,0)</f>
        <v>1</v>
      </c>
      <c r="U1104">
        <f>IF(orders[[#This Row],[Status]]="Pending",1,0)</f>
        <v>0</v>
      </c>
      <c r="V1104">
        <f>IF(orders[[#This Row],[Status]]="Delayed",1,0)</f>
        <v>0</v>
      </c>
      <c r="W1104">
        <f>IF(orders[[#This Row],[Status]]="Cancelled",1,0)</f>
        <v>0</v>
      </c>
    </row>
    <row r="1105" spans="1:23" x14ac:dyDescent="0.35">
      <c r="A1105" t="s">
        <v>1483</v>
      </c>
      <c r="B1105" s="1">
        <v>45672</v>
      </c>
      <c r="C1105" t="s">
        <v>173</v>
      </c>
      <c r="D1105" t="s">
        <v>68</v>
      </c>
      <c r="E1105" t="s">
        <v>46</v>
      </c>
      <c r="F1105" t="s">
        <v>83</v>
      </c>
      <c r="G1105" t="s">
        <v>152</v>
      </c>
      <c r="H1105" s="7">
        <v>3</v>
      </c>
      <c r="I1105" s="4">
        <v>15616.38</v>
      </c>
      <c r="J1105" s="23">
        <v>0.15</v>
      </c>
      <c r="K1105" s="4">
        <v>13273.92</v>
      </c>
      <c r="L1105" s="4">
        <v>9071.2999999999993</v>
      </c>
      <c r="M1105" s="4">
        <v>4202.62</v>
      </c>
      <c r="N1105" t="s">
        <v>98</v>
      </c>
      <c r="O1105" s="7">
        <v>16</v>
      </c>
      <c r="P1105" s="2">
        <v>45672.666666666664</v>
      </c>
      <c r="Q1105" t="s">
        <v>65</v>
      </c>
      <c r="R1105">
        <v>1</v>
      </c>
      <c r="S1105" t="s">
        <v>55</v>
      </c>
      <c r="T1105">
        <f>IF(orders[[#This Row],[Status]]="Completed",1,0)</f>
        <v>0</v>
      </c>
      <c r="U1105">
        <f>IF(orders[[#This Row],[Status]]="Pending",1,0)</f>
        <v>1</v>
      </c>
      <c r="V1105">
        <f>IF(orders[[#This Row],[Status]]="Delayed",1,0)</f>
        <v>0</v>
      </c>
      <c r="W1105">
        <f>IF(orders[[#This Row],[Status]]="Cancelled",1,0)</f>
        <v>0</v>
      </c>
    </row>
    <row r="1106" spans="1:23" x14ac:dyDescent="0.35">
      <c r="A1106" t="s">
        <v>1484</v>
      </c>
      <c r="B1106" s="1">
        <v>45814</v>
      </c>
      <c r="C1106" t="s">
        <v>621</v>
      </c>
      <c r="D1106" t="s">
        <v>68</v>
      </c>
      <c r="E1106" t="s">
        <v>22</v>
      </c>
      <c r="F1106" t="s">
        <v>72</v>
      </c>
      <c r="G1106" t="s">
        <v>129</v>
      </c>
      <c r="H1106" s="7">
        <v>5</v>
      </c>
      <c r="I1106" s="4">
        <v>3133.7</v>
      </c>
      <c r="J1106" s="23">
        <v>0</v>
      </c>
      <c r="K1106" s="4">
        <v>3133.7</v>
      </c>
      <c r="L1106" s="4">
        <v>2188.35</v>
      </c>
      <c r="M1106" s="4">
        <v>945.35</v>
      </c>
      <c r="N1106" t="s">
        <v>25</v>
      </c>
      <c r="O1106" s="7">
        <v>18</v>
      </c>
      <c r="P1106" s="2">
        <v>45814.75</v>
      </c>
      <c r="Q1106" t="s">
        <v>99</v>
      </c>
      <c r="R1106">
        <v>6</v>
      </c>
      <c r="S1106" t="s">
        <v>27</v>
      </c>
      <c r="T1106">
        <f>IF(orders[[#This Row],[Status]]="Completed",1,0)</f>
        <v>1</v>
      </c>
      <c r="U1106">
        <f>IF(orders[[#This Row],[Status]]="Pending",1,0)</f>
        <v>0</v>
      </c>
      <c r="V1106">
        <f>IF(orders[[#This Row],[Status]]="Delayed",1,0)</f>
        <v>0</v>
      </c>
      <c r="W1106">
        <f>IF(orders[[#This Row],[Status]]="Cancelled",1,0)</f>
        <v>0</v>
      </c>
    </row>
    <row r="1107" spans="1:23" x14ac:dyDescent="0.35">
      <c r="A1107" t="s">
        <v>1485</v>
      </c>
      <c r="B1107" s="1">
        <v>45793</v>
      </c>
      <c r="C1107" t="s">
        <v>207</v>
      </c>
      <c r="D1107" t="s">
        <v>21</v>
      </c>
      <c r="E1107" t="s">
        <v>46</v>
      </c>
      <c r="F1107" t="s">
        <v>23</v>
      </c>
      <c r="G1107" t="s">
        <v>136</v>
      </c>
      <c r="H1107" s="7">
        <v>1</v>
      </c>
      <c r="I1107" s="4">
        <v>5768.1</v>
      </c>
      <c r="J1107" s="23">
        <v>0.1</v>
      </c>
      <c r="K1107" s="4">
        <v>5191.29</v>
      </c>
      <c r="L1107" s="4">
        <v>4520.24</v>
      </c>
      <c r="M1107" s="4">
        <v>671.05</v>
      </c>
      <c r="N1107" t="s">
        <v>25</v>
      </c>
      <c r="O1107" s="7">
        <v>47</v>
      </c>
      <c r="P1107" s="2">
        <v>45794.958333333336</v>
      </c>
      <c r="Q1107" t="s">
        <v>74</v>
      </c>
      <c r="R1107">
        <v>5</v>
      </c>
      <c r="S1107" t="s">
        <v>27</v>
      </c>
      <c r="T1107">
        <f>IF(orders[[#This Row],[Status]]="Completed",1,0)</f>
        <v>1</v>
      </c>
      <c r="U1107">
        <f>IF(orders[[#This Row],[Status]]="Pending",1,0)</f>
        <v>0</v>
      </c>
      <c r="V1107">
        <f>IF(orders[[#This Row],[Status]]="Delayed",1,0)</f>
        <v>0</v>
      </c>
      <c r="W1107">
        <f>IF(orders[[#This Row],[Status]]="Cancelled",1,0)</f>
        <v>0</v>
      </c>
    </row>
    <row r="1108" spans="1:23" x14ac:dyDescent="0.35">
      <c r="A1108" t="s">
        <v>1486</v>
      </c>
      <c r="B1108" s="1">
        <v>45918</v>
      </c>
      <c r="C1108" t="s">
        <v>437</v>
      </c>
      <c r="D1108" t="s">
        <v>21</v>
      </c>
      <c r="E1108" t="s">
        <v>52</v>
      </c>
      <c r="F1108" t="s">
        <v>72</v>
      </c>
      <c r="G1108" t="s">
        <v>104</v>
      </c>
      <c r="H1108" s="7">
        <v>4</v>
      </c>
      <c r="I1108" s="4">
        <v>18316.16</v>
      </c>
      <c r="J1108" s="23">
        <v>0.05</v>
      </c>
      <c r="K1108" s="4">
        <v>17400.349999999999</v>
      </c>
      <c r="L1108" s="4">
        <v>14452.53</v>
      </c>
      <c r="M1108" s="4">
        <v>2947.82</v>
      </c>
      <c r="N1108" t="s">
        <v>25</v>
      </c>
      <c r="O1108" s="7">
        <v>34</v>
      </c>
      <c r="P1108" s="2">
        <v>45919.416666666664</v>
      </c>
      <c r="Q1108" t="s">
        <v>41</v>
      </c>
      <c r="R1108">
        <v>9</v>
      </c>
      <c r="S1108" t="s">
        <v>42</v>
      </c>
      <c r="T1108">
        <f>IF(orders[[#This Row],[Status]]="Completed",1,0)</f>
        <v>1</v>
      </c>
      <c r="U1108">
        <f>IF(orders[[#This Row],[Status]]="Pending",1,0)</f>
        <v>0</v>
      </c>
      <c r="V1108">
        <f>IF(orders[[#This Row],[Status]]="Delayed",1,0)</f>
        <v>0</v>
      </c>
      <c r="W1108">
        <f>IF(orders[[#This Row],[Status]]="Cancelled",1,0)</f>
        <v>0</v>
      </c>
    </row>
    <row r="1109" spans="1:23" x14ac:dyDescent="0.35">
      <c r="A1109" t="s">
        <v>1487</v>
      </c>
      <c r="B1109" s="1">
        <v>45814</v>
      </c>
      <c r="C1109" t="s">
        <v>665</v>
      </c>
      <c r="D1109" t="s">
        <v>30</v>
      </c>
      <c r="E1109" t="s">
        <v>31</v>
      </c>
      <c r="F1109" t="s">
        <v>39</v>
      </c>
      <c r="G1109" t="s">
        <v>47</v>
      </c>
      <c r="H1109" s="7">
        <v>1</v>
      </c>
      <c r="I1109" s="4">
        <v>5684.26</v>
      </c>
      <c r="J1109" s="23">
        <v>0.15</v>
      </c>
      <c r="K1109" s="4">
        <v>4831.62</v>
      </c>
      <c r="L1109" s="4">
        <v>3783.65</v>
      </c>
      <c r="M1109" s="4">
        <v>1047.97</v>
      </c>
      <c r="N1109" t="s">
        <v>25</v>
      </c>
      <c r="O1109" s="7">
        <v>24</v>
      </c>
      <c r="P1109" s="2">
        <v>45815</v>
      </c>
      <c r="Q1109" t="s">
        <v>99</v>
      </c>
      <c r="R1109">
        <v>6</v>
      </c>
      <c r="S1109" t="s">
        <v>27</v>
      </c>
      <c r="T1109">
        <f>IF(orders[[#This Row],[Status]]="Completed",1,0)</f>
        <v>1</v>
      </c>
      <c r="U1109">
        <f>IF(orders[[#This Row],[Status]]="Pending",1,0)</f>
        <v>0</v>
      </c>
      <c r="V1109">
        <f>IF(orders[[#This Row],[Status]]="Delayed",1,0)</f>
        <v>0</v>
      </c>
      <c r="W1109">
        <f>IF(orders[[#This Row],[Status]]="Cancelled",1,0)</f>
        <v>0</v>
      </c>
    </row>
    <row r="1110" spans="1:23" x14ac:dyDescent="0.35">
      <c r="A1110" t="s">
        <v>1488</v>
      </c>
      <c r="B1110" s="1">
        <v>45704</v>
      </c>
      <c r="C1110" t="s">
        <v>428</v>
      </c>
      <c r="D1110" t="s">
        <v>30</v>
      </c>
      <c r="E1110" t="s">
        <v>52</v>
      </c>
      <c r="F1110" t="s">
        <v>32</v>
      </c>
      <c r="G1110" t="s">
        <v>33</v>
      </c>
      <c r="H1110" s="7">
        <v>7</v>
      </c>
      <c r="I1110" s="4">
        <v>35545.51</v>
      </c>
      <c r="J1110" s="23">
        <v>0.05</v>
      </c>
      <c r="K1110" s="4">
        <v>33768.230000000003</v>
      </c>
      <c r="L1110" s="4">
        <v>21809.48</v>
      </c>
      <c r="M1110" s="4">
        <v>11958.75</v>
      </c>
      <c r="N1110" t="s">
        <v>48</v>
      </c>
      <c r="O1110" s="7">
        <v>3</v>
      </c>
      <c r="P1110" s="2">
        <v>45704.125</v>
      </c>
      <c r="Q1110" t="s">
        <v>139</v>
      </c>
      <c r="R1110">
        <v>2</v>
      </c>
      <c r="S1110" t="s">
        <v>55</v>
      </c>
      <c r="T1110">
        <f>IF(orders[[#This Row],[Status]]="Completed",1,0)</f>
        <v>0</v>
      </c>
      <c r="U1110">
        <f>IF(orders[[#This Row],[Status]]="Pending",1,0)</f>
        <v>0</v>
      </c>
      <c r="V1110">
        <f>IF(orders[[#This Row],[Status]]="Delayed",1,0)</f>
        <v>0</v>
      </c>
      <c r="W1110">
        <f>IF(orders[[#This Row],[Status]]="Cancelled",1,0)</f>
        <v>1</v>
      </c>
    </row>
    <row r="1111" spans="1:23" x14ac:dyDescent="0.35">
      <c r="A1111" t="s">
        <v>1489</v>
      </c>
      <c r="B1111" s="1">
        <v>45981</v>
      </c>
      <c r="C1111" t="s">
        <v>399</v>
      </c>
      <c r="D1111" t="s">
        <v>51</v>
      </c>
      <c r="E1111" t="s">
        <v>59</v>
      </c>
      <c r="F1111" t="s">
        <v>23</v>
      </c>
      <c r="G1111" t="s">
        <v>69</v>
      </c>
      <c r="H1111" s="7">
        <v>6</v>
      </c>
      <c r="I1111" s="4">
        <v>22077.42</v>
      </c>
      <c r="J1111" s="23">
        <v>0.15</v>
      </c>
      <c r="K1111" s="4">
        <v>18765.810000000001</v>
      </c>
      <c r="L1111" s="4">
        <v>11344.07</v>
      </c>
      <c r="M1111" s="4">
        <v>7421.74</v>
      </c>
      <c r="N1111" t="s">
        <v>25</v>
      </c>
      <c r="O1111" s="7">
        <v>48</v>
      </c>
      <c r="P1111" s="2">
        <v>45983</v>
      </c>
      <c r="Q1111" t="s">
        <v>86</v>
      </c>
      <c r="R1111">
        <v>11</v>
      </c>
      <c r="S1111" t="s">
        <v>35</v>
      </c>
      <c r="T1111">
        <f>IF(orders[[#This Row],[Status]]="Completed",1,0)</f>
        <v>1</v>
      </c>
      <c r="U1111">
        <f>IF(orders[[#This Row],[Status]]="Pending",1,0)</f>
        <v>0</v>
      </c>
      <c r="V1111">
        <f>IF(orders[[#This Row],[Status]]="Delayed",1,0)</f>
        <v>0</v>
      </c>
      <c r="W1111">
        <f>IF(orders[[#This Row],[Status]]="Cancelled",1,0)</f>
        <v>0</v>
      </c>
    </row>
    <row r="1112" spans="1:23" x14ac:dyDescent="0.35">
      <c r="A1112" t="s">
        <v>1490</v>
      </c>
      <c r="B1112" s="1">
        <v>45989</v>
      </c>
      <c r="C1112" t="s">
        <v>381</v>
      </c>
      <c r="D1112" t="s">
        <v>30</v>
      </c>
      <c r="E1112" t="s">
        <v>92</v>
      </c>
      <c r="F1112" t="s">
        <v>23</v>
      </c>
      <c r="G1112" t="s">
        <v>110</v>
      </c>
      <c r="H1112" s="7">
        <v>5</v>
      </c>
      <c r="I1112" s="4">
        <v>9136.6</v>
      </c>
      <c r="J1112" s="23">
        <v>0.1</v>
      </c>
      <c r="K1112" s="4">
        <v>8222.94</v>
      </c>
      <c r="L1112" s="4">
        <v>7022.99</v>
      </c>
      <c r="M1112" s="4">
        <v>1199.95</v>
      </c>
      <c r="N1112" t="s">
        <v>48</v>
      </c>
      <c r="O1112" s="7">
        <v>15</v>
      </c>
      <c r="P1112" s="2">
        <v>45989.625</v>
      </c>
      <c r="Q1112" t="s">
        <v>86</v>
      </c>
      <c r="R1112">
        <v>11</v>
      </c>
      <c r="S1112" t="s">
        <v>35</v>
      </c>
      <c r="T1112">
        <f>IF(orders[[#This Row],[Status]]="Completed",1,0)</f>
        <v>0</v>
      </c>
      <c r="U1112">
        <f>IF(orders[[#This Row],[Status]]="Pending",1,0)</f>
        <v>0</v>
      </c>
      <c r="V1112">
        <f>IF(orders[[#This Row],[Status]]="Delayed",1,0)</f>
        <v>0</v>
      </c>
      <c r="W1112">
        <f>IF(orders[[#This Row],[Status]]="Cancelled",1,0)</f>
        <v>1</v>
      </c>
    </row>
    <row r="1113" spans="1:23" x14ac:dyDescent="0.35">
      <c r="A1113" t="s">
        <v>1491</v>
      </c>
      <c r="B1113" s="1">
        <v>45830</v>
      </c>
      <c r="C1113" t="s">
        <v>583</v>
      </c>
      <c r="D1113" t="s">
        <v>149</v>
      </c>
      <c r="E1113" t="s">
        <v>31</v>
      </c>
      <c r="F1113" t="s">
        <v>39</v>
      </c>
      <c r="G1113" t="s">
        <v>188</v>
      </c>
      <c r="H1113" s="7">
        <v>6</v>
      </c>
      <c r="I1113" s="4">
        <v>16215.66</v>
      </c>
      <c r="J1113" s="23">
        <v>0.15</v>
      </c>
      <c r="K1113" s="4">
        <v>13783.31</v>
      </c>
      <c r="L1113" s="4">
        <v>9505.18</v>
      </c>
      <c r="M1113" s="4">
        <v>4278.13</v>
      </c>
      <c r="N1113" t="s">
        <v>25</v>
      </c>
      <c r="O1113" s="7">
        <v>41</v>
      </c>
      <c r="P1113" s="2">
        <v>45831.708333333336</v>
      </c>
      <c r="Q1113" t="s">
        <v>99</v>
      </c>
      <c r="R1113">
        <v>6</v>
      </c>
      <c r="S1113" t="s">
        <v>27</v>
      </c>
      <c r="T1113">
        <f>IF(orders[[#This Row],[Status]]="Completed",1,0)</f>
        <v>1</v>
      </c>
      <c r="U1113">
        <f>IF(orders[[#This Row],[Status]]="Pending",1,0)</f>
        <v>0</v>
      </c>
      <c r="V1113">
        <f>IF(orders[[#This Row],[Status]]="Delayed",1,0)</f>
        <v>0</v>
      </c>
      <c r="W1113">
        <f>IF(orders[[#This Row],[Status]]="Cancelled",1,0)</f>
        <v>0</v>
      </c>
    </row>
    <row r="1114" spans="1:23" x14ac:dyDescent="0.35">
      <c r="A1114" t="s">
        <v>1492</v>
      </c>
      <c r="B1114" s="1">
        <v>45787</v>
      </c>
      <c r="C1114" t="s">
        <v>67</v>
      </c>
      <c r="D1114" t="s">
        <v>68</v>
      </c>
      <c r="E1114" t="s">
        <v>113</v>
      </c>
      <c r="F1114" t="s">
        <v>72</v>
      </c>
      <c r="G1114" t="s">
        <v>146</v>
      </c>
      <c r="H1114" s="7">
        <v>5</v>
      </c>
      <c r="I1114" s="4">
        <v>22647.9</v>
      </c>
      <c r="J1114" s="23">
        <v>0.25</v>
      </c>
      <c r="K1114" s="4">
        <v>16985.93</v>
      </c>
      <c r="L1114" s="4">
        <v>10904.79</v>
      </c>
      <c r="M1114" s="4">
        <v>6081.14</v>
      </c>
      <c r="N1114" t="s">
        <v>25</v>
      </c>
      <c r="O1114" s="7">
        <v>39</v>
      </c>
      <c r="P1114" s="2">
        <v>45788.625</v>
      </c>
      <c r="Q1114" t="s">
        <v>74</v>
      </c>
      <c r="R1114">
        <v>5</v>
      </c>
      <c r="S1114" t="s">
        <v>27</v>
      </c>
      <c r="T1114">
        <f>IF(orders[[#This Row],[Status]]="Completed",1,0)</f>
        <v>1</v>
      </c>
      <c r="U1114">
        <f>IF(orders[[#This Row],[Status]]="Pending",1,0)</f>
        <v>0</v>
      </c>
      <c r="V1114">
        <f>IF(orders[[#This Row],[Status]]="Delayed",1,0)</f>
        <v>0</v>
      </c>
      <c r="W1114">
        <f>IF(orders[[#This Row],[Status]]="Cancelled",1,0)</f>
        <v>0</v>
      </c>
    </row>
    <row r="1115" spans="1:23" x14ac:dyDescent="0.35">
      <c r="A1115" t="s">
        <v>1493</v>
      </c>
      <c r="B1115" s="1">
        <v>45752</v>
      </c>
      <c r="C1115" t="s">
        <v>284</v>
      </c>
      <c r="D1115" t="s">
        <v>77</v>
      </c>
      <c r="E1115" t="s">
        <v>46</v>
      </c>
      <c r="F1115" t="s">
        <v>32</v>
      </c>
      <c r="G1115" t="s">
        <v>53</v>
      </c>
      <c r="H1115" s="7">
        <v>1</v>
      </c>
      <c r="I1115" s="4">
        <v>5593.1</v>
      </c>
      <c r="J1115" s="23">
        <v>0.1</v>
      </c>
      <c r="K1115" s="4">
        <v>5033.79</v>
      </c>
      <c r="L1115" s="4">
        <v>3550.85</v>
      </c>
      <c r="M1115" s="4">
        <v>1482.94</v>
      </c>
      <c r="N1115" t="s">
        <v>25</v>
      </c>
      <c r="O1115" s="7">
        <v>20</v>
      </c>
      <c r="P1115" s="2">
        <v>45752.833333333336</v>
      </c>
      <c r="Q1115" t="s">
        <v>26</v>
      </c>
      <c r="R1115">
        <v>4</v>
      </c>
      <c r="S1115" t="s">
        <v>27</v>
      </c>
      <c r="T1115">
        <f>IF(orders[[#This Row],[Status]]="Completed",1,0)</f>
        <v>1</v>
      </c>
      <c r="U1115">
        <f>IF(orders[[#This Row],[Status]]="Pending",1,0)</f>
        <v>0</v>
      </c>
      <c r="V1115">
        <f>IF(orders[[#This Row],[Status]]="Delayed",1,0)</f>
        <v>0</v>
      </c>
      <c r="W1115">
        <f>IF(orders[[#This Row],[Status]]="Cancelled",1,0)</f>
        <v>0</v>
      </c>
    </row>
    <row r="1116" spans="1:23" x14ac:dyDescent="0.35">
      <c r="A1116" t="s">
        <v>1494</v>
      </c>
      <c r="B1116" s="1">
        <v>45772</v>
      </c>
      <c r="C1116" t="s">
        <v>242</v>
      </c>
      <c r="D1116" t="s">
        <v>149</v>
      </c>
      <c r="E1116" t="s">
        <v>78</v>
      </c>
      <c r="F1116" t="s">
        <v>72</v>
      </c>
      <c r="G1116" t="s">
        <v>129</v>
      </c>
      <c r="H1116" s="7">
        <v>1</v>
      </c>
      <c r="I1116" s="4">
        <v>6658.68</v>
      </c>
      <c r="J1116" s="23">
        <v>0.25</v>
      </c>
      <c r="K1116" s="4">
        <v>4994.01</v>
      </c>
      <c r="L1116" s="4">
        <v>4259.34</v>
      </c>
      <c r="M1116" s="4">
        <v>734.67</v>
      </c>
      <c r="N1116" t="s">
        <v>25</v>
      </c>
      <c r="O1116" s="7">
        <v>6</v>
      </c>
      <c r="P1116" s="2">
        <v>45772.25</v>
      </c>
      <c r="Q1116" t="s">
        <v>26</v>
      </c>
      <c r="R1116">
        <v>4</v>
      </c>
      <c r="S1116" t="s">
        <v>27</v>
      </c>
      <c r="T1116">
        <f>IF(orders[[#This Row],[Status]]="Completed",1,0)</f>
        <v>1</v>
      </c>
      <c r="U1116">
        <f>IF(orders[[#This Row],[Status]]="Pending",1,0)</f>
        <v>0</v>
      </c>
      <c r="V1116">
        <f>IF(orders[[#This Row],[Status]]="Delayed",1,0)</f>
        <v>0</v>
      </c>
      <c r="W1116">
        <f>IF(orders[[#This Row],[Status]]="Cancelled",1,0)</f>
        <v>0</v>
      </c>
    </row>
    <row r="1117" spans="1:23" x14ac:dyDescent="0.35">
      <c r="A1117" t="s">
        <v>1495</v>
      </c>
      <c r="B1117" s="1">
        <v>45900</v>
      </c>
      <c r="C1117" t="s">
        <v>44</v>
      </c>
      <c r="D1117" t="s">
        <v>58</v>
      </c>
      <c r="E1117" t="s">
        <v>59</v>
      </c>
      <c r="F1117" t="s">
        <v>83</v>
      </c>
      <c r="G1117" t="s">
        <v>84</v>
      </c>
      <c r="H1117" s="7">
        <v>1</v>
      </c>
      <c r="I1117" s="4">
        <v>6555.88</v>
      </c>
      <c r="J1117" s="23">
        <v>0</v>
      </c>
      <c r="K1117" s="4">
        <v>6555.88</v>
      </c>
      <c r="L1117" s="4">
        <v>4443.13</v>
      </c>
      <c r="M1117" s="4">
        <v>2112.75</v>
      </c>
      <c r="N1117" t="s">
        <v>25</v>
      </c>
      <c r="O1117" s="7">
        <v>17</v>
      </c>
      <c r="P1117" s="2">
        <v>45900.708333333336</v>
      </c>
      <c r="Q1117" t="s">
        <v>80</v>
      </c>
      <c r="R1117">
        <v>8</v>
      </c>
      <c r="S1117" t="s">
        <v>42</v>
      </c>
      <c r="T1117">
        <f>IF(orders[[#This Row],[Status]]="Completed",1,0)</f>
        <v>1</v>
      </c>
      <c r="U1117">
        <f>IF(orders[[#This Row],[Status]]="Pending",1,0)</f>
        <v>0</v>
      </c>
      <c r="V1117">
        <f>IF(orders[[#This Row],[Status]]="Delayed",1,0)</f>
        <v>0</v>
      </c>
      <c r="W1117">
        <f>IF(orders[[#This Row],[Status]]="Cancelled",1,0)</f>
        <v>0</v>
      </c>
    </row>
    <row r="1118" spans="1:23" x14ac:dyDescent="0.35">
      <c r="A1118" t="s">
        <v>1496</v>
      </c>
      <c r="B1118" s="1">
        <v>45949</v>
      </c>
      <c r="C1118" t="s">
        <v>595</v>
      </c>
      <c r="D1118" t="s">
        <v>45</v>
      </c>
      <c r="E1118" t="s">
        <v>59</v>
      </c>
      <c r="F1118" t="s">
        <v>72</v>
      </c>
      <c r="G1118" t="s">
        <v>146</v>
      </c>
      <c r="H1118" s="7">
        <v>5</v>
      </c>
      <c r="I1118" s="4">
        <v>41359.75</v>
      </c>
      <c r="J1118" s="23">
        <v>0.05</v>
      </c>
      <c r="K1118" s="4">
        <v>39291.760000000002</v>
      </c>
      <c r="L1118" s="4">
        <v>28905.83</v>
      </c>
      <c r="M1118" s="4">
        <v>10385.93</v>
      </c>
      <c r="N1118" t="s">
        <v>25</v>
      </c>
      <c r="O1118" s="7">
        <v>16</v>
      </c>
      <c r="P1118" s="2">
        <v>45949.666666666664</v>
      </c>
      <c r="Q1118" t="s">
        <v>116</v>
      </c>
      <c r="R1118">
        <v>10</v>
      </c>
      <c r="S1118" t="s">
        <v>35</v>
      </c>
      <c r="T1118">
        <f>IF(orders[[#This Row],[Status]]="Completed",1,0)</f>
        <v>1</v>
      </c>
      <c r="U1118">
        <f>IF(orders[[#This Row],[Status]]="Pending",1,0)</f>
        <v>0</v>
      </c>
      <c r="V1118">
        <f>IF(orders[[#This Row],[Status]]="Delayed",1,0)</f>
        <v>0</v>
      </c>
      <c r="W1118">
        <f>IF(orders[[#This Row],[Status]]="Cancelled",1,0)</f>
        <v>0</v>
      </c>
    </row>
    <row r="1119" spans="1:23" x14ac:dyDescent="0.35">
      <c r="A1119" t="s">
        <v>1497</v>
      </c>
      <c r="B1119" s="1">
        <v>45939</v>
      </c>
      <c r="C1119" t="s">
        <v>281</v>
      </c>
      <c r="D1119" t="s">
        <v>30</v>
      </c>
      <c r="E1119" t="s">
        <v>78</v>
      </c>
      <c r="F1119" t="s">
        <v>23</v>
      </c>
      <c r="G1119" t="s">
        <v>136</v>
      </c>
      <c r="H1119" s="7">
        <v>2</v>
      </c>
      <c r="I1119" s="4">
        <v>5073.5600000000004</v>
      </c>
      <c r="J1119" s="23">
        <v>0</v>
      </c>
      <c r="K1119" s="4">
        <v>5073.5600000000004</v>
      </c>
      <c r="L1119" s="4">
        <v>4134.84</v>
      </c>
      <c r="M1119" s="4">
        <v>938.72</v>
      </c>
      <c r="N1119" t="s">
        <v>98</v>
      </c>
      <c r="O1119" s="7">
        <v>3</v>
      </c>
      <c r="P1119" s="2">
        <v>45939.125</v>
      </c>
      <c r="Q1119" t="s">
        <v>116</v>
      </c>
      <c r="R1119">
        <v>10</v>
      </c>
      <c r="S1119" t="s">
        <v>35</v>
      </c>
      <c r="T1119">
        <f>IF(orders[[#This Row],[Status]]="Completed",1,0)</f>
        <v>0</v>
      </c>
      <c r="U1119">
        <f>IF(orders[[#This Row],[Status]]="Pending",1,0)</f>
        <v>1</v>
      </c>
      <c r="V1119">
        <f>IF(orders[[#This Row],[Status]]="Delayed",1,0)</f>
        <v>0</v>
      </c>
      <c r="W1119">
        <f>IF(orders[[#This Row],[Status]]="Cancelled",1,0)</f>
        <v>0</v>
      </c>
    </row>
    <row r="1120" spans="1:23" x14ac:dyDescent="0.35">
      <c r="A1120" t="s">
        <v>1498</v>
      </c>
      <c r="B1120" s="1">
        <v>45956</v>
      </c>
      <c r="C1120" t="s">
        <v>179</v>
      </c>
      <c r="D1120" t="s">
        <v>45</v>
      </c>
      <c r="E1120" t="s">
        <v>92</v>
      </c>
      <c r="F1120" t="s">
        <v>32</v>
      </c>
      <c r="G1120" t="s">
        <v>79</v>
      </c>
      <c r="H1120" s="7">
        <v>1</v>
      </c>
      <c r="I1120" s="4">
        <v>743.77</v>
      </c>
      <c r="J1120" s="23">
        <v>0.05</v>
      </c>
      <c r="K1120" s="4">
        <v>706.58</v>
      </c>
      <c r="L1120" s="4">
        <v>488.21</v>
      </c>
      <c r="M1120" s="4">
        <v>218.37</v>
      </c>
      <c r="N1120" t="s">
        <v>25</v>
      </c>
      <c r="O1120" s="7">
        <v>30</v>
      </c>
      <c r="P1120" s="2">
        <v>45957.25</v>
      </c>
      <c r="Q1120" t="s">
        <v>116</v>
      </c>
      <c r="R1120">
        <v>10</v>
      </c>
      <c r="S1120" t="s">
        <v>35</v>
      </c>
      <c r="T1120">
        <f>IF(orders[[#This Row],[Status]]="Completed",1,0)</f>
        <v>1</v>
      </c>
      <c r="U1120">
        <f>IF(orders[[#This Row],[Status]]="Pending",1,0)</f>
        <v>0</v>
      </c>
      <c r="V1120">
        <f>IF(orders[[#This Row],[Status]]="Delayed",1,0)</f>
        <v>0</v>
      </c>
      <c r="W1120">
        <f>IF(orders[[#This Row],[Status]]="Cancelled",1,0)</f>
        <v>0</v>
      </c>
    </row>
    <row r="1121" spans="1:23" x14ac:dyDescent="0.35">
      <c r="A1121" t="s">
        <v>1499</v>
      </c>
      <c r="B1121" s="1">
        <v>45940</v>
      </c>
      <c r="C1121" t="s">
        <v>1040</v>
      </c>
      <c r="D1121" t="s">
        <v>38</v>
      </c>
      <c r="E1121" t="s">
        <v>31</v>
      </c>
      <c r="F1121" t="s">
        <v>72</v>
      </c>
      <c r="G1121" t="s">
        <v>146</v>
      </c>
      <c r="H1121" s="7">
        <v>6</v>
      </c>
      <c r="I1121" s="4">
        <v>18217.439999999999</v>
      </c>
      <c r="J1121" s="23">
        <v>0.15</v>
      </c>
      <c r="K1121" s="4">
        <v>15484.82</v>
      </c>
      <c r="L1121" s="4">
        <v>9710.0499999999993</v>
      </c>
      <c r="M1121" s="4">
        <v>5774.77</v>
      </c>
      <c r="N1121" t="s">
        <v>25</v>
      </c>
      <c r="O1121" s="7">
        <v>4</v>
      </c>
      <c r="P1121" s="2">
        <v>45940.166666666664</v>
      </c>
      <c r="Q1121" t="s">
        <v>116</v>
      </c>
      <c r="R1121">
        <v>10</v>
      </c>
      <c r="S1121" t="s">
        <v>35</v>
      </c>
      <c r="T1121">
        <f>IF(orders[[#This Row],[Status]]="Completed",1,0)</f>
        <v>1</v>
      </c>
      <c r="U1121">
        <f>IF(orders[[#This Row],[Status]]="Pending",1,0)</f>
        <v>0</v>
      </c>
      <c r="V1121">
        <f>IF(orders[[#This Row],[Status]]="Delayed",1,0)</f>
        <v>0</v>
      </c>
      <c r="W1121">
        <f>IF(orders[[#This Row],[Status]]="Cancelled",1,0)</f>
        <v>0</v>
      </c>
    </row>
    <row r="1122" spans="1:23" x14ac:dyDescent="0.35">
      <c r="A1122" t="s">
        <v>1500</v>
      </c>
      <c r="B1122" s="1">
        <v>45726</v>
      </c>
      <c r="C1122" t="s">
        <v>565</v>
      </c>
      <c r="D1122" t="s">
        <v>51</v>
      </c>
      <c r="E1122" t="s">
        <v>59</v>
      </c>
      <c r="F1122" t="s">
        <v>32</v>
      </c>
      <c r="G1122" t="s">
        <v>89</v>
      </c>
      <c r="H1122" s="7">
        <v>7</v>
      </c>
      <c r="I1122" s="4">
        <v>44495.57</v>
      </c>
      <c r="J1122" s="23">
        <v>0</v>
      </c>
      <c r="K1122" s="4">
        <v>44495.57</v>
      </c>
      <c r="L1122" s="4">
        <v>39075.72</v>
      </c>
      <c r="M1122" s="4">
        <v>5419.85</v>
      </c>
      <c r="N1122" t="s">
        <v>85</v>
      </c>
      <c r="O1122" s="7">
        <v>70</v>
      </c>
      <c r="P1122" s="2">
        <v>45728.916666666664</v>
      </c>
      <c r="Q1122" t="s">
        <v>54</v>
      </c>
      <c r="R1122">
        <v>3</v>
      </c>
      <c r="S1122" t="s">
        <v>55</v>
      </c>
      <c r="T1122">
        <f>IF(orders[[#This Row],[Status]]="Completed",1,0)</f>
        <v>0</v>
      </c>
      <c r="U1122">
        <f>IF(orders[[#This Row],[Status]]="Pending",1,0)</f>
        <v>0</v>
      </c>
      <c r="V1122">
        <f>IF(orders[[#This Row],[Status]]="Delayed",1,0)</f>
        <v>1</v>
      </c>
      <c r="W1122">
        <f>IF(orders[[#This Row],[Status]]="Cancelled",1,0)</f>
        <v>0</v>
      </c>
    </row>
    <row r="1123" spans="1:23" x14ac:dyDescent="0.35">
      <c r="A1123" t="s">
        <v>1501</v>
      </c>
      <c r="B1123" s="1">
        <v>45805</v>
      </c>
      <c r="C1123" t="s">
        <v>590</v>
      </c>
      <c r="D1123" t="s">
        <v>38</v>
      </c>
      <c r="E1123" t="s">
        <v>78</v>
      </c>
      <c r="F1123" t="s">
        <v>32</v>
      </c>
      <c r="G1123" t="s">
        <v>79</v>
      </c>
      <c r="H1123" s="7">
        <v>4</v>
      </c>
      <c r="I1123" s="4">
        <v>15232.92</v>
      </c>
      <c r="J1123" s="23">
        <v>0.1</v>
      </c>
      <c r="K1123" s="4">
        <v>13709.63</v>
      </c>
      <c r="L1123" s="4">
        <v>11867.99</v>
      </c>
      <c r="M1123" s="4">
        <v>1841.64</v>
      </c>
      <c r="N1123" t="s">
        <v>25</v>
      </c>
      <c r="O1123" s="7">
        <v>37</v>
      </c>
      <c r="P1123" s="2">
        <v>45806.541666666664</v>
      </c>
      <c r="Q1123" t="s">
        <v>74</v>
      </c>
      <c r="R1123">
        <v>5</v>
      </c>
      <c r="S1123" t="s">
        <v>27</v>
      </c>
      <c r="T1123">
        <f>IF(orders[[#This Row],[Status]]="Completed",1,0)</f>
        <v>1</v>
      </c>
      <c r="U1123">
        <f>IF(orders[[#This Row],[Status]]="Pending",1,0)</f>
        <v>0</v>
      </c>
      <c r="V1123">
        <f>IF(orders[[#This Row],[Status]]="Delayed",1,0)</f>
        <v>0</v>
      </c>
      <c r="W1123">
        <f>IF(orders[[#This Row],[Status]]="Cancelled",1,0)</f>
        <v>0</v>
      </c>
    </row>
    <row r="1124" spans="1:23" x14ac:dyDescent="0.35">
      <c r="A1124" t="s">
        <v>1502</v>
      </c>
      <c r="B1124" s="1">
        <v>45668</v>
      </c>
      <c r="C1124" t="s">
        <v>124</v>
      </c>
      <c r="D1124" t="s">
        <v>51</v>
      </c>
      <c r="E1124" t="s">
        <v>31</v>
      </c>
      <c r="F1124" t="s">
        <v>83</v>
      </c>
      <c r="G1124" t="s">
        <v>182</v>
      </c>
      <c r="H1124" s="7">
        <v>5</v>
      </c>
      <c r="I1124" s="4">
        <v>34892.65</v>
      </c>
      <c r="J1124" s="23">
        <v>0.1</v>
      </c>
      <c r="K1124" s="4">
        <v>31403.38</v>
      </c>
      <c r="L1124" s="4">
        <v>26012.93</v>
      </c>
      <c r="M1124" s="4">
        <v>5390.45</v>
      </c>
      <c r="N1124" t="s">
        <v>25</v>
      </c>
      <c r="O1124" s="7">
        <v>17</v>
      </c>
      <c r="P1124" s="2">
        <v>45668.708333333336</v>
      </c>
      <c r="Q1124" t="s">
        <v>65</v>
      </c>
      <c r="R1124">
        <v>1</v>
      </c>
      <c r="S1124" t="s">
        <v>55</v>
      </c>
      <c r="T1124">
        <f>IF(orders[[#This Row],[Status]]="Completed",1,0)</f>
        <v>1</v>
      </c>
      <c r="U1124">
        <f>IF(orders[[#This Row],[Status]]="Pending",1,0)</f>
        <v>0</v>
      </c>
      <c r="V1124">
        <f>IF(orders[[#This Row],[Status]]="Delayed",1,0)</f>
        <v>0</v>
      </c>
      <c r="W1124">
        <f>IF(orders[[#This Row],[Status]]="Cancelled",1,0)</f>
        <v>0</v>
      </c>
    </row>
    <row r="1125" spans="1:23" x14ac:dyDescent="0.35">
      <c r="A1125" t="s">
        <v>1503</v>
      </c>
      <c r="B1125" s="1">
        <v>45911</v>
      </c>
      <c r="C1125" t="s">
        <v>437</v>
      </c>
      <c r="D1125" t="s">
        <v>21</v>
      </c>
      <c r="E1125" t="s">
        <v>31</v>
      </c>
      <c r="F1125" t="s">
        <v>83</v>
      </c>
      <c r="G1125" t="s">
        <v>107</v>
      </c>
      <c r="H1125" s="7">
        <v>6</v>
      </c>
      <c r="I1125" s="4">
        <v>28421.279999999999</v>
      </c>
      <c r="J1125" s="23">
        <v>0.1</v>
      </c>
      <c r="K1125" s="4">
        <v>25579.15</v>
      </c>
      <c r="L1125" s="4">
        <v>19879.18</v>
      </c>
      <c r="M1125" s="4">
        <v>5699.97</v>
      </c>
      <c r="N1125" t="s">
        <v>85</v>
      </c>
      <c r="O1125" s="7">
        <v>86</v>
      </c>
      <c r="P1125" s="2">
        <v>45914.583333333336</v>
      </c>
      <c r="Q1125" t="s">
        <v>41</v>
      </c>
      <c r="R1125">
        <v>9</v>
      </c>
      <c r="S1125" t="s">
        <v>42</v>
      </c>
      <c r="T1125">
        <f>IF(orders[[#This Row],[Status]]="Completed",1,0)</f>
        <v>0</v>
      </c>
      <c r="U1125">
        <f>IF(orders[[#This Row],[Status]]="Pending",1,0)</f>
        <v>0</v>
      </c>
      <c r="V1125">
        <f>IF(orders[[#This Row],[Status]]="Delayed",1,0)</f>
        <v>1</v>
      </c>
      <c r="W1125">
        <f>IF(orders[[#This Row],[Status]]="Cancelled",1,0)</f>
        <v>0</v>
      </c>
    </row>
    <row r="1126" spans="1:23" x14ac:dyDescent="0.35">
      <c r="A1126" t="s">
        <v>1504</v>
      </c>
      <c r="B1126" s="1">
        <v>45987</v>
      </c>
      <c r="C1126" t="s">
        <v>1410</v>
      </c>
      <c r="D1126" t="s">
        <v>45</v>
      </c>
      <c r="E1126" t="s">
        <v>22</v>
      </c>
      <c r="F1126" t="s">
        <v>23</v>
      </c>
      <c r="G1126" t="s">
        <v>122</v>
      </c>
      <c r="H1126" s="7">
        <v>3</v>
      </c>
      <c r="I1126" s="4">
        <v>23741.279999999999</v>
      </c>
      <c r="J1126" s="23">
        <v>0.1</v>
      </c>
      <c r="K1126" s="4">
        <v>21367.15</v>
      </c>
      <c r="L1126" s="4">
        <v>13831.08</v>
      </c>
      <c r="M1126" s="4">
        <v>7536.07</v>
      </c>
      <c r="N1126" t="s">
        <v>25</v>
      </c>
      <c r="O1126" s="7">
        <v>6</v>
      </c>
      <c r="P1126" s="2">
        <v>45987.25</v>
      </c>
      <c r="Q1126" t="s">
        <v>86</v>
      </c>
      <c r="R1126">
        <v>11</v>
      </c>
      <c r="S1126" t="s">
        <v>35</v>
      </c>
      <c r="T1126">
        <f>IF(orders[[#This Row],[Status]]="Completed",1,0)</f>
        <v>1</v>
      </c>
      <c r="U1126">
        <f>IF(orders[[#This Row],[Status]]="Pending",1,0)</f>
        <v>0</v>
      </c>
      <c r="V1126">
        <f>IF(orders[[#This Row],[Status]]="Delayed",1,0)</f>
        <v>0</v>
      </c>
      <c r="W1126">
        <f>IF(orders[[#This Row],[Status]]="Cancelled",1,0)</f>
        <v>0</v>
      </c>
    </row>
    <row r="1127" spans="1:23" x14ac:dyDescent="0.35">
      <c r="A1127" t="s">
        <v>1505</v>
      </c>
      <c r="B1127" s="1">
        <v>46017</v>
      </c>
      <c r="C1127" t="s">
        <v>541</v>
      </c>
      <c r="D1127" t="s">
        <v>51</v>
      </c>
      <c r="E1127" t="s">
        <v>59</v>
      </c>
      <c r="F1127" t="s">
        <v>39</v>
      </c>
      <c r="G1127" t="s">
        <v>47</v>
      </c>
      <c r="H1127" s="7">
        <v>7</v>
      </c>
      <c r="I1127" s="4">
        <v>56452.62</v>
      </c>
      <c r="J1127" s="23">
        <v>0.15</v>
      </c>
      <c r="K1127" s="4">
        <v>47984.73</v>
      </c>
      <c r="L1127" s="4">
        <v>40855.46</v>
      </c>
      <c r="M1127" s="4">
        <v>7129.27</v>
      </c>
      <c r="N1127" t="s">
        <v>85</v>
      </c>
      <c r="O1127" s="7">
        <v>82</v>
      </c>
      <c r="P1127" s="2">
        <v>46020.416666666664</v>
      </c>
      <c r="Q1127" t="s">
        <v>34</v>
      </c>
      <c r="R1127">
        <v>12</v>
      </c>
      <c r="S1127" t="s">
        <v>35</v>
      </c>
      <c r="T1127">
        <f>IF(orders[[#This Row],[Status]]="Completed",1,0)</f>
        <v>0</v>
      </c>
      <c r="U1127">
        <f>IF(orders[[#This Row],[Status]]="Pending",1,0)</f>
        <v>0</v>
      </c>
      <c r="V1127">
        <f>IF(orders[[#This Row],[Status]]="Delayed",1,0)</f>
        <v>1</v>
      </c>
      <c r="W1127">
        <f>IF(orders[[#This Row],[Status]]="Cancelled",1,0)</f>
        <v>0</v>
      </c>
    </row>
    <row r="1128" spans="1:23" x14ac:dyDescent="0.35">
      <c r="A1128" t="s">
        <v>1506</v>
      </c>
      <c r="B1128" s="1">
        <v>45695</v>
      </c>
      <c r="C1128" t="s">
        <v>1507</v>
      </c>
      <c r="D1128" t="s">
        <v>63</v>
      </c>
      <c r="E1128" t="s">
        <v>31</v>
      </c>
      <c r="F1128" t="s">
        <v>32</v>
      </c>
      <c r="G1128" t="s">
        <v>89</v>
      </c>
      <c r="H1128" s="7">
        <v>3</v>
      </c>
      <c r="I1128" s="4">
        <v>2186.0700000000002</v>
      </c>
      <c r="J1128" s="23">
        <v>0</v>
      </c>
      <c r="K1128" s="4">
        <v>2186.0700000000002</v>
      </c>
      <c r="L1128" s="4">
        <v>1401.13</v>
      </c>
      <c r="M1128" s="4">
        <v>784.94</v>
      </c>
      <c r="N1128" t="s">
        <v>25</v>
      </c>
      <c r="O1128" s="7">
        <v>43</v>
      </c>
      <c r="P1128" s="2">
        <v>45696.791666666664</v>
      </c>
      <c r="Q1128" t="s">
        <v>139</v>
      </c>
      <c r="R1128">
        <v>2</v>
      </c>
      <c r="S1128" t="s">
        <v>55</v>
      </c>
      <c r="T1128">
        <f>IF(orders[[#This Row],[Status]]="Completed",1,0)</f>
        <v>1</v>
      </c>
      <c r="U1128">
        <f>IF(orders[[#This Row],[Status]]="Pending",1,0)</f>
        <v>0</v>
      </c>
      <c r="V1128">
        <f>IF(orders[[#This Row],[Status]]="Delayed",1,0)</f>
        <v>0</v>
      </c>
      <c r="W1128">
        <f>IF(orders[[#This Row],[Status]]="Cancelled",1,0)</f>
        <v>0</v>
      </c>
    </row>
    <row r="1129" spans="1:23" x14ac:dyDescent="0.35">
      <c r="A1129" t="s">
        <v>1508</v>
      </c>
      <c r="B1129" s="1">
        <v>45791</v>
      </c>
      <c r="C1129" t="s">
        <v>495</v>
      </c>
      <c r="D1129" t="s">
        <v>149</v>
      </c>
      <c r="E1129" t="s">
        <v>92</v>
      </c>
      <c r="F1129" t="s">
        <v>39</v>
      </c>
      <c r="G1129" t="s">
        <v>188</v>
      </c>
      <c r="H1129" s="7">
        <v>4</v>
      </c>
      <c r="I1129" s="4">
        <v>15844.2</v>
      </c>
      <c r="J1129" s="23">
        <v>0.05</v>
      </c>
      <c r="K1129" s="4">
        <v>15051.99</v>
      </c>
      <c r="L1129" s="4">
        <v>12256.34</v>
      </c>
      <c r="M1129" s="4">
        <v>2795.65</v>
      </c>
      <c r="N1129" t="s">
        <v>98</v>
      </c>
      <c r="O1129" s="7">
        <v>7</v>
      </c>
      <c r="P1129" s="2">
        <v>45791.291666666664</v>
      </c>
      <c r="Q1129" t="s">
        <v>74</v>
      </c>
      <c r="R1129">
        <v>5</v>
      </c>
      <c r="S1129" t="s">
        <v>27</v>
      </c>
      <c r="T1129">
        <f>IF(orders[[#This Row],[Status]]="Completed",1,0)</f>
        <v>0</v>
      </c>
      <c r="U1129">
        <f>IF(orders[[#This Row],[Status]]="Pending",1,0)</f>
        <v>1</v>
      </c>
      <c r="V1129">
        <f>IF(orders[[#This Row],[Status]]="Delayed",1,0)</f>
        <v>0</v>
      </c>
      <c r="W1129">
        <f>IF(orders[[#This Row],[Status]]="Cancelled",1,0)</f>
        <v>0</v>
      </c>
    </row>
    <row r="1130" spans="1:23" x14ac:dyDescent="0.35">
      <c r="A1130" t="s">
        <v>1509</v>
      </c>
      <c r="B1130" s="1">
        <v>45857</v>
      </c>
      <c r="C1130" t="s">
        <v>297</v>
      </c>
      <c r="D1130" t="s">
        <v>51</v>
      </c>
      <c r="E1130" t="s">
        <v>59</v>
      </c>
      <c r="F1130" t="s">
        <v>23</v>
      </c>
      <c r="G1130" t="s">
        <v>69</v>
      </c>
      <c r="H1130" s="7">
        <v>2</v>
      </c>
      <c r="I1130" s="4">
        <v>10481.799999999999</v>
      </c>
      <c r="J1130" s="23">
        <v>0.1</v>
      </c>
      <c r="K1130" s="4">
        <v>9433.6200000000008</v>
      </c>
      <c r="L1130" s="4">
        <v>8047.12</v>
      </c>
      <c r="M1130" s="4">
        <v>1386.5</v>
      </c>
      <c r="N1130" t="s">
        <v>85</v>
      </c>
      <c r="O1130" s="7">
        <v>63</v>
      </c>
      <c r="P1130" s="2">
        <v>45859.625</v>
      </c>
      <c r="Q1130" t="s">
        <v>60</v>
      </c>
      <c r="R1130">
        <v>7</v>
      </c>
      <c r="S1130" t="s">
        <v>42</v>
      </c>
      <c r="T1130">
        <f>IF(orders[[#This Row],[Status]]="Completed",1,0)</f>
        <v>0</v>
      </c>
      <c r="U1130">
        <f>IF(orders[[#This Row],[Status]]="Pending",1,0)</f>
        <v>0</v>
      </c>
      <c r="V1130">
        <f>IF(orders[[#This Row],[Status]]="Delayed",1,0)</f>
        <v>1</v>
      </c>
      <c r="W1130">
        <f>IF(orders[[#This Row],[Status]]="Cancelled",1,0)</f>
        <v>0</v>
      </c>
    </row>
    <row r="1131" spans="1:23" x14ac:dyDescent="0.35">
      <c r="A1131" t="s">
        <v>1510</v>
      </c>
      <c r="B1131" s="1">
        <v>45680</v>
      </c>
      <c r="C1131" t="s">
        <v>341</v>
      </c>
      <c r="D1131" t="s">
        <v>51</v>
      </c>
      <c r="E1131" t="s">
        <v>92</v>
      </c>
      <c r="F1131" t="s">
        <v>32</v>
      </c>
      <c r="G1131" t="s">
        <v>53</v>
      </c>
      <c r="H1131" s="7">
        <v>1</v>
      </c>
      <c r="I1131" s="4">
        <v>2286.54</v>
      </c>
      <c r="J1131" s="23">
        <v>0.1</v>
      </c>
      <c r="K1131" s="4">
        <v>2057.89</v>
      </c>
      <c r="L1131" s="4">
        <v>1541.34</v>
      </c>
      <c r="M1131" s="4">
        <v>516.54999999999995</v>
      </c>
      <c r="N1131" t="s">
        <v>25</v>
      </c>
      <c r="O1131" s="7">
        <v>37</v>
      </c>
      <c r="P1131" s="2">
        <v>45681.541666666664</v>
      </c>
      <c r="Q1131" t="s">
        <v>65</v>
      </c>
      <c r="R1131">
        <v>1</v>
      </c>
      <c r="S1131" t="s">
        <v>55</v>
      </c>
      <c r="T1131">
        <f>IF(orders[[#This Row],[Status]]="Completed",1,0)</f>
        <v>1</v>
      </c>
      <c r="U1131">
        <f>IF(orders[[#This Row],[Status]]="Pending",1,0)</f>
        <v>0</v>
      </c>
      <c r="V1131">
        <f>IF(orders[[#This Row],[Status]]="Delayed",1,0)</f>
        <v>0</v>
      </c>
      <c r="W1131">
        <f>IF(orders[[#This Row],[Status]]="Cancelled",1,0)</f>
        <v>0</v>
      </c>
    </row>
    <row r="1132" spans="1:23" x14ac:dyDescent="0.35">
      <c r="A1132" t="s">
        <v>1511</v>
      </c>
      <c r="B1132" s="1">
        <v>45960</v>
      </c>
      <c r="C1132" t="s">
        <v>1320</v>
      </c>
      <c r="D1132" t="s">
        <v>149</v>
      </c>
      <c r="E1132" t="s">
        <v>92</v>
      </c>
      <c r="F1132" t="s">
        <v>32</v>
      </c>
      <c r="G1132" t="s">
        <v>33</v>
      </c>
      <c r="H1132" s="7">
        <v>5</v>
      </c>
      <c r="I1132" s="4">
        <v>17745.45</v>
      </c>
      <c r="J1132" s="23">
        <v>0.05</v>
      </c>
      <c r="K1132" s="4">
        <v>16858.18</v>
      </c>
      <c r="L1132" s="4">
        <v>13739.56</v>
      </c>
      <c r="M1132" s="4">
        <v>3118.62</v>
      </c>
      <c r="N1132" t="s">
        <v>25</v>
      </c>
      <c r="O1132" s="7">
        <v>29</v>
      </c>
      <c r="P1132" s="2">
        <v>45961.208333333336</v>
      </c>
      <c r="Q1132" t="s">
        <v>116</v>
      </c>
      <c r="R1132">
        <v>10</v>
      </c>
      <c r="S1132" t="s">
        <v>35</v>
      </c>
      <c r="T1132">
        <f>IF(orders[[#This Row],[Status]]="Completed",1,0)</f>
        <v>1</v>
      </c>
      <c r="U1132">
        <f>IF(orders[[#This Row],[Status]]="Pending",1,0)</f>
        <v>0</v>
      </c>
      <c r="V1132">
        <f>IF(orders[[#This Row],[Status]]="Delayed",1,0)</f>
        <v>0</v>
      </c>
      <c r="W1132">
        <f>IF(orders[[#This Row],[Status]]="Cancelled",1,0)</f>
        <v>0</v>
      </c>
    </row>
    <row r="1133" spans="1:23" x14ac:dyDescent="0.35">
      <c r="A1133" t="s">
        <v>1512</v>
      </c>
      <c r="B1133" s="1">
        <v>46003</v>
      </c>
      <c r="C1133" t="s">
        <v>385</v>
      </c>
      <c r="D1133" t="s">
        <v>45</v>
      </c>
      <c r="E1133" t="s">
        <v>31</v>
      </c>
      <c r="F1133" t="s">
        <v>39</v>
      </c>
      <c r="G1133" t="s">
        <v>93</v>
      </c>
      <c r="H1133" s="7">
        <v>6</v>
      </c>
      <c r="I1133" s="4">
        <v>34851.839999999997</v>
      </c>
      <c r="J1133" s="23">
        <v>0.2</v>
      </c>
      <c r="K1133" s="4">
        <v>27881.47</v>
      </c>
      <c r="L1133" s="4">
        <v>22619.1</v>
      </c>
      <c r="M1133" s="4">
        <v>5262.37</v>
      </c>
      <c r="N1133" t="s">
        <v>25</v>
      </c>
      <c r="O1133" s="7">
        <v>34</v>
      </c>
      <c r="P1133" s="2">
        <v>46004.416666666664</v>
      </c>
      <c r="Q1133" t="s">
        <v>34</v>
      </c>
      <c r="R1133">
        <v>12</v>
      </c>
      <c r="S1133" t="s">
        <v>35</v>
      </c>
      <c r="T1133">
        <f>IF(orders[[#This Row],[Status]]="Completed",1,0)</f>
        <v>1</v>
      </c>
      <c r="U1133">
        <f>IF(orders[[#This Row],[Status]]="Pending",1,0)</f>
        <v>0</v>
      </c>
      <c r="V1133">
        <f>IF(orders[[#This Row],[Status]]="Delayed",1,0)</f>
        <v>0</v>
      </c>
      <c r="W1133">
        <f>IF(orders[[#This Row],[Status]]="Cancelled",1,0)</f>
        <v>0</v>
      </c>
    </row>
    <row r="1134" spans="1:23" x14ac:dyDescent="0.35">
      <c r="A1134" t="s">
        <v>1513</v>
      </c>
      <c r="B1134" s="1">
        <v>45959</v>
      </c>
      <c r="C1134" t="s">
        <v>385</v>
      </c>
      <c r="D1134" t="s">
        <v>45</v>
      </c>
      <c r="E1134" t="s">
        <v>31</v>
      </c>
      <c r="F1134" t="s">
        <v>72</v>
      </c>
      <c r="G1134" t="s">
        <v>104</v>
      </c>
      <c r="H1134" s="7">
        <v>1</v>
      </c>
      <c r="I1134" s="4">
        <v>2043.23</v>
      </c>
      <c r="J1134" s="23">
        <v>0.05</v>
      </c>
      <c r="K1134" s="4">
        <v>1941.07</v>
      </c>
      <c r="L1134" s="4">
        <v>1191.32</v>
      </c>
      <c r="M1134" s="4">
        <v>749.75</v>
      </c>
      <c r="N1134" t="s">
        <v>85</v>
      </c>
      <c r="O1134" s="7">
        <v>76</v>
      </c>
      <c r="P1134" s="2">
        <v>45962.166666666664</v>
      </c>
      <c r="Q1134" t="s">
        <v>116</v>
      </c>
      <c r="R1134">
        <v>10</v>
      </c>
      <c r="S1134" t="s">
        <v>35</v>
      </c>
      <c r="T1134">
        <f>IF(orders[[#This Row],[Status]]="Completed",1,0)</f>
        <v>0</v>
      </c>
      <c r="U1134">
        <f>IF(orders[[#This Row],[Status]]="Pending",1,0)</f>
        <v>0</v>
      </c>
      <c r="V1134">
        <f>IF(orders[[#This Row],[Status]]="Delayed",1,0)</f>
        <v>1</v>
      </c>
      <c r="W1134">
        <f>IF(orders[[#This Row],[Status]]="Cancelled",1,0)</f>
        <v>0</v>
      </c>
    </row>
    <row r="1135" spans="1:23" x14ac:dyDescent="0.35">
      <c r="A1135" t="s">
        <v>1514</v>
      </c>
      <c r="B1135" s="1">
        <v>46020</v>
      </c>
      <c r="C1135" t="s">
        <v>214</v>
      </c>
      <c r="D1135" t="s">
        <v>149</v>
      </c>
      <c r="E1135" t="s">
        <v>22</v>
      </c>
      <c r="F1135" t="s">
        <v>83</v>
      </c>
      <c r="G1135" t="s">
        <v>155</v>
      </c>
      <c r="H1135" s="7">
        <v>6</v>
      </c>
      <c r="I1135" s="4">
        <v>31059.24</v>
      </c>
      <c r="J1135" s="23">
        <v>0.05</v>
      </c>
      <c r="K1135" s="4">
        <v>29506.28</v>
      </c>
      <c r="L1135" s="4">
        <v>22732.080000000002</v>
      </c>
      <c r="M1135" s="4">
        <v>6774.2</v>
      </c>
      <c r="N1135" t="s">
        <v>25</v>
      </c>
      <c r="O1135" s="7">
        <v>33</v>
      </c>
      <c r="P1135" s="2">
        <v>46021.375</v>
      </c>
      <c r="Q1135" t="s">
        <v>34</v>
      </c>
      <c r="R1135">
        <v>12</v>
      </c>
      <c r="S1135" t="s">
        <v>35</v>
      </c>
      <c r="T1135">
        <f>IF(orders[[#This Row],[Status]]="Completed",1,0)</f>
        <v>1</v>
      </c>
      <c r="U1135">
        <f>IF(orders[[#This Row],[Status]]="Pending",1,0)</f>
        <v>0</v>
      </c>
      <c r="V1135">
        <f>IF(orders[[#This Row],[Status]]="Delayed",1,0)</f>
        <v>0</v>
      </c>
      <c r="W1135">
        <f>IF(orders[[#This Row],[Status]]="Cancelled",1,0)</f>
        <v>0</v>
      </c>
    </row>
    <row r="1136" spans="1:23" x14ac:dyDescent="0.35">
      <c r="A1136" t="s">
        <v>1515</v>
      </c>
      <c r="B1136" s="1">
        <v>45875</v>
      </c>
      <c r="C1136" t="s">
        <v>299</v>
      </c>
      <c r="D1136" t="s">
        <v>38</v>
      </c>
      <c r="E1136" t="s">
        <v>78</v>
      </c>
      <c r="F1136" t="s">
        <v>72</v>
      </c>
      <c r="G1136" t="s">
        <v>119</v>
      </c>
      <c r="H1136" s="7">
        <v>5</v>
      </c>
      <c r="I1136" s="4">
        <v>29868.45</v>
      </c>
      <c r="J1136" s="23">
        <v>0</v>
      </c>
      <c r="K1136" s="4">
        <v>29868.45</v>
      </c>
      <c r="L1136" s="4">
        <v>17348.919999999998</v>
      </c>
      <c r="M1136" s="4">
        <v>12519.53</v>
      </c>
      <c r="N1136" t="s">
        <v>25</v>
      </c>
      <c r="O1136" s="7">
        <v>23</v>
      </c>
      <c r="P1136" s="2">
        <v>45875.958333333336</v>
      </c>
      <c r="Q1136" t="s">
        <v>80</v>
      </c>
      <c r="R1136">
        <v>8</v>
      </c>
      <c r="S1136" t="s">
        <v>42</v>
      </c>
      <c r="T1136">
        <f>IF(orders[[#This Row],[Status]]="Completed",1,0)</f>
        <v>1</v>
      </c>
      <c r="U1136">
        <f>IF(orders[[#This Row],[Status]]="Pending",1,0)</f>
        <v>0</v>
      </c>
      <c r="V1136">
        <f>IF(orders[[#This Row],[Status]]="Delayed",1,0)</f>
        <v>0</v>
      </c>
      <c r="W1136">
        <f>IF(orders[[#This Row],[Status]]="Cancelled",1,0)</f>
        <v>0</v>
      </c>
    </row>
    <row r="1137" spans="1:23" x14ac:dyDescent="0.35">
      <c r="A1137" t="s">
        <v>1516</v>
      </c>
      <c r="B1137" s="1">
        <v>45798</v>
      </c>
      <c r="C1137" t="s">
        <v>214</v>
      </c>
      <c r="D1137" t="s">
        <v>63</v>
      </c>
      <c r="E1137" t="s">
        <v>46</v>
      </c>
      <c r="F1137" t="s">
        <v>39</v>
      </c>
      <c r="G1137" t="s">
        <v>47</v>
      </c>
      <c r="H1137" s="7">
        <v>3</v>
      </c>
      <c r="I1137" s="4">
        <v>2716.92</v>
      </c>
      <c r="J1137" s="23">
        <v>0.1</v>
      </c>
      <c r="K1137" s="4">
        <v>2445.23</v>
      </c>
      <c r="L1137" s="4">
        <v>1754.67</v>
      </c>
      <c r="M1137" s="4">
        <v>690.56</v>
      </c>
      <c r="N1137" t="s">
        <v>98</v>
      </c>
      <c r="O1137" s="7">
        <v>16</v>
      </c>
      <c r="P1137" s="2">
        <v>45798.666666666664</v>
      </c>
      <c r="Q1137" t="s">
        <v>74</v>
      </c>
      <c r="R1137">
        <v>5</v>
      </c>
      <c r="S1137" t="s">
        <v>27</v>
      </c>
      <c r="T1137">
        <f>IF(orders[[#This Row],[Status]]="Completed",1,0)</f>
        <v>0</v>
      </c>
      <c r="U1137">
        <f>IF(orders[[#This Row],[Status]]="Pending",1,0)</f>
        <v>1</v>
      </c>
      <c r="V1137">
        <f>IF(orders[[#This Row],[Status]]="Delayed",1,0)</f>
        <v>0</v>
      </c>
      <c r="W1137">
        <f>IF(orders[[#This Row],[Status]]="Cancelled",1,0)</f>
        <v>0</v>
      </c>
    </row>
    <row r="1138" spans="1:23" x14ac:dyDescent="0.35">
      <c r="A1138" t="s">
        <v>1517</v>
      </c>
      <c r="B1138" s="1">
        <v>45761</v>
      </c>
      <c r="C1138" t="s">
        <v>128</v>
      </c>
      <c r="D1138" t="s">
        <v>77</v>
      </c>
      <c r="E1138" t="s">
        <v>22</v>
      </c>
      <c r="F1138" t="s">
        <v>83</v>
      </c>
      <c r="G1138" t="s">
        <v>182</v>
      </c>
      <c r="H1138" s="7">
        <v>1</v>
      </c>
      <c r="I1138" s="4">
        <v>4304.37</v>
      </c>
      <c r="J1138" s="23">
        <v>0.15</v>
      </c>
      <c r="K1138" s="4">
        <v>3658.71</v>
      </c>
      <c r="L1138" s="4">
        <v>2208.17</v>
      </c>
      <c r="M1138" s="4">
        <v>1450.54</v>
      </c>
      <c r="N1138" t="s">
        <v>25</v>
      </c>
      <c r="O1138" s="7">
        <v>32</v>
      </c>
      <c r="P1138" s="2">
        <v>45762.333333333336</v>
      </c>
      <c r="Q1138" t="s">
        <v>26</v>
      </c>
      <c r="R1138">
        <v>4</v>
      </c>
      <c r="S1138" t="s">
        <v>27</v>
      </c>
      <c r="T1138">
        <f>IF(orders[[#This Row],[Status]]="Completed",1,0)</f>
        <v>1</v>
      </c>
      <c r="U1138">
        <f>IF(orders[[#This Row],[Status]]="Pending",1,0)</f>
        <v>0</v>
      </c>
      <c r="V1138">
        <f>IF(orders[[#This Row],[Status]]="Delayed",1,0)</f>
        <v>0</v>
      </c>
      <c r="W1138">
        <f>IF(orders[[#This Row],[Status]]="Cancelled",1,0)</f>
        <v>0</v>
      </c>
    </row>
    <row r="1139" spans="1:23" x14ac:dyDescent="0.35">
      <c r="A1139" t="s">
        <v>1518</v>
      </c>
      <c r="B1139" s="1">
        <v>45867</v>
      </c>
      <c r="C1139" t="s">
        <v>221</v>
      </c>
      <c r="D1139" t="s">
        <v>58</v>
      </c>
      <c r="E1139" t="s">
        <v>59</v>
      </c>
      <c r="F1139" t="s">
        <v>72</v>
      </c>
      <c r="G1139" t="s">
        <v>73</v>
      </c>
      <c r="H1139" s="7">
        <v>4</v>
      </c>
      <c r="I1139" s="4">
        <v>9386.8799999999992</v>
      </c>
      <c r="J1139" s="23">
        <v>0</v>
      </c>
      <c r="K1139" s="4">
        <v>9386.8799999999992</v>
      </c>
      <c r="L1139" s="4">
        <v>6452.5</v>
      </c>
      <c r="M1139" s="4">
        <v>2934.38</v>
      </c>
      <c r="N1139" t="s">
        <v>48</v>
      </c>
      <c r="O1139" s="7">
        <v>11</v>
      </c>
      <c r="P1139" s="2">
        <v>45867.458333333336</v>
      </c>
      <c r="Q1139" t="s">
        <v>60</v>
      </c>
      <c r="R1139">
        <v>7</v>
      </c>
      <c r="S1139" t="s">
        <v>42</v>
      </c>
      <c r="T1139">
        <f>IF(orders[[#This Row],[Status]]="Completed",1,0)</f>
        <v>0</v>
      </c>
      <c r="U1139">
        <f>IF(orders[[#This Row],[Status]]="Pending",1,0)</f>
        <v>0</v>
      </c>
      <c r="V1139">
        <f>IF(orders[[#This Row],[Status]]="Delayed",1,0)</f>
        <v>0</v>
      </c>
      <c r="W1139">
        <f>IF(orders[[#This Row],[Status]]="Cancelled",1,0)</f>
        <v>1</v>
      </c>
    </row>
    <row r="1140" spans="1:23" x14ac:dyDescent="0.35">
      <c r="A1140" t="s">
        <v>1519</v>
      </c>
      <c r="B1140" s="1">
        <v>45768</v>
      </c>
      <c r="C1140" t="s">
        <v>1050</v>
      </c>
      <c r="D1140" t="s">
        <v>63</v>
      </c>
      <c r="E1140" t="s">
        <v>22</v>
      </c>
      <c r="F1140" t="s">
        <v>83</v>
      </c>
      <c r="G1140" t="s">
        <v>182</v>
      </c>
      <c r="H1140" s="7">
        <v>2</v>
      </c>
      <c r="I1140" s="4">
        <v>12397.26</v>
      </c>
      <c r="J1140" s="23">
        <v>0.05</v>
      </c>
      <c r="K1140" s="4">
        <v>11777.4</v>
      </c>
      <c r="L1140" s="4">
        <v>9714.99</v>
      </c>
      <c r="M1140" s="4">
        <v>2062.41</v>
      </c>
      <c r="N1140" t="s">
        <v>25</v>
      </c>
      <c r="O1140" s="7">
        <v>41</v>
      </c>
      <c r="P1140" s="2">
        <v>45769.708333333336</v>
      </c>
      <c r="Q1140" t="s">
        <v>26</v>
      </c>
      <c r="R1140">
        <v>4</v>
      </c>
      <c r="S1140" t="s">
        <v>27</v>
      </c>
      <c r="T1140">
        <f>IF(orders[[#This Row],[Status]]="Completed",1,0)</f>
        <v>1</v>
      </c>
      <c r="U1140">
        <f>IF(orders[[#This Row],[Status]]="Pending",1,0)</f>
        <v>0</v>
      </c>
      <c r="V1140">
        <f>IF(orders[[#This Row],[Status]]="Delayed",1,0)</f>
        <v>0</v>
      </c>
      <c r="W1140">
        <f>IF(orders[[#This Row],[Status]]="Cancelled",1,0)</f>
        <v>0</v>
      </c>
    </row>
    <row r="1141" spans="1:23" x14ac:dyDescent="0.35">
      <c r="A1141" t="s">
        <v>1520</v>
      </c>
      <c r="B1141" s="1">
        <v>45761</v>
      </c>
      <c r="C1141" t="s">
        <v>692</v>
      </c>
      <c r="D1141" t="s">
        <v>45</v>
      </c>
      <c r="E1141" t="s">
        <v>113</v>
      </c>
      <c r="F1141" t="s">
        <v>32</v>
      </c>
      <c r="G1141" t="s">
        <v>79</v>
      </c>
      <c r="H1141" s="7">
        <v>4</v>
      </c>
      <c r="I1141" s="4">
        <v>6931.16</v>
      </c>
      <c r="J1141" s="23">
        <v>0.15</v>
      </c>
      <c r="K1141" s="4">
        <v>5891.49</v>
      </c>
      <c r="L1141" s="4">
        <v>5159.5600000000004</v>
      </c>
      <c r="M1141" s="4">
        <v>731.93</v>
      </c>
      <c r="N1141" t="s">
        <v>25</v>
      </c>
      <c r="O1141" s="7">
        <v>47</v>
      </c>
      <c r="P1141" s="2">
        <v>45762.958333333336</v>
      </c>
      <c r="Q1141" t="s">
        <v>26</v>
      </c>
      <c r="R1141">
        <v>4</v>
      </c>
      <c r="S1141" t="s">
        <v>27</v>
      </c>
      <c r="T1141">
        <f>IF(orders[[#This Row],[Status]]="Completed",1,0)</f>
        <v>1</v>
      </c>
      <c r="U1141">
        <f>IF(orders[[#This Row],[Status]]="Pending",1,0)</f>
        <v>0</v>
      </c>
      <c r="V1141">
        <f>IF(orders[[#This Row],[Status]]="Delayed",1,0)</f>
        <v>0</v>
      </c>
      <c r="W1141">
        <f>IF(orders[[#This Row],[Status]]="Cancelled",1,0)</f>
        <v>0</v>
      </c>
    </row>
    <row r="1142" spans="1:23" x14ac:dyDescent="0.35">
      <c r="A1142" t="s">
        <v>1521</v>
      </c>
      <c r="B1142" s="1">
        <v>45973</v>
      </c>
      <c r="C1142" t="s">
        <v>379</v>
      </c>
      <c r="D1142" t="s">
        <v>77</v>
      </c>
      <c r="E1142" t="s">
        <v>78</v>
      </c>
      <c r="F1142" t="s">
        <v>72</v>
      </c>
      <c r="G1142" t="s">
        <v>73</v>
      </c>
      <c r="H1142" s="7">
        <v>2</v>
      </c>
      <c r="I1142" s="4">
        <v>15200.38</v>
      </c>
      <c r="J1142" s="23">
        <v>0.05</v>
      </c>
      <c r="K1142" s="4">
        <v>14440.36</v>
      </c>
      <c r="L1142" s="4">
        <v>9457.3799999999992</v>
      </c>
      <c r="M1142" s="4">
        <v>4982.9799999999996</v>
      </c>
      <c r="N1142" t="s">
        <v>25</v>
      </c>
      <c r="O1142" s="7">
        <v>28</v>
      </c>
      <c r="P1142" s="2">
        <v>45974.166666666664</v>
      </c>
      <c r="Q1142" t="s">
        <v>86</v>
      </c>
      <c r="R1142">
        <v>11</v>
      </c>
      <c r="S1142" t="s">
        <v>35</v>
      </c>
      <c r="T1142">
        <f>IF(orders[[#This Row],[Status]]="Completed",1,0)</f>
        <v>1</v>
      </c>
      <c r="U1142">
        <f>IF(orders[[#This Row],[Status]]="Pending",1,0)</f>
        <v>0</v>
      </c>
      <c r="V1142">
        <f>IF(orders[[#This Row],[Status]]="Delayed",1,0)</f>
        <v>0</v>
      </c>
      <c r="W1142">
        <f>IF(orders[[#This Row],[Status]]="Cancelled",1,0)</f>
        <v>0</v>
      </c>
    </row>
    <row r="1143" spans="1:23" x14ac:dyDescent="0.35">
      <c r="A1143" t="s">
        <v>1522</v>
      </c>
      <c r="B1143" s="1">
        <v>45828</v>
      </c>
      <c r="C1143" t="s">
        <v>97</v>
      </c>
      <c r="D1143" t="s">
        <v>21</v>
      </c>
      <c r="E1143" t="s">
        <v>59</v>
      </c>
      <c r="F1143" t="s">
        <v>83</v>
      </c>
      <c r="G1143" t="s">
        <v>84</v>
      </c>
      <c r="H1143" s="7">
        <v>7</v>
      </c>
      <c r="I1143" s="4">
        <v>26238.52</v>
      </c>
      <c r="J1143" s="23">
        <v>0.05</v>
      </c>
      <c r="K1143" s="4">
        <v>24926.59</v>
      </c>
      <c r="L1143" s="4">
        <v>18085.37</v>
      </c>
      <c r="M1143" s="4">
        <v>6841.22</v>
      </c>
      <c r="N1143" t="s">
        <v>25</v>
      </c>
      <c r="O1143" s="7">
        <v>12</v>
      </c>
      <c r="P1143" s="2">
        <v>45828.5</v>
      </c>
      <c r="Q1143" t="s">
        <v>99</v>
      </c>
      <c r="R1143">
        <v>6</v>
      </c>
      <c r="S1143" t="s">
        <v>27</v>
      </c>
      <c r="T1143">
        <f>IF(orders[[#This Row],[Status]]="Completed",1,0)</f>
        <v>1</v>
      </c>
      <c r="U1143">
        <f>IF(orders[[#This Row],[Status]]="Pending",1,0)</f>
        <v>0</v>
      </c>
      <c r="V1143">
        <f>IF(orders[[#This Row],[Status]]="Delayed",1,0)</f>
        <v>0</v>
      </c>
      <c r="W1143">
        <f>IF(orders[[#This Row],[Status]]="Cancelled",1,0)</f>
        <v>0</v>
      </c>
    </row>
    <row r="1144" spans="1:23" x14ac:dyDescent="0.35">
      <c r="A1144" t="s">
        <v>1523</v>
      </c>
      <c r="B1144" s="1">
        <v>46013</v>
      </c>
      <c r="C1144" t="s">
        <v>541</v>
      </c>
      <c r="D1144" t="s">
        <v>30</v>
      </c>
      <c r="E1144" t="s">
        <v>78</v>
      </c>
      <c r="F1144" t="s">
        <v>83</v>
      </c>
      <c r="G1144" t="s">
        <v>107</v>
      </c>
      <c r="H1144" s="7">
        <v>6</v>
      </c>
      <c r="I1144" s="4">
        <v>10819.98</v>
      </c>
      <c r="J1144" s="23">
        <v>0.1</v>
      </c>
      <c r="K1144" s="4">
        <v>9737.98</v>
      </c>
      <c r="L1144" s="4">
        <v>6998.96</v>
      </c>
      <c r="M1144" s="4">
        <v>2739.02</v>
      </c>
      <c r="N1144" t="s">
        <v>98</v>
      </c>
      <c r="O1144" s="7">
        <v>8</v>
      </c>
      <c r="P1144" s="2">
        <v>46013.333333333336</v>
      </c>
      <c r="Q1144" t="s">
        <v>34</v>
      </c>
      <c r="R1144">
        <v>12</v>
      </c>
      <c r="S1144" t="s">
        <v>35</v>
      </c>
      <c r="T1144">
        <f>IF(orders[[#This Row],[Status]]="Completed",1,0)</f>
        <v>0</v>
      </c>
      <c r="U1144">
        <f>IF(orders[[#This Row],[Status]]="Pending",1,0)</f>
        <v>1</v>
      </c>
      <c r="V1144">
        <f>IF(orders[[#This Row],[Status]]="Delayed",1,0)</f>
        <v>0</v>
      </c>
      <c r="W1144">
        <f>IF(orders[[#This Row],[Status]]="Cancelled",1,0)</f>
        <v>0</v>
      </c>
    </row>
    <row r="1145" spans="1:23" x14ac:dyDescent="0.35">
      <c r="A1145" t="s">
        <v>1524</v>
      </c>
      <c r="B1145" s="1">
        <v>45981</v>
      </c>
      <c r="C1145" t="s">
        <v>238</v>
      </c>
      <c r="D1145" t="s">
        <v>51</v>
      </c>
      <c r="E1145" t="s">
        <v>92</v>
      </c>
      <c r="F1145" t="s">
        <v>83</v>
      </c>
      <c r="G1145" t="s">
        <v>84</v>
      </c>
      <c r="H1145" s="7">
        <v>1</v>
      </c>
      <c r="I1145" s="4">
        <v>3807.48</v>
      </c>
      <c r="J1145" s="23">
        <v>0</v>
      </c>
      <c r="K1145" s="4">
        <v>3807.48</v>
      </c>
      <c r="L1145" s="4">
        <v>3293.29</v>
      </c>
      <c r="M1145" s="4">
        <v>514.19000000000005</v>
      </c>
      <c r="N1145" t="s">
        <v>48</v>
      </c>
      <c r="O1145" s="7">
        <v>18</v>
      </c>
      <c r="P1145" s="2">
        <v>45981.75</v>
      </c>
      <c r="Q1145" t="s">
        <v>86</v>
      </c>
      <c r="R1145">
        <v>11</v>
      </c>
      <c r="S1145" t="s">
        <v>35</v>
      </c>
      <c r="T1145">
        <f>IF(orders[[#This Row],[Status]]="Completed",1,0)</f>
        <v>0</v>
      </c>
      <c r="U1145">
        <f>IF(orders[[#This Row],[Status]]="Pending",1,0)</f>
        <v>0</v>
      </c>
      <c r="V1145">
        <f>IF(orders[[#This Row],[Status]]="Delayed",1,0)</f>
        <v>0</v>
      </c>
      <c r="W1145">
        <f>IF(orders[[#This Row],[Status]]="Cancelled",1,0)</f>
        <v>1</v>
      </c>
    </row>
    <row r="1146" spans="1:23" x14ac:dyDescent="0.35">
      <c r="A1146" t="s">
        <v>1525</v>
      </c>
      <c r="B1146" s="1">
        <v>45790</v>
      </c>
      <c r="C1146" t="s">
        <v>229</v>
      </c>
      <c r="D1146" t="s">
        <v>149</v>
      </c>
      <c r="E1146" t="s">
        <v>22</v>
      </c>
      <c r="F1146" t="s">
        <v>72</v>
      </c>
      <c r="G1146" t="s">
        <v>129</v>
      </c>
      <c r="H1146" s="7">
        <v>1</v>
      </c>
      <c r="I1146" s="4">
        <v>3563.01</v>
      </c>
      <c r="J1146" s="23">
        <v>0.2</v>
      </c>
      <c r="K1146" s="4">
        <v>2850.41</v>
      </c>
      <c r="L1146" s="4">
        <v>2017.9</v>
      </c>
      <c r="M1146" s="4">
        <v>832.51</v>
      </c>
      <c r="N1146" t="s">
        <v>25</v>
      </c>
      <c r="O1146" s="7">
        <v>29</v>
      </c>
      <c r="P1146" s="2">
        <v>45791.208333333336</v>
      </c>
      <c r="Q1146" t="s">
        <v>74</v>
      </c>
      <c r="R1146">
        <v>5</v>
      </c>
      <c r="S1146" t="s">
        <v>27</v>
      </c>
      <c r="T1146">
        <f>IF(orders[[#This Row],[Status]]="Completed",1,0)</f>
        <v>1</v>
      </c>
      <c r="U1146">
        <f>IF(orders[[#This Row],[Status]]="Pending",1,0)</f>
        <v>0</v>
      </c>
      <c r="V1146">
        <f>IF(orders[[#This Row],[Status]]="Delayed",1,0)</f>
        <v>0</v>
      </c>
      <c r="W1146">
        <f>IF(orders[[#This Row],[Status]]="Cancelled",1,0)</f>
        <v>0</v>
      </c>
    </row>
    <row r="1147" spans="1:23" x14ac:dyDescent="0.35">
      <c r="A1147" t="s">
        <v>1526</v>
      </c>
      <c r="B1147" s="1">
        <v>45950</v>
      </c>
      <c r="C1147" t="s">
        <v>1194</v>
      </c>
      <c r="D1147" t="s">
        <v>149</v>
      </c>
      <c r="E1147" t="s">
        <v>22</v>
      </c>
      <c r="F1147" t="s">
        <v>23</v>
      </c>
      <c r="G1147" t="s">
        <v>69</v>
      </c>
      <c r="H1147" s="7">
        <v>7</v>
      </c>
      <c r="I1147" s="4">
        <v>26120.29</v>
      </c>
      <c r="J1147" s="23">
        <v>0</v>
      </c>
      <c r="K1147" s="4">
        <v>26120.29</v>
      </c>
      <c r="L1147" s="4">
        <v>20392.240000000002</v>
      </c>
      <c r="M1147" s="4">
        <v>5728.05</v>
      </c>
      <c r="N1147" t="s">
        <v>98</v>
      </c>
      <c r="O1147" s="7">
        <v>10</v>
      </c>
      <c r="P1147" s="2">
        <v>45950.416666666664</v>
      </c>
      <c r="Q1147" t="s">
        <v>116</v>
      </c>
      <c r="R1147">
        <v>10</v>
      </c>
      <c r="S1147" t="s">
        <v>35</v>
      </c>
      <c r="T1147">
        <f>IF(orders[[#This Row],[Status]]="Completed",1,0)</f>
        <v>0</v>
      </c>
      <c r="U1147">
        <f>IF(orders[[#This Row],[Status]]="Pending",1,0)</f>
        <v>1</v>
      </c>
      <c r="V1147">
        <f>IF(orders[[#This Row],[Status]]="Delayed",1,0)</f>
        <v>0</v>
      </c>
      <c r="W1147">
        <f>IF(orders[[#This Row],[Status]]="Cancelled",1,0)</f>
        <v>0</v>
      </c>
    </row>
    <row r="1148" spans="1:23" x14ac:dyDescent="0.35">
      <c r="A1148" t="s">
        <v>1527</v>
      </c>
      <c r="B1148" s="1">
        <v>45985</v>
      </c>
      <c r="C1148" t="s">
        <v>763</v>
      </c>
      <c r="D1148" t="s">
        <v>51</v>
      </c>
      <c r="E1148" t="s">
        <v>46</v>
      </c>
      <c r="F1148" t="s">
        <v>72</v>
      </c>
      <c r="G1148" t="s">
        <v>104</v>
      </c>
      <c r="H1148" s="7">
        <v>2</v>
      </c>
      <c r="I1148" s="4">
        <v>10078.879999999999</v>
      </c>
      <c r="J1148" s="23">
        <v>0.15</v>
      </c>
      <c r="K1148" s="4">
        <v>8567.0499999999993</v>
      </c>
      <c r="L1148" s="4">
        <v>7317.89</v>
      </c>
      <c r="M1148" s="4">
        <v>1249.1600000000001</v>
      </c>
      <c r="N1148" t="s">
        <v>25</v>
      </c>
      <c r="O1148" s="7">
        <v>19</v>
      </c>
      <c r="P1148" s="2">
        <v>45985.791666666664</v>
      </c>
      <c r="Q1148" t="s">
        <v>86</v>
      </c>
      <c r="R1148">
        <v>11</v>
      </c>
      <c r="S1148" t="s">
        <v>35</v>
      </c>
      <c r="T1148">
        <f>IF(orders[[#This Row],[Status]]="Completed",1,0)</f>
        <v>1</v>
      </c>
      <c r="U1148">
        <f>IF(orders[[#This Row],[Status]]="Pending",1,0)</f>
        <v>0</v>
      </c>
      <c r="V1148">
        <f>IF(orders[[#This Row],[Status]]="Delayed",1,0)</f>
        <v>0</v>
      </c>
      <c r="W1148">
        <f>IF(orders[[#This Row],[Status]]="Cancelled",1,0)</f>
        <v>0</v>
      </c>
    </row>
    <row r="1149" spans="1:23" x14ac:dyDescent="0.35">
      <c r="A1149" t="s">
        <v>1528</v>
      </c>
      <c r="B1149" s="1">
        <v>45784</v>
      </c>
      <c r="C1149" t="s">
        <v>1022</v>
      </c>
      <c r="D1149" t="s">
        <v>30</v>
      </c>
      <c r="E1149" t="s">
        <v>22</v>
      </c>
      <c r="F1149" t="s">
        <v>39</v>
      </c>
      <c r="G1149" t="s">
        <v>40</v>
      </c>
      <c r="H1149" s="7">
        <v>3</v>
      </c>
      <c r="I1149" s="4">
        <v>13505.4</v>
      </c>
      <c r="J1149" s="23">
        <v>0.1</v>
      </c>
      <c r="K1149" s="4">
        <v>12154.86</v>
      </c>
      <c r="L1149" s="4">
        <v>8182.83</v>
      </c>
      <c r="M1149" s="4">
        <v>3972.03</v>
      </c>
      <c r="N1149" t="s">
        <v>25</v>
      </c>
      <c r="O1149" s="7">
        <v>40</v>
      </c>
      <c r="P1149" s="2">
        <v>45785.666666666664</v>
      </c>
      <c r="Q1149" t="s">
        <v>74</v>
      </c>
      <c r="R1149">
        <v>5</v>
      </c>
      <c r="S1149" t="s">
        <v>27</v>
      </c>
      <c r="T1149">
        <f>IF(orders[[#This Row],[Status]]="Completed",1,0)</f>
        <v>1</v>
      </c>
      <c r="U1149">
        <f>IF(orders[[#This Row],[Status]]="Pending",1,0)</f>
        <v>0</v>
      </c>
      <c r="V1149">
        <f>IF(orders[[#This Row],[Status]]="Delayed",1,0)</f>
        <v>0</v>
      </c>
      <c r="W1149">
        <f>IF(orders[[#This Row],[Status]]="Cancelled",1,0)</f>
        <v>0</v>
      </c>
    </row>
    <row r="1150" spans="1:23" x14ac:dyDescent="0.35">
      <c r="A1150" t="s">
        <v>1529</v>
      </c>
      <c r="B1150" s="1">
        <v>45763</v>
      </c>
      <c r="C1150" t="s">
        <v>196</v>
      </c>
      <c r="D1150" t="s">
        <v>58</v>
      </c>
      <c r="E1150" t="s">
        <v>31</v>
      </c>
      <c r="F1150" t="s">
        <v>72</v>
      </c>
      <c r="G1150" t="s">
        <v>104</v>
      </c>
      <c r="H1150" s="7">
        <v>5</v>
      </c>
      <c r="I1150" s="4">
        <v>7003.2</v>
      </c>
      <c r="J1150" s="23">
        <v>0.2</v>
      </c>
      <c r="K1150" s="4">
        <v>5602.56</v>
      </c>
      <c r="L1150" s="4">
        <v>4749.29</v>
      </c>
      <c r="M1150" s="4">
        <v>853.27</v>
      </c>
      <c r="N1150" t="s">
        <v>85</v>
      </c>
      <c r="O1150" s="7">
        <v>54</v>
      </c>
      <c r="P1150" s="2">
        <v>45765.25</v>
      </c>
      <c r="Q1150" t="s">
        <v>26</v>
      </c>
      <c r="R1150">
        <v>4</v>
      </c>
      <c r="S1150" t="s">
        <v>27</v>
      </c>
      <c r="T1150">
        <f>IF(orders[[#This Row],[Status]]="Completed",1,0)</f>
        <v>0</v>
      </c>
      <c r="U1150">
        <f>IF(orders[[#This Row],[Status]]="Pending",1,0)</f>
        <v>0</v>
      </c>
      <c r="V1150">
        <f>IF(orders[[#This Row],[Status]]="Delayed",1,0)</f>
        <v>1</v>
      </c>
      <c r="W1150">
        <f>IF(orders[[#This Row],[Status]]="Cancelled",1,0)</f>
        <v>0</v>
      </c>
    </row>
    <row r="1151" spans="1:23" x14ac:dyDescent="0.35">
      <c r="A1151" t="s">
        <v>1530</v>
      </c>
      <c r="B1151" s="1">
        <v>45749</v>
      </c>
      <c r="C1151" t="s">
        <v>880</v>
      </c>
      <c r="D1151" t="s">
        <v>30</v>
      </c>
      <c r="E1151" t="s">
        <v>92</v>
      </c>
      <c r="F1151" t="s">
        <v>83</v>
      </c>
      <c r="G1151" t="s">
        <v>107</v>
      </c>
      <c r="H1151" s="7">
        <v>4</v>
      </c>
      <c r="I1151" s="4">
        <v>2790.36</v>
      </c>
      <c r="J1151" s="23">
        <v>0</v>
      </c>
      <c r="K1151" s="4">
        <v>2790.36</v>
      </c>
      <c r="L1151" s="4">
        <v>2379.5100000000002</v>
      </c>
      <c r="M1151" s="4">
        <v>410.85</v>
      </c>
      <c r="N1151" t="s">
        <v>25</v>
      </c>
      <c r="O1151" s="7">
        <v>27</v>
      </c>
      <c r="P1151" s="2">
        <v>45750.125</v>
      </c>
      <c r="Q1151" t="s">
        <v>26</v>
      </c>
      <c r="R1151">
        <v>4</v>
      </c>
      <c r="S1151" t="s">
        <v>27</v>
      </c>
      <c r="T1151">
        <f>IF(orders[[#This Row],[Status]]="Completed",1,0)</f>
        <v>1</v>
      </c>
      <c r="U1151">
        <f>IF(orders[[#This Row],[Status]]="Pending",1,0)</f>
        <v>0</v>
      </c>
      <c r="V1151">
        <f>IF(orders[[#This Row],[Status]]="Delayed",1,0)</f>
        <v>0</v>
      </c>
      <c r="W1151">
        <f>IF(orders[[#This Row],[Status]]="Cancelled",1,0)</f>
        <v>0</v>
      </c>
    </row>
    <row r="1152" spans="1:23" x14ac:dyDescent="0.35">
      <c r="A1152" t="s">
        <v>1531</v>
      </c>
      <c r="B1152" s="1">
        <v>45944</v>
      </c>
      <c r="C1152" t="s">
        <v>474</v>
      </c>
      <c r="D1152" t="s">
        <v>77</v>
      </c>
      <c r="E1152" t="s">
        <v>22</v>
      </c>
      <c r="F1152" t="s">
        <v>32</v>
      </c>
      <c r="G1152" t="s">
        <v>33</v>
      </c>
      <c r="H1152" s="7">
        <v>7</v>
      </c>
      <c r="I1152" s="4">
        <v>43684.34</v>
      </c>
      <c r="J1152" s="23">
        <v>0.1</v>
      </c>
      <c r="K1152" s="4">
        <v>39315.910000000003</v>
      </c>
      <c r="L1152" s="4">
        <v>33698.400000000001</v>
      </c>
      <c r="M1152" s="4">
        <v>5617.51</v>
      </c>
      <c r="N1152" t="s">
        <v>48</v>
      </c>
      <c r="O1152" s="7">
        <v>17</v>
      </c>
      <c r="P1152" s="2">
        <v>45944.708333333336</v>
      </c>
      <c r="Q1152" t="s">
        <v>116</v>
      </c>
      <c r="R1152">
        <v>10</v>
      </c>
      <c r="S1152" t="s">
        <v>35</v>
      </c>
      <c r="T1152">
        <f>IF(orders[[#This Row],[Status]]="Completed",1,0)</f>
        <v>0</v>
      </c>
      <c r="U1152">
        <f>IF(orders[[#This Row],[Status]]="Pending",1,0)</f>
        <v>0</v>
      </c>
      <c r="V1152">
        <f>IF(orders[[#This Row],[Status]]="Delayed",1,0)</f>
        <v>0</v>
      </c>
      <c r="W1152">
        <f>IF(orders[[#This Row],[Status]]="Cancelled",1,0)</f>
        <v>1</v>
      </c>
    </row>
    <row r="1153" spans="1:23" x14ac:dyDescent="0.35">
      <c r="A1153" t="s">
        <v>1532</v>
      </c>
      <c r="B1153" s="1">
        <v>45708</v>
      </c>
      <c r="C1153" t="s">
        <v>1080</v>
      </c>
      <c r="D1153" t="s">
        <v>30</v>
      </c>
      <c r="E1153" t="s">
        <v>52</v>
      </c>
      <c r="F1153" t="s">
        <v>72</v>
      </c>
      <c r="G1153" t="s">
        <v>73</v>
      </c>
      <c r="H1153" s="7">
        <v>6</v>
      </c>
      <c r="I1153" s="4">
        <v>28941.84</v>
      </c>
      <c r="J1153" s="23">
        <v>0.1</v>
      </c>
      <c r="K1153" s="4">
        <v>26047.66</v>
      </c>
      <c r="L1153" s="4">
        <v>16650.89</v>
      </c>
      <c r="M1153" s="4">
        <v>9396.77</v>
      </c>
      <c r="N1153" t="s">
        <v>25</v>
      </c>
      <c r="O1153" s="7">
        <v>23</v>
      </c>
      <c r="P1153" s="2">
        <v>45708.958333333336</v>
      </c>
      <c r="Q1153" t="s">
        <v>139</v>
      </c>
      <c r="R1153">
        <v>2</v>
      </c>
      <c r="S1153" t="s">
        <v>55</v>
      </c>
      <c r="T1153">
        <f>IF(orders[[#This Row],[Status]]="Completed",1,0)</f>
        <v>1</v>
      </c>
      <c r="U1153">
        <f>IF(orders[[#This Row],[Status]]="Pending",1,0)</f>
        <v>0</v>
      </c>
      <c r="V1153">
        <f>IF(orders[[#This Row],[Status]]="Delayed",1,0)</f>
        <v>0</v>
      </c>
      <c r="W1153">
        <f>IF(orders[[#This Row],[Status]]="Cancelled",1,0)</f>
        <v>0</v>
      </c>
    </row>
    <row r="1154" spans="1:23" x14ac:dyDescent="0.35">
      <c r="A1154" t="s">
        <v>1533</v>
      </c>
      <c r="B1154" s="1">
        <v>45686</v>
      </c>
      <c r="C1154" t="s">
        <v>787</v>
      </c>
      <c r="D1154" t="s">
        <v>77</v>
      </c>
      <c r="E1154" t="s">
        <v>52</v>
      </c>
      <c r="F1154" t="s">
        <v>72</v>
      </c>
      <c r="G1154" t="s">
        <v>104</v>
      </c>
      <c r="H1154" s="7">
        <v>7</v>
      </c>
      <c r="I1154" s="4">
        <v>22033.62</v>
      </c>
      <c r="J1154" s="23">
        <v>0.1</v>
      </c>
      <c r="K1154" s="4">
        <v>19830.259999999998</v>
      </c>
      <c r="L1154" s="4">
        <v>13526.56</v>
      </c>
      <c r="M1154" s="4">
        <v>6303.7</v>
      </c>
      <c r="N1154" t="s">
        <v>48</v>
      </c>
      <c r="O1154" s="7">
        <v>4</v>
      </c>
      <c r="P1154" s="2">
        <v>45686.166666666664</v>
      </c>
      <c r="Q1154" t="s">
        <v>65</v>
      </c>
      <c r="R1154">
        <v>1</v>
      </c>
      <c r="S1154" t="s">
        <v>55</v>
      </c>
      <c r="T1154">
        <f>IF(orders[[#This Row],[Status]]="Completed",1,0)</f>
        <v>0</v>
      </c>
      <c r="U1154">
        <f>IF(orders[[#This Row],[Status]]="Pending",1,0)</f>
        <v>0</v>
      </c>
      <c r="V1154">
        <f>IF(orders[[#This Row],[Status]]="Delayed",1,0)</f>
        <v>0</v>
      </c>
      <c r="W1154">
        <f>IF(orders[[#This Row],[Status]]="Cancelled",1,0)</f>
        <v>1</v>
      </c>
    </row>
    <row r="1155" spans="1:23" x14ac:dyDescent="0.35">
      <c r="A1155" t="s">
        <v>1534</v>
      </c>
      <c r="B1155" s="1">
        <v>45953</v>
      </c>
      <c r="C1155" t="s">
        <v>780</v>
      </c>
      <c r="D1155" t="s">
        <v>30</v>
      </c>
      <c r="E1155" t="s">
        <v>78</v>
      </c>
      <c r="F1155" t="s">
        <v>83</v>
      </c>
      <c r="G1155" t="s">
        <v>152</v>
      </c>
      <c r="H1155" s="7">
        <v>4</v>
      </c>
      <c r="I1155" s="4">
        <v>27599.16</v>
      </c>
      <c r="J1155" s="23">
        <v>0.1</v>
      </c>
      <c r="K1155" s="4">
        <v>24839.24</v>
      </c>
      <c r="L1155" s="4">
        <v>20796.169999999998</v>
      </c>
      <c r="M1155" s="4">
        <v>4043.07</v>
      </c>
      <c r="N1155" t="s">
        <v>85</v>
      </c>
      <c r="O1155" s="7">
        <v>63</v>
      </c>
      <c r="P1155" s="2">
        <v>45955.625</v>
      </c>
      <c r="Q1155" t="s">
        <v>116</v>
      </c>
      <c r="R1155">
        <v>10</v>
      </c>
      <c r="S1155" t="s">
        <v>35</v>
      </c>
      <c r="T1155">
        <f>IF(orders[[#This Row],[Status]]="Completed",1,0)</f>
        <v>0</v>
      </c>
      <c r="U1155">
        <f>IF(orders[[#This Row],[Status]]="Pending",1,0)</f>
        <v>0</v>
      </c>
      <c r="V1155">
        <f>IF(orders[[#This Row],[Status]]="Delayed",1,0)</f>
        <v>1</v>
      </c>
      <c r="W1155">
        <f>IF(orders[[#This Row],[Status]]="Cancelled",1,0)</f>
        <v>0</v>
      </c>
    </row>
    <row r="1156" spans="1:23" x14ac:dyDescent="0.35">
      <c r="A1156" t="s">
        <v>1535</v>
      </c>
      <c r="B1156" s="1">
        <v>45954</v>
      </c>
      <c r="C1156" t="s">
        <v>1165</v>
      </c>
      <c r="D1156" t="s">
        <v>58</v>
      </c>
      <c r="E1156" t="s">
        <v>92</v>
      </c>
      <c r="F1156" t="s">
        <v>32</v>
      </c>
      <c r="G1156" t="s">
        <v>64</v>
      </c>
      <c r="H1156" s="7">
        <v>4</v>
      </c>
      <c r="I1156" s="4">
        <v>13561.16</v>
      </c>
      <c r="J1156" s="23">
        <v>0.15</v>
      </c>
      <c r="K1156" s="4">
        <v>11526.99</v>
      </c>
      <c r="L1156" s="4">
        <v>7706.06</v>
      </c>
      <c r="M1156" s="4">
        <v>3820.93</v>
      </c>
      <c r="N1156" t="s">
        <v>85</v>
      </c>
      <c r="O1156" s="7">
        <v>79</v>
      </c>
      <c r="P1156" s="2">
        <v>45957.291666666664</v>
      </c>
      <c r="Q1156" t="s">
        <v>116</v>
      </c>
      <c r="R1156">
        <v>10</v>
      </c>
      <c r="S1156" t="s">
        <v>35</v>
      </c>
      <c r="T1156">
        <f>IF(orders[[#This Row],[Status]]="Completed",1,0)</f>
        <v>0</v>
      </c>
      <c r="U1156">
        <f>IF(orders[[#This Row],[Status]]="Pending",1,0)</f>
        <v>0</v>
      </c>
      <c r="V1156">
        <f>IF(orders[[#This Row],[Status]]="Delayed",1,0)</f>
        <v>1</v>
      </c>
      <c r="W1156">
        <f>IF(orders[[#This Row],[Status]]="Cancelled",1,0)</f>
        <v>0</v>
      </c>
    </row>
    <row r="1157" spans="1:23" x14ac:dyDescent="0.35">
      <c r="A1157" t="s">
        <v>1536</v>
      </c>
      <c r="B1157" s="1">
        <v>45871</v>
      </c>
      <c r="C1157" t="s">
        <v>498</v>
      </c>
      <c r="D1157" t="s">
        <v>58</v>
      </c>
      <c r="E1157" t="s">
        <v>22</v>
      </c>
      <c r="F1157" t="s">
        <v>32</v>
      </c>
      <c r="G1157" t="s">
        <v>64</v>
      </c>
      <c r="H1157" s="7">
        <v>6</v>
      </c>
      <c r="I1157" s="4">
        <v>40777.86</v>
      </c>
      <c r="J1157" s="23">
        <v>0.2</v>
      </c>
      <c r="K1157" s="4">
        <v>32622.29</v>
      </c>
      <c r="L1157" s="4">
        <v>24404.2</v>
      </c>
      <c r="M1157" s="4">
        <v>8218.09</v>
      </c>
      <c r="N1157" t="s">
        <v>25</v>
      </c>
      <c r="O1157" s="7">
        <v>32</v>
      </c>
      <c r="P1157" s="2">
        <v>45872.333333333336</v>
      </c>
      <c r="Q1157" t="s">
        <v>80</v>
      </c>
      <c r="R1157">
        <v>8</v>
      </c>
      <c r="S1157" t="s">
        <v>42</v>
      </c>
      <c r="T1157">
        <f>IF(orders[[#This Row],[Status]]="Completed",1,0)</f>
        <v>1</v>
      </c>
      <c r="U1157">
        <f>IF(orders[[#This Row],[Status]]="Pending",1,0)</f>
        <v>0</v>
      </c>
      <c r="V1157">
        <f>IF(orders[[#This Row],[Status]]="Delayed",1,0)</f>
        <v>0</v>
      </c>
      <c r="W1157">
        <f>IF(orders[[#This Row],[Status]]="Cancelled",1,0)</f>
        <v>0</v>
      </c>
    </row>
    <row r="1158" spans="1:23" x14ac:dyDescent="0.35">
      <c r="A1158" t="s">
        <v>1537</v>
      </c>
      <c r="B1158" s="1">
        <v>45924</v>
      </c>
      <c r="C1158" t="s">
        <v>192</v>
      </c>
      <c r="D1158" t="s">
        <v>45</v>
      </c>
      <c r="E1158" t="s">
        <v>46</v>
      </c>
      <c r="F1158" t="s">
        <v>39</v>
      </c>
      <c r="G1158" t="s">
        <v>40</v>
      </c>
      <c r="H1158" s="7">
        <v>6</v>
      </c>
      <c r="I1158" s="4">
        <v>16218.36</v>
      </c>
      <c r="J1158" s="23">
        <v>0</v>
      </c>
      <c r="K1158" s="4">
        <v>16218.36</v>
      </c>
      <c r="L1158" s="4">
        <v>9551.93</v>
      </c>
      <c r="M1158" s="4">
        <v>6666.43</v>
      </c>
      <c r="N1158" t="s">
        <v>25</v>
      </c>
      <c r="O1158" s="7">
        <v>34</v>
      </c>
      <c r="P1158" s="2">
        <v>45925.416666666664</v>
      </c>
      <c r="Q1158" t="s">
        <v>41</v>
      </c>
      <c r="R1158">
        <v>9</v>
      </c>
      <c r="S1158" t="s">
        <v>42</v>
      </c>
      <c r="T1158">
        <f>IF(orders[[#This Row],[Status]]="Completed",1,0)</f>
        <v>1</v>
      </c>
      <c r="U1158">
        <f>IF(orders[[#This Row],[Status]]="Pending",1,0)</f>
        <v>0</v>
      </c>
      <c r="V1158">
        <f>IF(orders[[#This Row],[Status]]="Delayed",1,0)</f>
        <v>0</v>
      </c>
      <c r="W1158">
        <f>IF(orders[[#This Row],[Status]]="Cancelled",1,0)</f>
        <v>0</v>
      </c>
    </row>
    <row r="1159" spans="1:23" x14ac:dyDescent="0.35">
      <c r="A1159" t="s">
        <v>1538</v>
      </c>
      <c r="B1159" s="1">
        <v>45914</v>
      </c>
      <c r="C1159" t="s">
        <v>240</v>
      </c>
      <c r="D1159" t="s">
        <v>51</v>
      </c>
      <c r="E1159" t="s">
        <v>113</v>
      </c>
      <c r="F1159" t="s">
        <v>72</v>
      </c>
      <c r="G1159" t="s">
        <v>104</v>
      </c>
      <c r="H1159" s="7">
        <v>1</v>
      </c>
      <c r="I1159" s="4">
        <v>758.26</v>
      </c>
      <c r="J1159" s="23">
        <v>0</v>
      </c>
      <c r="K1159" s="4">
        <v>758.26</v>
      </c>
      <c r="L1159" s="4">
        <v>431.12</v>
      </c>
      <c r="M1159" s="4">
        <v>327.14</v>
      </c>
      <c r="N1159" t="s">
        <v>98</v>
      </c>
      <c r="O1159" s="7">
        <v>15</v>
      </c>
      <c r="P1159" s="2">
        <v>45914.625</v>
      </c>
      <c r="Q1159" t="s">
        <v>41</v>
      </c>
      <c r="R1159">
        <v>9</v>
      </c>
      <c r="S1159" t="s">
        <v>42</v>
      </c>
      <c r="T1159">
        <f>IF(orders[[#This Row],[Status]]="Completed",1,0)</f>
        <v>0</v>
      </c>
      <c r="U1159">
        <f>IF(orders[[#This Row],[Status]]="Pending",1,0)</f>
        <v>1</v>
      </c>
      <c r="V1159">
        <f>IF(orders[[#This Row],[Status]]="Delayed",1,0)</f>
        <v>0</v>
      </c>
      <c r="W1159">
        <f>IF(orders[[#This Row],[Status]]="Cancelled",1,0)</f>
        <v>0</v>
      </c>
    </row>
    <row r="1160" spans="1:23" x14ac:dyDescent="0.35">
      <c r="A1160" t="s">
        <v>1539</v>
      </c>
      <c r="B1160" s="1">
        <v>45959</v>
      </c>
      <c r="C1160" t="s">
        <v>145</v>
      </c>
      <c r="D1160" t="s">
        <v>58</v>
      </c>
      <c r="E1160" t="s">
        <v>46</v>
      </c>
      <c r="F1160" t="s">
        <v>32</v>
      </c>
      <c r="G1160" t="s">
        <v>79</v>
      </c>
      <c r="H1160" s="7">
        <v>4</v>
      </c>
      <c r="I1160" s="4">
        <v>31750.16</v>
      </c>
      <c r="J1160" s="23">
        <v>0.15</v>
      </c>
      <c r="K1160" s="4">
        <v>26987.64</v>
      </c>
      <c r="L1160" s="4">
        <v>18512.39</v>
      </c>
      <c r="M1160" s="4">
        <v>8475.25</v>
      </c>
      <c r="N1160" t="s">
        <v>25</v>
      </c>
      <c r="O1160" s="7">
        <v>23</v>
      </c>
      <c r="P1160" s="2">
        <v>45959.958333333336</v>
      </c>
      <c r="Q1160" t="s">
        <v>116</v>
      </c>
      <c r="R1160">
        <v>10</v>
      </c>
      <c r="S1160" t="s">
        <v>35</v>
      </c>
      <c r="T1160">
        <f>IF(orders[[#This Row],[Status]]="Completed",1,0)</f>
        <v>1</v>
      </c>
      <c r="U1160">
        <f>IF(orders[[#This Row],[Status]]="Pending",1,0)</f>
        <v>0</v>
      </c>
      <c r="V1160">
        <f>IF(orders[[#This Row],[Status]]="Delayed",1,0)</f>
        <v>0</v>
      </c>
      <c r="W1160">
        <f>IF(orders[[#This Row],[Status]]="Cancelled",1,0)</f>
        <v>0</v>
      </c>
    </row>
    <row r="1161" spans="1:23" x14ac:dyDescent="0.35">
      <c r="A1161" t="s">
        <v>1540</v>
      </c>
      <c r="B1161" s="1">
        <v>45758</v>
      </c>
      <c r="C1161" t="s">
        <v>163</v>
      </c>
      <c r="D1161" t="s">
        <v>77</v>
      </c>
      <c r="E1161" t="s">
        <v>113</v>
      </c>
      <c r="F1161" t="s">
        <v>32</v>
      </c>
      <c r="G1161" t="s">
        <v>33</v>
      </c>
      <c r="H1161" s="7">
        <v>5</v>
      </c>
      <c r="I1161" s="4">
        <v>17222.5</v>
      </c>
      <c r="J1161" s="23">
        <v>0</v>
      </c>
      <c r="K1161" s="4">
        <v>17222.5</v>
      </c>
      <c r="L1161" s="4">
        <v>12762.6</v>
      </c>
      <c r="M1161" s="4">
        <v>4459.8999999999996</v>
      </c>
      <c r="N1161" t="s">
        <v>25</v>
      </c>
      <c r="O1161" s="7">
        <v>26</v>
      </c>
      <c r="P1161" s="2">
        <v>45759.083333333336</v>
      </c>
      <c r="Q1161" t="s">
        <v>26</v>
      </c>
      <c r="R1161">
        <v>4</v>
      </c>
      <c r="S1161" t="s">
        <v>27</v>
      </c>
      <c r="T1161">
        <f>IF(orders[[#This Row],[Status]]="Completed",1,0)</f>
        <v>1</v>
      </c>
      <c r="U1161">
        <f>IF(orders[[#This Row],[Status]]="Pending",1,0)</f>
        <v>0</v>
      </c>
      <c r="V1161">
        <f>IF(orders[[#This Row],[Status]]="Delayed",1,0)</f>
        <v>0</v>
      </c>
      <c r="W1161">
        <f>IF(orders[[#This Row],[Status]]="Cancelled",1,0)</f>
        <v>0</v>
      </c>
    </row>
    <row r="1162" spans="1:23" x14ac:dyDescent="0.35">
      <c r="A1162" t="s">
        <v>1541</v>
      </c>
      <c r="B1162" s="1">
        <v>46003</v>
      </c>
      <c r="C1162" t="s">
        <v>580</v>
      </c>
      <c r="D1162" t="s">
        <v>58</v>
      </c>
      <c r="E1162" t="s">
        <v>59</v>
      </c>
      <c r="F1162" t="s">
        <v>23</v>
      </c>
      <c r="G1162" t="s">
        <v>122</v>
      </c>
      <c r="H1162" s="7">
        <v>5</v>
      </c>
      <c r="I1162" s="4">
        <v>33844.9</v>
      </c>
      <c r="J1162" s="23">
        <v>0.25</v>
      </c>
      <c r="K1162" s="4">
        <v>25383.68</v>
      </c>
      <c r="L1162" s="4">
        <v>17250.509999999998</v>
      </c>
      <c r="M1162" s="4">
        <v>8133.17</v>
      </c>
      <c r="N1162" t="s">
        <v>85</v>
      </c>
      <c r="O1162" s="7">
        <v>63</v>
      </c>
      <c r="P1162" s="2">
        <v>46005.625</v>
      </c>
      <c r="Q1162" t="s">
        <v>34</v>
      </c>
      <c r="R1162">
        <v>12</v>
      </c>
      <c r="S1162" t="s">
        <v>35</v>
      </c>
      <c r="T1162">
        <f>IF(orders[[#This Row],[Status]]="Completed",1,0)</f>
        <v>0</v>
      </c>
      <c r="U1162">
        <f>IF(orders[[#This Row],[Status]]="Pending",1,0)</f>
        <v>0</v>
      </c>
      <c r="V1162">
        <f>IF(orders[[#This Row],[Status]]="Delayed",1,0)</f>
        <v>1</v>
      </c>
      <c r="W1162">
        <f>IF(orders[[#This Row],[Status]]="Cancelled",1,0)</f>
        <v>0</v>
      </c>
    </row>
    <row r="1163" spans="1:23" x14ac:dyDescent="0.35">
      <c r="A1163" t="s">
        <v>1542</v>
      </c>
      <c r="B1163" s="1">
        <v>45767</v>
      </c>
      <c r="C1163" t="s">
        <v>428</v>
      </c>
      <c r="D1163" t="s">
        <v>45</v>
      </c>
      <c r="E1163" t="s">
        <v>59</v>
      </c>
      <c r="F1163" t="s">
        <v>23</v>
      </c>
      <c r="G1163" t="s">
        <v>136</v>
      </c>
      <c r="H1163" s="7">
        <v>2</v>
      </c>
      <c r="I1163" s="4">
        <v>4961.7</v>
      </c>
      <c r="J1163" s="23">
        <v>0.1</v>
      </c>
      <c r="K1163" s="4">
        <v>4465.53</v>
      </c>
      <c r="L1163" s="4">
        <v>3307.41</v>
      </c>
      <c r="M1163" s="4">
        <v>1158.1199999999999</v>
      </c>
      <c r="N1163" t="s">
        <v>25</v>
      </c>
      <c r="O1163" s="7">
        <v>30</v>
      </c>
      <c r="P1163" s="2">
        <v>45768.25</v>
      </c>
      <c r="Q1163" t="s">
        <v>26</v>
      </c>
      <c r="R1163">
        <v>4</v>
      </c>
      <c r="S1163" t="s">
        <v>27</v>
      </c>
      <c r="T1163">
        <f>IF(orders[[#This Row],[Status]]="Completed",1,0)</f>
        <v>1</v>
      </c>
      <c r="U1163">
        <f>IF(orders[[#This Row],[Status]]="Pending",1,0)</f>
        <v>0</v>
      </c>
      <c r="V1163">
        <f>IF(orders[[#This Row],[Status]]="Delayed",1,0)</f>
        <v>0</v>
      </c>
      <c r="W1163">
        <f>IF(orders[[#This Row],[Status]]="Cancelled",1,0)</f>
        <v>0</v>
      </c>
    </row>
    <row r="1164" spans="1:23" x14ac:dyDescent="0.35">
      <c r="A1164" t="s">
        <v>1543</v>
      </c>
      <c r="B1164" s="1">
        <v>45839</v>
      </c>
      <c r="C1164" t="s">
        <v>277</v>
      </c>
      <c r="D1164" t="s">
        <v>149</v>
      </c>
      <c r="E1164" t="s">
        <v>46</v>
      </c>
      <c r="F1164" t="s">
        <v>32</v>
      </c>
      <c r="G1164" t="s">
        <v>64</v>
      </c>
      <c r="H1164" s="7">
        <v>7</v>
      </c>
      <c r="I1164" s="4">
        <v>38830.050000000003</v>
      </c>
      <c r="J1164" s="23">
        <v>0.1</v>
      </c>
      <c r="K1164" s="4">
        <v>34947.050000000003</v>
      </c>
      <c r="L1164" s="4">
        <v>25161.1</v>
      </c>
      <c r="M1164" s="4">
        <v>9785.9500000000007</v>
      </c>
      <c r="N1164" t="s">
        <v>85</v>
      </c>
      <c r="O1164" s="7">
        <v>60</v>
      </c>
      <c r="P1164" s="2">
        <v>45841.5</v>
      </c>
      <c r="Q1164" t="s">
        <v>60</v>
      </c>
      <c r="R1164">
        <v>7</v>
      </c>
      <c r="S1164" t="s">
        <v>42</v>
      </c>
      <c r="T1164">
        <f>IF(orders[[#This Row],[Status]]="Completed",1,0)</f>
        <v>0</v>
      </c>
      <c r="U1164">
        <f>IF(orders[[#This Row],[Status]]="Pending",1,0)</f>
        <v>0</v>
      </c>
      <c r="V1164">
        <f>IF(orders[[#This Row],[Status]]="Delayed",1,0)</f>
        <v>1</v>
      </c>
      <c r="W1164">
        <f>IF(orders[[#This Row],[Status]]="Cancelled",1,0)</f>
        <v>0</v>
      </c>
    </row>
    <row r="1165" spans="1:23" x14ac:dyDescent="0.35">
      <c r="A1165" t="s">
        <v>1544</v>
      </c>
      <c r="B1165" s="1">
        <v>45970</v>
      </c>
      <c r="C1165" t="s">
        <v>673</v>
      </c>
      <c r="D1165" t="s">
        <v>77</v>
      </c>
      <c r="E1165" t="s">
        <v>22</v>
      </c>
      <c r="F1165" t="s">
        <v>39</v>
      </c>
      <c r="G1165" t="s">
        <v>40</v>
      </c>
      <c r="H1165" s="7">
        <v>6</v>
      </c>
      <c r="I1165" s="4">
        <v>44652.9</v>
      </c>
      <c r="J1165" s="23">
        <v>0</v>
      </c>
      <c r="K1165" s="4">
        <v>44652.9</v>
      </c>
      <c r="L1165" s="4">
        <v>34663.300000000003</v>
      </c>
      <c r="M1165" s="4">
        <v>9989.6</v>
      </c>
      <c r="N1165" t="s">
        <v>25</v>
      </c>
      <c r="O1165" s="7">
        <v>24</v>
      </c>
      <c r="P1165" s="2">
        <v>45971</v>
      </c>
      <c r="Q1165" t="s">
        <v>86</v>
      </c>
      <c r="R1165">
        <v>11</v>
      </c>
      <c r="S1165" t="s">
        <v>35</v>
      </c>
      <c r="T1165">
        <f>IF(orders[[#This Row],[Status]]="Completed",1,0)</f>
        <v>1</v>
      </c>
      <c r="U1165">
        <f>IF(orders[[#This Row],[Status]]="Pending",1,0)</f>
        <v>0</v>
      </c>
      <c r="V1165">
        <f>IF(orders[[#This Row],[Status]]="Delayed",1,0)</f>
        <v>0</v>
      </c>
      <c r="W1165">
        <f>IF(orders[[#This Row],[Status]]="Cancelled",1,0)</f>
        <v>0</v>
      </c>
    </row>
    <row r="1166" spans="1:23" x14ac:dyDescent="0.35">
      <c r="A1166" t="s">
        <v>1545</v>
      </c>
      <c r="B1166" s="1">
        <v>45658</v>
      </c>
      <c r="C1166" t="s">
        <v>673</v>
      </c>
      <c r="D1166" t="s">
        <v>45</v>
      </c>
      <c r="E1166" t="s">
        <v>78</v>
      </c>
      <c r="F1166" t="s">
        <v>32</v>
      </c>
      <c r="G1166" t="s">
        <v>64</v>
      </c>
      <c r="H1166" s="7">
        <v>1</v>
      </c>
      <c r="I1166" s="4">
        <v>497.73</v>
      </c>
      <c r="J1166" s="23">
        <v>0.05</v>
      </c>
      <c r="K1166" s="4">
        <v>472.84</v>
      </c>
      <c r="L1166" s="4">
        <v>361.41</v>
      </c>
      <c r="M1166" s="4">
        <v>111.43</v>
      </c>
      <c r="N1166" t="s">
        <v>25</v>
      </c>
      <c r="O1166" s="7">
        <v>47</v>
      </c>
      <c r="P1166" s="2">
        <v>45659.958333333336</v>
      </c>
      <c r="Q1166" t="s">
        <v>65</v>
      </c>
      <c r="R1166">
        <v>1</v>
      </c>
      <c r="S1166" t="s">
        <v>55</v>
      </c>
      <c r="T1166">
        <f>IF(orders[[#This Row],[Status]]="Completed",1,0)</f>
        <v>1</v>
      </c>
      <c r="U1166">
        <f>IF(orders[[#This Row],[Status]]="Pending",1,0)</f>
        <v>0</v>
      </c>
      <c r="V1166">
        <f>IF(orders[[#This Row],[Status]]="Delayed",1,0)</f>
        <v>0</v>
      </c>
      <c r="W1166">
        <f>IF(orders[[#This Row],[Status]]="Cancelled",1,0)</f>
        <v>0</v>
      </c>
    </row>
    <row r="1167" spans="1:23" x14ac:dyDescent="0.35">
      <c r="A1167" t="s">
        <v>1546</v>
      </c>
      <c r="B1167" s="1">
        <v>45976</v>
      </c>
      <c r="C1167" t="s">
        <v>583</v>
      </c>
      <c r="D1167" t="s">
        <v>38</v>
      </c>
      <c r="E1167" t="s">
        <v>46</v>
      </c>
      <c r="F1167" t="s">
        <v>83</v>
      </c>
      <c r="G1167" t="s">
        <v>182</v>
      </c>
      <c r="H1167" s="7">
        <v>5</v>
      </c>
      <c r="I1167" s="4">
        <v>35429.050000000003</v>
      </c>
      <c r="J1167" s="23">
        <v>0.1</v>
      </c>
      <c r="K1167" s="4">
        <v>31886.15</v>
      </c>
      <c r="L1167" s="4">
        <v>22001.48</v>
      </c>
      <c r="M1167" s="4">
        <v>9884.67</v>
      </c>
      <c r="N1167" t="s">
        <v>85</v>
      </c>
      <c r="O1167" s="7">
        <v>53</v>
      </c>
      <c r="P1167" s="2">
        <v>45978.208333333336</v>
      </c>
      <c r="Q1167" t="s">
        <v>86</v>
      </c>
      <c r="R1167">
        <v>11</v>
      </c>
      <c r="S1167" t="s">
        <v>35</v>
      </c>
      <c r="T1167">
        <f>IF(orders[[#This Row],[Status]]="Completed",1,0)</f>
        <v>0</v>
      </c>
      <c r="U1167">
        <f>IF(orders[[#This Row],[Status]]="Pending",1,0)</f>
        <v>0</v>
      </c>
      <c r="V1167">
        <f>IF(orders[[#This Row],[Status]]="Delayed",1,0)</f>
        <v>1</v>
      </c>
      <c r="W1167">
        <f>IF(orders[[#This Row],[Status]]="Cancelled",1,0)</f>
        <v>0</v>
      </c>
    </row>
    <row r="1168" spans="1:23" x14ac:dyDescent="0.35">
      <c r="A1168" t="s">
        <v>1547</v>
      </c>
      <c r="B1168" s="1">
        <v>45712</v>
      </c>
      <c r="C1168" t="s">
        <v>231</v>
      </c>
      <c r="D1168" t="s">
        <v>38</v>
      </c>
      <c r="E1168" t="s">
        <v>59</v>
      </c>
      <c r="F1168" t="s">
        <v>72</v>
      </c>
      <c r="G1168" t="s">
        <v>104</v>
      </c>
      <c r="H1168" s="7">
        <v>3</v>
      </c>
      <c r="I1168" s="4">
        <v>14761.89</v>
      </c>
      <c r="J1168" s="23">
        <v>0.2</v>
      </c>
      <c r="K1168" s="4">
        <v>11809.51</v>
      </c>
      <c r="L1168" s="4">
        <v>8151.5</v>
      </c>
      <c r="M1168" s="4">
        <v>3658.01</v>
      </c>
      <c r="N1168" t="s">
        <v>25</v>
      </c>
      <c r="O1168" s="7">
        <v>10</v>
      </c>
      <c r="P1168" s="2">
        <v>45712.416666666664</v>
      </c>
      <c r="Q1168" t="s">
        <v>139</v>
      </c>
      <c r="R1168">
        <v>2</v>
      </c>
      <c r="S1168" t="s">
        <v>55</v>
      </c>
      <c r="T1168">
        <f>IF(orders[[#This Row],[Status]]="Completed",1,0)</f>
        <v>1</v>
      </c>
      <c r="U1168">
        <f>IF(orders[[#This Row],[Status]]="Pending",1,0)</f>
        <v>0</v>
      </c>
      <c r="V1168">
        <f>IF(orders[[#This Row],[Status]]="Delayed",1,0)</f>
        <v>0</v>
      </c>
      <c r="W1168">
        <f>IF(orders[[#This Row],[Status]]="Cancelled",1,0)</f>
        <v>0</v>
      </c>
    </row>
    <row r="1169" spans="1:23" x14ac:dyDescent="0.35">
      <c r="A1169" t="s">
        <v>1548</v>
      </c>
      <c r="B1169" s="1">
        <v>45806</v>
      </c>
      <c r="C1169" t="s">
        <v>1040</v>
      </c>
      <c r="D1169" t="s">
        <v>21</v>
      </c>
      <c r="E1169" t="s">
        <v>31</v>
      </c>
      <c r="F1169" t="s">
        <v>39</v>
      </c>
      <c r="G1169" t="s">
        <v>188</v>
      </c>
      <c r="H1169" s="7">
        <v>1</v>
      </c>
      <c r="I1169" s="4">
        <v>5222.3900000000003</v>
      </c>
      <c r="J1169" s="23">
        <v>0.25</v>
      </c>
      <c r="K1169" s="4">
        <v>3916.79</v>
      </c>
      <c r="L1169" s="4">
        <v>2336.1999999999998</v>
      </c>
      <c r="M1169" s="4">
        <v>1580.59</v>
      </c>
      <c r="N1169" t="s">
        <v>25</v>
      </c>
      <c r="O1169" s="7">
        <v>25</v>
      </c>
      <c r="P1169" s="2">
        <v>45807.041666666664</v>
      </c>
      <c r="Q1169" t="s">
        <v>74</v>
      </c>
      <c r="R1169">
        <v>5</v>
      </c>
      <c r="S1169" t="s">
        <v>27</v>
      </c>
      <c r="T1169">
        <f>IF(orders[[#This Row],[Status]]="Completed",1,0)</f>
        <v>1</v>
      </c>
      <c r="U1169">
        <f>IF(orders[[#This Row],[Status]]="Pending",1,0)</f>
        <v>0</v>
      </c>
      <c r="V1169">
        <f>IF(orders[[#This Row],[Status]]="Delayed",1,0)</f>
        <v>0</v>
      </c>
      <c r="W1169">
        <f>IF(orders[[#This Row],[Status]]="Cancelled",1,0)</f>
        <v>0</v>
      </c>
    </row>
    <row r="1170" spans="1:23" x14ac:dyDescent="0.35">
      <c r="A1170" t="s">
        <v>1549</v>
      </c>
      <c r="B1170" s="1">
        <v>45966</v>
      </c>
      <c r="C1170" t="s">
        <v>1050</v>
      </c>
      <c r="D1170" t="s">
        <v>30</v>
      </c>
      <c r="E1170" t="s">
        <v>113</v>
      </c>
      <c r="F1170" t="s">
        <v>83</v>
      </c>
      <c r="G1170" t="s">
        <v>152</v>
      </c>
      <c r="H1170" s="7">
        <v>1</v>
      </c>
      <c r="I1170" s="4">
        <v>4518.37</v>
      </c>
      <c r="J1170" s="23">
        <v>0</v>
      </c>
      <c r="K1170" s="4">
        <v>4518.37</v>
      </c>
      <c r="L1170" s="4">
        <v>3250.37</v>
      </c>
      <c r="M1170" s="4">
        <v>1268</v>
      </c>
      <c r="N1170" t="s">
        <v>85</v>
      </c>
      <c r="O1170" s="7">
        <v>96</v>
      </c>
      <c r="P1170" s="2">
        <v>45970</v>
      </c>
      <c r="Q1170" t="s">
        <v>86</v>
      </c>
      <c r="R1170">
        <v>11</v>
      </c>
      <c r="S1170" t="s">
        <v>35</v>
      </c>
      <c r="T1170">
        <f>IF(orders[[#This Row],[Status]]="Completed",1,0)</f>
        <v>0</v>
      </c>
      <c r="U1170">
        <f>IF(orders[[#This Row],[Status]]="Pending",1,0)</f>
        <v>0</v>
      </c>
      <c r="V1170">
        <f>IF(orders[[#This Row],[Status]]="Delayed",1,0)</f>
        <v>1</v>
      </c>
      <c r="W1170">
        <f>IF(orders[[#This Row],[Status]]="Cancelled",1,0)</f>
        <v>0</v>
      </c>
    </row>
    <row r="1171" spans="1:23" x14ac:dyDescent="0.35">
      <c r="A1171" t="s">
        <v>1550</v>
      </c>
      <c r="B1171" s="1">
        <v>45794</v>
      </c>
      <c r="C1171" t="s">
        <v>179</v>
      </c>
      <c r="D1171" t="s">
        <v>51</v>
      </c>
      <c r="E1171" t="s">
        <v>92</v>
      </c>
      <c r="F1171" t="s">
        <v>39</v>
      </c>
      <c r="G1171" t="s">
        <v>114</v>
      </c>
      <c r="H1171" s="7">
        <v>5</v>
      </c>
      <c r="I1171" s="4">
        <v>37259.35</v>
      </c>
      <c r="J1171" s="23">
        <v>0</v>
      </c>
      <c r="K1171" s="4">
        <v>37259.35</v>
      </c>
      <c r="L1171" s="4">
        <v>27712.35</v>
      </c>
      <c r="M1171" s="4">
        <v>9547</v>
      </c>
      <c r="N1171" t="s">
        <v>85</v>
      </c>
      <c r="O1171" s="7">
        <v>89</v>
      </c>
      <c r="P1171" s="2">
        <v>45797.708333333336</v>
      </c>
      <c r="Q1171" t="s">
        <v>74</v>
      </c>
      <c r="R1171">
        <v>5</v>
      </c>
      <c r="S1171" t="s">
        <v>27</v>
      </c>
      <c r="T1171">
        <f>IF(orders[[#This Row],[Status]]="Completed",1,0)</f>
        <v>0</v>
      </c>
      <c r="U1171">
        <f>IF(orders[[#This Row],[Status]]="Pending",1,0)</f>
        <v>0</v>
      </c>
      <c r="V1171">
        <f>IF(orders[[#This Row],[Status]]="Delayed",1,0)</f>
        <v>1</v>
      </c>
      <c r="W1171">
        <f>IF(orders[[#This Row],[Status]]="Cancelled",1,0)</f>
        <v>0</v>
      </c>
    </row>
    <row r="1172" spans="1:23" x14ac:dyDescent="0.35">
      <c r="A1172" t="s">
        <v>1551</v>
      </c>
      <c r="B1172" s="1">
        <v>45859</v>
      </c>
      <c r="C1172" t="s">
        <v>647</v>
      </c>
      <c r="D1172" t="s">
        <v>68</v>
      </c>
      <c r="E1172" t="s">
        <v>78</v>
      </c>
      <c r="F1172" t="s">
        <v>83</v>
      </c>
      <c r="G1172" t="s">
        <v>182</v>
      </c>
      <c r="H1172" s="7">
        <v>3</v>
      </c>
      <c r="I1172" s="4">
        <v>1538.01</v>
      </c>
      <c r="J1172" s="23">
        <v>0</v>
      </c>
      <c r="K1172" s="4">
        <v>1538.01</v>
      </c>
      <c r="L1172" s="4">
        <v>1087.74</v>
      </c>
      <c r="M1172" s="4">
        <v>450.27</v>
      </c>
      <c r="N1172" t="s">
        <v>48</v>
      </c>
      <c r="O1172" s="7">
        <v>16</v>
      </c>
      <c r="P1172" s="2">
        <v>45859.666666666664</v>
      </c>
      <c r="Q1172" t="s">
        <v>60</v>
      </c>
      <c r="R1172">
        <v>7</v>
      </c>
      <c r="S1172" t="s">
        <v>42</v>
      </c>
      <c r="T1172">
        <f>IF(orders[[#This Row],[Status]]="Completed",1,0)</f>
        <v>0</v>
      </c>
      <c r="U1172">
        <f>IF(orders[[#This Row],[Status]]="Pending",1,0)</f>
        <v>0</v>
      </c>
      <c r="V1172">
        <f>IF(orders[[#This Row],[Status]]="Delayed",1,0)</f>
        <v>0</v>
      </c>
      <c r="W1172">
        <f>IF(orders[[#This Row],[Status]]="Cancelled",1,0)</f>
        <v>1</v>
      </c>
    </row>
    <row r="1173" spans="1:23" x14ac:dyDescent="0.35">
      <c r="A1173" t="s">
        <v>1552</v>
      </c>
      <c r="B1173" s="1">
        <v>45970</v>
      </c>
      <c r="C1173" t="s">
        <v>1320</v>
      </c>
      <c r="D1173" t="s">
        <v>63</v>
      </c>
      <c r="E1173" t="s">
        <v>46</v>
      </c>
      <c r="F1173" t="s">
        <v>72</v>
      </c>
      <c r="G1173" t="s">
        <v>119</v>
      </c>
      <c r="H1173" s="7">
        <v>2</v>
      </c>
      <c r="I1173" s="4">
        <v>4659.18</v>
      </c>
      <c r="J1173" s="23">
        <v>0.2</v>
      </c>
      <c r="K1173" s="4">
        <v>3727.34</v>
      </c>
      <c r="L1173" s="4">
        <v>2450.66</v>
      </c>
      <c r="M1173" s="4">
        <v>1276.68</v>
      </c>
      <c r="N1173" t="s">
        <v>25</v>
      </c>
      <c r="O1173" s="7">
        <v>33</v>
      </c>
      <c r="P1173" s="2">
        <v>45971.375</v>
      </c>
      <c r="Q1173" t="s">
        <v>86</v>
      </c>
      <c r="R1173">
        <v>11</v>
      </c>
      <c r="S1173" t="s">
        <v>35</v>
      </c>
      <c r="T1173">
        <f>IF(orders[[#This Row],[Status]]="Completed",1,0)</f>
        <v>1</v>
      </c>
      <c r="U1173">
        <f>IF(orders[[#This Row],[Status]]="Pending",1,0)</f>
        <v>0</v>
      </c>
      <c r="V1173">
        <f>IF(orders[[#This Row],[Status]]="Delayed",1,0)</f>
        <v>0</v>
      </c>
      <c r="W1173">
        <f>IF(orders[[#This Row],[Status]]="Cancelled",1,0)</f>
        <v>0</v>
      </c>
    </row>
    <row r="1174" spans="1:23" x14ac:dyDescent="0.35">
      <c r="A1174" t="s">
        <v>1553</v>
      </c>
      <c r="B1174" s="1">
        <v>45774</v>
      </c>
      <c r="C1174" t="s">
        <v>97</v>
      </c>
      <c r="D1174" t="s">
        <v>45</v>
      </c>
      <c r="E1174" t="s">
        <v>22</v>
      </c>
      <c r="F1174" t="s">
        <v>72</v>
      </c>
      <c r="G1174" t="s">
        <v>129</v>
      </c>
      <c r="H1174" s="7">
        <v>5</v>
      </c>
      <c r="I1174" s="4">
        <v>37313.1</v>
      </c>
      <c r="J1174" s="23">
        <v>0.05</v>
      </c>
      <c r="K1174" s="4">
        <v>35447.440000000002</v>
      </c>
      <c r="L1174" s="4">
        <v>27937.69</v>
      </c>
      <c r="M1174" s="4">
        <v>7509.75</v>
      </c>
      <c r="N1174" t="s">
        <v>25</v>
      </c>
      <c r="O1174" s="7">
        <v>37</v>
      </c>
      <c r="P1174" s="2">
        <v>45775.541666666664</v>
      </c>
      <c r="Q1174" t="s">
        <v>26</v>
      </c>
      <c r="R1174">
        <v>4</v>
      </c>
      <c r="S1174" t="s">
        <v>27</v>
      </c>
      <c r="T1174">
        <f>IF(orders[[#This Row],[Status]]="Completed",1,0)</f>
        <v>1</v>
      </c>
      <c r="U1174">
        <f>IF(orders[[#This Row],[Status]]="Pending",1,0)</f>
        <v>0</v>
      </c>
      <c r="V1174">
        <f>IF(orders[[#This Row],[Status]]="Delayed",1,0)</f>
        <v>0</v>
      </c>
      <c r="W1174">
        <f>IF(orders[[#This Row],[Status]]="Cancelled",1,0)</f>
        <v>0</v>
      </c>
    </row>
    <row r="1175" spans="1:23" x14ac:dyDescent="0.35">
      <c r="A1175" t="s">
        <v>1554</v>
      </c>
      <c r="B1175" s="1">
        <v>45811</v>
      </c>
      <c r="C1175" t="s">
        <v>299</v>
      </c>
      <c r="D1175" t="s">
        <v>149</v>
      </c>
      <c r="E1175" t="s">
        <v>22</v>
      </c>
      <c r="F1175" t="s">
        <v>23</v>
      </c>
      <c r="G1175" t="s">
        <v>24</v>
      </c>
      <c r="H1175" s="7">
        <v>3</v>
      </c>
      <c r="I1175" s="4">
        <v>19296.27</v>
      </c>
      <c r="J1175" s="23">
        <v>0</v>
      </c>
      <c r="K1175" s="4">
        <v>19296.27</v>
      </c>
      <c r="L1175" s="4">
        <v>11088.38</v>
      </c>
      <c r="M1175" s="4">
        <v>8207.89</v>
      </c>
      <c r="N1175" t="s">
        <v>25</v>
      </c>
      <c r="O1175" s="7">
        <v>16</v>
      </c>
      <c r="P1175" s="2">
        <v>45811.666666666664</v>
      </c>
      <c r="Q1175" t="s">
        <v>99</v>
      </c>
      <c r="R1175">
        <v>6</v>
      </c>
      <c r="S1175" t="s">
        <v>27</v>
      </c>
      <c r="T1175">
        <f>IF(orders[[#This Row],[Status]]="Completed",1,0)</f>
        <v>1</v>
      </c>
      <c r="U1175">
        <f>IF(orders[[#This Row],[Status]]="Pending",1,0)</f>
        <v>0</v>
      </c>
      <c r="V1175">
        <f>IF(orders[[#This Row],[Status]]="Delayed",1,0)</f>
        <v>0</v>
      </c>
      <c r="W1175">
        <f>IF(orders[[#This Row],[Status]]="Cancelled",1,0)</f>
        <v>0</v>
      </c>
    </row>
    <row r="1176" spans="1:23" x14ac:dyDescent="0.35">
      <c r="A1176" t="s">
        <v>1555</v>
      </c>
      <c r="B1176" s="1">
        <v>45948</v>
      </c>
      <c r="C1176" t="s">
        <v>1556</v>
      </c>
      <c r="D1176" t="s">
        <v>63</v>
      </c>
      <c r="E1176" t="s">
        <v>78</v>
      </c>
      <c r="F1176" t="s">
        <v>83</v>
      </c>
      <c r="G1176" t="s">
        <v>155</v>
      </c>
      <c r="H1176" s="7">
        <v>1</v>
      </c>
      <c r="I1176" s="4">
        <v>297.33999999999997</v>
      </c>
      <c r="J1176" s="23">
        <v>0.05</v>
      </c>
      <c r="K1176" s="4">
        <v>282.47000000000003</v>
      </c>
      <c r="L1176" s="4">
        <v>240.6</v>
      </c>
      <c r="M1176" s="4">
        <v>41.87</v>
      </c>
      <c r="N1176" t="s">
        <v>98</v>
      </c>
      <c r="O1176" s="7">
        <v>14</v>
      </c>
      <c r="P1176" s="2">
        <v>45948.583333333336</v>
      </c>
      <c r="Q1176" t="s">
        <v>116</v>
      </c>
      <c r="R1176">
        <v>10</v>
      </c>
      <c r="S1176" t="s">
        <v>35</v>
      </c>
      <c r="T1176">
        <f>IF(orders[[#This Row],[Status]]="Completed",1,0)</f>
        <v>0</v>
      </c>
      <c r="U1176">
        <f>IF(orders[[#This Row],[Status]]="Pending",1,0)</f>
        <v>1</v>
      </c>
      <c r="V1176">
        <f>IF(orders[[#This Row],[Status]]="Delayed",1,0)</f>
        <v>0</v>
      </c>
      <c r="W1176">
        <f>IF(orders[[#This Row],[Status]]="Cancelled",1,0)</f>
        <v>0</v>
      </c>
    </row>
    <row r="1177" spans="1:23" x14ac:dyDescent="0.35">
      <c r="A1177" t="s">
        <v>1557</v>
      </c>
      <c r="B1177" s="1">
        <v>45720</v>
      </c>
      <c r="C1177" t="s">
        <v>602</v>
      </c>
      <c r="D1177" t="s">
        <v>149</v>
      </c>
      <c r="E1177" t="s">
        <v>52</v>
      </c>
      <c r="F1177" t="s">
        <v>23</v>
      </c>
      <c r="G1177" t="s">
        <v>69</v>
      </c>
      <c r="H1177" s="7">
        <v>3</v>
      </c>
      <c r="I1177" s="4">
        <v>13401</v>
      </c>
      <c r="J1177" s="23">
        <v>0.05</v>
      </c>
      <c r="K1177" s="4">
        <v>12730.95</v>
      </c>
      <c r="L1177" s="4">
        <v>7088.75</v>
      </c>
      <c r="M1177" s="4">
        <v>5642.2</v>
      </c>
      <c r="N1177" t="s">
        <v>85</v>
      </c>
      <c r="O1177" s="7">
        <v>58</v>
      </c>
      <c r="P1177" s="2">
        <v>45722.416666666664</v>
      </c>
      <c r="Q1177" t="s">
        <v>54</v>
      </c>
      <c r="R1177">
        <v>3</v>
      </c>
      <c r="S1177" t="s">
        <v>55</v>
      </c>
      <c r="T1177">
        <f>IF(orders[[#This Row],[Status]]="Completed",1,0)</f>
        <v>0</v>
      </c>
      <c r="U1177">
        <f>IF(orders[[#This Row],[Status]]="Pending",1,0)</f>
        <v>0</v>
      </c>
      <c r="V1177">
        <f>IF(orders[[#This Row],[Status]]="Delayed",1,0)</f>
        <v>1</v>
      </c>
      <c r="W1177">
        <f>IF(orders[[#This Row],[Status]]="Cancelled",1,0)</f>
        <v>0</v>
      </c>
    </row>
    <row r="1178" spans="1:23" x14ac:dyDescent="0.35">
      <c r="A1178" t="s">
        <v>1558</v>
      </c>
      <c r="B1178" s="1">
        <v>45901</v>
      </c>
      <c r="C1178" t="s">
        <v>1092</v>
      </c>
      <c r="D1178" t="s">
        <v>63</v>
      </c>
      <c r="E1178" t="s">
        <v>113</v>
      </c>
      <c r="F1178" t="s">
        <v>83</v>
      </c>
      <c r="G1178" t="s">
        <v>152</v>
      </c>
      <c r="H1178" s="7">
        <v>1</v>
      </c>
      <c r="I1178" s="4">
        <v>4571.93</v>
      </c>
      <c r="J1178" s="23">
        <v>0.25</v>
      </c>
      <c r="K1178" s="4">
        <v>3428.95</v>
      </c>
      <c r="L1178" s="4">
        <v>2974.87</v>
      </c>
      <c r="M1178" s="4">
        <v>454.08</v>
      </c>
      <c r="N1178" t="s">
        <v>48</v>
      </c>
      <c r="O1178" s="7">
        <v>10</v>
      </c>
      <c r="P1178" s="2">
        <v>45901.416666666664</v>
      </c>
      <c r="Q1178" t="s">
        <v>41</v>
      </c>
      <c r="R1178">
        <v>9</v>
      </c>
      <c r="S1178" t="s">
        <v>42</v>
      </c>
      <c r="T1178">
        <f>IF(orders[[#This Row],[Status]]="Completed",1,0)</f>
        <v>0</v>
      </c>
      <c r="U1178">
        <f>IF(orders[[#This Row],[Status]]="Pending",1,0)</f>
        <v>0</v>
      </c>
      <c r="V1178">
        <f>IF(orders[[#This Row],[Status]]="Delayed",1,0)</f>
        <v>0</v>
      </c>
      <c r="W1178">
        <f>IF(orders[[#This Row],[Status]]="Cancelled",1,0)</f>
        <v>1</v>
      </c>
    </row>
    <row r="1179" spans="1:23" x14ac:dyDescent="0.35">
      <c r="A1179" t="s">
        <v>1559</v>
      </c>
      <c r="B1179" s="1">
        <v>45682</v>
      </c>
      <c r="C1179" t="s">
        <v>254</v>
      </c>
      <c r="D1179" t="s">
        <v>45</v>
      </c>
      <c r="E1179" t="s">
        <v>78</v>
      </c>
      <c r="F1179" t="s">
        <v>23</v>
      </c>
      <c r="G1179" t="s">
        <v>24</v>
      </c>
      <c r="H1179" s="7">
        <v>7</v>
      </c>
      <c r="I1179" s="4">
        <v>24481.59</v>
      </c>
      <c r="J1179" s="23">
        <v>0.1</v>
      </c>
      <c r="K1179" s="4">
        <v>22033.43</v>
      </c>
      <c r="L1179" s="4">
        <v>15480.19</v>
      </c>
      <c r="M1179" s="4">
        <v>6553.24</v>
      </c>
      <c r="N1179" t="s">
        <v>25</v>
      </c>
      <c r="O1179" s="7">
        <v>36</v>
      </c>
      <c r="P1179" s="2">
        <v>45683.5</v>
      </c>
      <c r="Q1179" t="s">
        <v>65</v>
      </c>
      <c r="R1179">
        <v>1</v>
      </c>
      <c r="S1179" t="s">
        <v>55</v>
      </c>
      <c r="T1179">
        <f>IF(orders[[#This Row],[Status]]="Completed",1,0)</f>
        <v>1</v>
      </c>
      <c r="U1179">
        <f>IF(orders[[#This Row],[Status]]="Pending",1,0)</f>
        <v>0</v>
      </c>
      <c r="V1179">
        <f>IF(orders[[#This Row],[Status]]="Delayed",1,0)</f>
        <v>0</v>
      </c>
      <c r="W1179">
        <f>IF(orders[[#This Row],[Status]]="Cancelled",1,0)</f>
        <v>0</v>
      </c>
    </row>
    <row r="1180" spans="1:23" x14ac:dyDescent="0.35">
      <c r="A1180" t="s">
        <v>1560</v>
      </c>
      <c r="B1180" s="1">
        <v>45747</v>
      </c>
      <c r="C1180" t="s">
        <v>302</v>
      </c>
      <c r="D1180" t="s">
        <v>68</v>
      </c>
      <c r="E1180" t="s">
        <v>78</v>
      </c>
      <c r="F1180" t="s">
        <v>72</v>
      </c>
      <c r="G1180" t="s">
        <v>129</v>
      </c>
      <c r="H1180" s="7">
        <v>5</v>
      </c>
      <c r="I1180" s="4">
        <v>13166.15</v>
      </c>
      <c r="J1180" s="23">
        <v>0.05</v>
      </c>
      <c r="K1180" s="4">
        <v>12507.84</v>
      </c>
      <c r="L1180" s="4">
        <v>8582.64</v>
      </c>
      <c r="M1180" s="4">
        <v>3925.2</v>
      </c>
      <c r="N1180" t="s">
        <v>25</v>
      </c>
      <c r="O1180" s="7">
        <v>37</v>
      </c>
      <c r="P1180" s="2">
        <v>45748.541666666664</v>
      </c>
      <c r="Q1180" t="s">
        <v>54</v>
      </c>
      <c r="R1180">
        <v>3</v>
      </c>
      <c r="S1180" t="s">
        <v>55</v>
      </c>
      <c r="T1180">
        <f>IF(orders[[#This Row],[Status]]="Completed",1,0)</f>
        <v>1</v>
      </c>
      <c r="U1180">
        <f>IF(orders[[#This Row],[Status]]="Pending",1,0)</f>
        <v>0</v>
      </c>
      <c r="V1180">
        <f>IF(orders[[#This Row],[Status]]="Delayed",1,0)</f>
        <v>0</v>
      </c>
      <c r="W1180">
        <f>IF(orders[[#This Row],[Status]]="Cancelled",1,0)</f>
        <v>0</v>
      </c>
    </row>
    <row r="1181" spans="1:23" x14ac:dyDescent="0.35">
      <c r="A1181" t="s">
        <v>1561</v>
      </c>
      <c r="B1181" s="1">
        <v>45732</v>
      </c>
      <c r="C1181" t="s">
        <v>684</v>
      </c>
      <c r="D1181" t="s">
        <v>63</v>
      </c>
      <c r="E1181" t="s">
        <v>113</v>
      </c>
      <c r="F1181" t="s">
        <v>39</v>
      </c>
      <c r="G1181" t="s">
        <v>40</v>
      </c>
      <c r="H1181" s="7">
        <v>6</v>
      </c>
      <c r="I1181" s="4">
        <v>35054.400000000001</v>
      </c>
      <c r="J1181" s="23">
        <v>0.05</v>
      </c>
      <c r="K1181" s="4">
        <v>33301.68</v>
      </c>
      <c r="L1181" s="4">
        <v>21134.13</v>
      </c>
      <c r="M1181" s="4">
        <v>12167.55</v>
      </c>
      <c r="N1181" t="s">
        <v>48</v>
      </c>
      <c r="O1181" s="7">
        <v>10</v>
      </c>
      <c r="P1181" s="2">
        <v>45732.416666666664</v>
      </c>
      <c r="Q1181" t="s">
        <v>54</v>
      </c>
      <c r="R1181">
        <v>3</v>
      </c>
      <c r="S1181" t="s">
        <v>55</v>
      </c>
      <c r="T1181">
        <f>IF(orders[[#This Row],[Status]]="Completed",1,0)</f>
        <v>0</v>
      </c>
      <c r="U1181">
        <f>IF(orders[[#This Row],[Status]]="Pending",1,0)</f>
        <v>0</v>
      </c>
      <c r="V1181">
        <f>IF(orders[[#This Row],[Status]]="Delayed",1,0)</f>
        <v>0</v>
      </c>
      <c r="W1181">
        <f>IF(orders[[#This Row],[Status]]="Cancelled",1,0)</f>
        <v>1</v>
      </c>
    </row>
    <row r="1182" spans="1:23" x14ac:dyDescent="0.35">
      <c r="A1182" t="s">
        <v>1562</v>
      </c>
      <c r="B1182" s="1">
        <v>45951</v>
      </c>
      <c r="C1182" t="s">
        <v>106</v>
      </c>
      <c r="D1182" t="s">
        <v>45</v>
      </c>
      <c r="E1182" t="s">
        <v>113</v>
      </c>
      <c r="F1182" t="s">
        <v>23</v>
      </c>
      <c r="G1182" t="s">
        <v>24</v>
      </c>
      <c r="H1182" s="7">
        <v>5</v>
      </c>
      <c r="I1182" s="4">
        <v>9425.25</v>
      </c>
      <c r="J1182" s="23">
        <v>0.05</v>
      </c>
      <c r="K1182" s="4">
        <v>8953.99</v>
      </c>
      <c r="L1182" s="4">
        <v>4954.45</v>
      </c>
      <c r="M1182" s="4">
        <v>3999.54</v>
      </c>
      <c r="N1182" t="s">
        <v>25</v>
      </c>
      <c r="O1182" s="7">
        <v>39</v>
      </c>
      <c r="P1182" s="2">
        <v>45952.625</v>
      </c>
      <c r="Q1182" t="s">
        <v>116</v>
      </c>
      <c r="R1182">
        <v>10</v>
      </c>
      <c r="S1182" t="s">
        <v>35</v>
      </c>
      <c r="T1182">
        <f>IF(orders[[#This Row],[Status]]="Completed",1,0)</f>
        <v>1</v>
      </c>
      <c r="U1182">
        <f>IF(orders[[#This Row],[Status]]="Pending",1,0)</f>
        <v>0</v>
      </c>
      <c r="V1182">
        <f>IF(orders[[#This Row],[Status]]="Delayed",1,0)</f>
        <v>0</v>
      </c>
      <c r="W1182">
        <f>IF(orders[[#This Row],[Status]]="Cancelled",1,0)</f>
        <v>0</v>
      </c>
    </row>
    <row r="1183" spans="1:23" x14ac:dyDescent="0.35">
      <c r="A1183" t="s">
        <v>1563</v>
      </c>
      <c r="B1183" s="1">
        <v>45867</v>
      </c>
      <c r="C1183" t="s">
        <v>472</v>
      </c>
      <c r="D1183" t="s">
        <v>58</v>
      </c>
      <c r="E1183" t="s">
        <v>46</v>
      </c>
      <c r="F1183" t="s">
        <v>83</v>
      </c>
      <c r="G1183" t="s">
        <v>155</v>
      </c>
      <c r="H1183" s="7">
        <v>7</v>
      </c>
      <c r="I1183" s="4">
        <v>47748.54</v>
      </c>
      <c r="J1183" s="23">
        <v>0</v>
      </c>
      <c r="K1183" s="4">
        <v>47748.54</v>
      </c>
      <c r="L1183" s="4">
        <v>30591.57</v>
      </c>
      <c r="M1183" s="4">
        <v>17156.97</v>
      </c>
      <c r="N1183" t="s">
        <v>48</v>
      </c>
      <c r="O1183" s="7">
        <v>5</v>
      </c>
      <c r="P1183" s="2">
        <v>45867.208333333336</v>
      </c>
      <c r="Q1183" t="s">
        <v>60</v>
      </c>
      <c r="R1183">
        <v>7</v>
      </c>
      <c r="S1183" t="s">
        <v>42</v>
      </c>
      <c r="T1183">
        <f>IF(orders[[#This Row],[Status]]="Completed",1,0)</f>
        <v>0</v>
      </c>
      <c r="U1183">
        <f>IF(orders[[#This Row],[Status]]="Pending",1,0)</f>
        <v>0</v>
      </c>
      <c r="V1183">
        <f>IF(orders[[#This Row],[Status]]="Delayed",1,0)</f>
        <v>0</v>
      </c>
      <c r="W1183">
        <f>IF(orders[[#This Row],[Status]]="Cancelled",1,0)</f>
        <v>1</v>
      </c>
    </row>
    <row r="1184" spans="1:23" x14ac:dyDescent="0.35">
      <c r="A1184" t="s">
        <v>1564</v>
      </c>
      <c r="B1184" s="1">
        <v>46004</v>
      </c>
      <c r="C1184" t="s">
        <v>173</v>
      </c>
      <c r="D1184" t="s">
        <v>68</v>
      </c>
      <c r="E1184" t="s">
        <v>59</v>
      </c>
      <c r="F1184" t="s">
        <v>83</v>
      </c>
      <c r="G1184" t="s">
        <v>107</v>
      </c>
      <c r="H1184" s="7">
        <v>4</v>
      </c>
      <c r="I1184" s="4">
        <v>27421.439999999999</v>
      </c>
      <c r="J1184" s="23">
        <v>0</v>
      </c>
      <c r="K1184" s="4">
        <v>27421.439999999999</v>
      </c>
      <c r="L1184" s="4">
        <v>16071.76</v>
      </c>
      <c r="M1184" s="4">
        <v>11349.68</v>
      </c>
      <c r="N1184" t="s">
        <v>25</v>
      </c>
      <c r="O1184" s="7">
        <v>20</v>
      </c>
      <c r="P1184" s="2">
        <v>46004.833333333336</v>
      </c>
      <c r="Q1184" t="s">
        <v>34</v>
      </c>
      <c r="R1184">
        <v>12</v>
      </c>
      <c r="S1184" t="s">
        <v>35</v>
      </c>
      <c r="T1184">
        <f>IF(orders[[#This Row],[Status]]="Completed",1,0)</f>
        <v>1</v>
      </c>
      <c r="U1184">
        <f>IF(orders[[#This Row],[Status]]="Pending",1,0)</f>
        <v>0</v>
      </c>
      <c r="V1184">
        <f>IF(orders[[#This Row],[Status]]="Delayed",1,0)</f>
        <v>0</v>
      </c>
      <c r="W1184">
        <f>IF(orders[[#This Row],[Status]]="Cancelled",1,0)</f>
        <v>0</v>
      </c>
    </row>
    <row r="1185" spans="1:23" x14ac:dyDescent="0.35">
      <c r="A1185" t="s">
        <v>1565</v>
      </c>
      <c r="B1185" s="1">
        <v>45674</v>
      </c>
      <c r="C1185" t="s">
        <v>406</v>
      </c>
      <c r="D1185" t="s">
        <v>77</v>
      </c>
      <c r="E1185" t="s">
        <v>31</v>
      </c>
      <c r="F1185" t="s">
        <v>72</v>
      </c>
      <c r="G1185" t="s">
        <v>146</v>
      </c>
      <c r="H1185" s="7">
        <v>4</v>
      </c>
      <c r="I1185" s="4">
        <v>14469.72</v>
      </c>
      <c r="J1185" s="23">
        <v>0.1</v>
      </c>
      <c r="K1185" s="4">
        <v>13022.75</v>
      </c>
      <c r="L1185" s="4">
        <v>9998.1</v>
      </c>
      <c r="M1185" s="4">
        <v>3024.65</v>
      </c>
      <c r="N1185" t="s">
        <v>98</v>
      </c>
      <c r="O1185" s="7">
        <v>7</v>
      </c>
      <c r="P1185" s="2">
        <v>45674.291666666664</v>
      </c>
      <c r="Q1185" t="s">
        <v>65</v>
      </c>
      <c r="R1185">
        <v>1</v>
      </c>
      <c r="S1185" t="s">
        <v>55</v>
      </c>
      <c r="T1185">
        <f>IF(orders[[#This Row],[Status]]="Completed",1,0)</f>
        <v>0</v>
      </c>
      <c r="U1185">
        <f>IF(orders[[#This Row],[Status]]="Pending",1,0)</f>
        <v>1</v>
      </c>
      <c r="V1185">
        <f>IF(orders[[#This Row],[Status]]="Delayed",1,0)</f>
        <v>0</v>
      </c>
      <c r="W1185">
        <f>IF(orders[[#This Row],[Status]]="Cancelled",1,0)</f>
        <v>0</v>
      </c>
    </row>
    <row r="1186" spans="1:23" x14ac:dyDescent="0.35">
      <c r="A1186" t="s">
        <v>1566</v>
      </c>
      <c r="B1186" s="1">
        <v>45785</v>
      </c>
      <c r="C1186" t="s">
        <v>787</v>
      </c>
      <c r="D1186" t="s">
        <v>149</v>
      </c>
      <c r="E1186" t="s">
        <v>46</v>
      </c>
      <c r="F1186" t="s">
        <v>83</v>
      </c>
      <c r="G1186" t="s">
        <v>155</v>
      </c>
      <c r="H1186" s="7">
        <v>4</v>
      </c>
      <c r="I1186" s="4">
        <v>10070.52</v>
      </c>
      <c r="J1186" s="23">
        <v>0</v>
      </c>
      <c r="K1186" s="4">
        <v>10070.52</v>
      </c>
      <c r="L1186" s="4">
        <v>6599.16</v>
      </c>
      <c r="M1186" s="4">
        <v>3471.36</v>
      </c>
      <c r="N1186" t="s">
        <v>25</v>
      </c>
      <c r="O1186" s="7">
        <v>17</v>
      </c>
      <c r="P1186" s="2">
        <v>45785.708333333336</v>
      </c>
      <c r="Q1186" t="s">
        <v>74</v>
      </c>
      <c r="R1186">
        <v>5</v>
      </c>
      <c r="S1186" t="s">
        <v>27</v>
      </c>
      <c r="T1186">
        <f>IF(orders[[#This Row],[Status]]="Completed",1,0)</f>
        <v>1</v>
      </c>
      <c r="U1186">
        <f>IF(orders[[#This Row],[Status]]="Pending",1,0)</f>
        <v>0</v>
      </c>
      <c r="V1186">
        <f>IF(orders[[#This Row],[Status]]="Delayed",1,0)</f>
        <v>0</v>
      </c>
      <c r="W1186">
        <f>IF(orders[[#This Row],[Status]]="Cancelled",1,0)</f>
        <v>0</v>
      </c>
    </row>
    <row r="1187" spans="1:23" x14ac:dyDescent="0.35">
      <c r="A1187" t="s">
        <v>1567</v>
      </c>
      <c r="B1187" s="1">
        <v>46021</v>
      </c>
      <c r="C1187" t="s">
        <v>240</v>
      </c>
      <c r="D1187" t="s">
        <v>38</v>
      </c>
      <c r="E1187" t="s">
        <v>78</v>
      </c>
      <c r="F1187" t="s">
        <v>32</v>
      </c>
      <c r="G1187" t="s">
        <v>89</v>
      </c>
      <c r="H1187" s="7">
        <v>5</v>
      </c>
      <c r="I1187" s="4">
        <v>12601.9</v>
      </c>
      <c r="J1187" s="23">
        <v>0.05</v>
      </c>
      <c r="K1187" s="4">
        <v>11971.8</v>
      </c>
      <c r="L1187" s="4">
        <v>9615.3799999999992</v>
      </c>
      <c r="M1187" s="4">
        <v>2356.42</v>
      </c>
      <c r="N1187" t="s">
        <v>25</v>
      </c>
      <c r="O1187" s="7">
        <v>37</v>
      </c>
      <c r="P1187" s="2">
        <v>46022.541666666664</v>
      </c>
      <c r="Q1187" t="s">
        <v>34</v>
      </c>
      <c r="R1187">
        <v>12</v>
      </c>
      <c r="S1187" t="s">
        <v>35</v>
      </c>
      <c r="T1187">
        <f>IF(orders[[#This Row],[Status]]="Completed",1,0)</f>
        <v>1</v>
      </c>
      <c r="U1187">
        <f>IF(orders[[#This Row],[Status]]="Pending",1,0)</f>
        <v>0</v>
      </c>
      <c r="V1187">
        <f>IF(orders[[#This Row],[Status]]="Delayed",1,0)</f>
        <v>0</v>
      </c>
      <c r="W1187">
        <f>IF(orders[[#This Row],[Status]]="Cancelled",1,0)</f>
        <v>0</v>
      </c>
    </row>
    <row r="1188" spans="1:23" x14ac:dyDescent="0.35">
      <c r="A1188" t="s">
        <v>1568</v>
      </c>
      <c r="B1188" s="1">
        <v>45908</v>
      </c>
      <c r="C1188" t="s">
        <v>532</v>
      </c>
      <c r="D1188" t="s">
        <v>30</v>
      </c>
      <c r="E1188" t="s">
        <v>92</v>
      </c>
      <c r="F1188" t="s">
        <v>39</v>
      </c>
      <c r="G1188" t="s">
        <v>93</v>
      </c>
      <c r="H1188" s="7">
        <v>2</v>
      </c>
      <c r="I1188" s="4">
        <v>8354.26</v>
      </c>
      <c r="J1188" s="23">
        <v>0.05</v>
      </c>
      <c r="K1188" s="4">
        <v>7936.55</v>
      </c>
      <c r="L1188" s="4">
        <v>4907.03</v>
      </c>
      <c r="M1188" s="4">
        <v>3029.52</v>
      </c>
      <c r="N1188" t="s">
        <v>48</v>
      </c>
      <c r="O1188" s="7">
        <v>22</v>
      </c>
      <c r="P1188" s="2">
        <v>45908.916666666664</v>
      </c>
      <c r="Q1188" t="s">
        <v>41</v>
      </c>
      <c r="R1188">
        <v>9</v>
      </c>
      <c r="S1188" t="s">
        <v>42</v>
      </c>
      <c r="T1188">
        <f>IF(orders[[#This Row],[Status]]="Completed",1,0)</f>
        <v>0</v>
      </c>
      <c r="U1188">
        <f>IF(orders[[#This Row],[Status]]="Pending",1,0)</f>
        <v>0</v>
      </c>
      <c r="V1188">
        <f>IF(orders[[#This Row],[Status]]="Delayed",1,0)</f>
        <v>0</v>
      </c>
      <c r="W1188">
        <f>IF(orders[[#This Row],[Status]]="Cancelled",1,0)</f>
        <v>1</v>
      </c>
    </row>
    <row r="1189" spans="1:23" x14ac:dyDescent="0.35">
      <c r="A1189" t="s">
        <v>1569</v>
      </c>
      <c r="B1189" s="1">
        <v>45836</v>
      </c>
      <c r="C1189" t="s">
        <v>544</v>
      </c>
      <c r="D1189" t="s">
        <v>38</v>
      </c>
      <c r="E1189" t="s">
        <v>59</v>
      </c>
      <c r="F1189" t="s">
        <v>23</v>
      </c>
      <c r="G1189" t="s">
        <v>110</v>
      </c>
      <c r="H1189" s="7">
        <v>5</v>
      </c>
      <c r="I1189" s="4">
        <v>30792.45</v>
      </c>
      <c r="J1189" s="23">
        <v>0.15</v>
      </c>
      <c r="K1189" s="4">
        <v>26173.58</v>
      </c>
      <c r="L1189" s="4">
        <v>22171.05</v>
      </c>
      <c r="M1189" s="4">
        <v>4002.53</v>
      </c>
      <c r="N1189" t="s">
        <v>25</v>
      </c>
      <c r="O1189" s="7">
        <v>16</v>
      </c>
      <c r="P1189" s="2">
        <v>45836.666666666664</v>
      </c>
      <c r="Q1189" t="s">
        <v>99</v>
      </c>
      <c r="R1189">
        <v>6</v>
      </c>
      <c r="S1189" t="s">
        <v>27</v>
      </c>
      <c r="T1189">
        <f>IF(orders[[#This Row],[Status]]="Completed",1,0)</f>
        <v>1</v>
      </c>
      <c r="U1189">
        <f>IF(orders[[#This Row],[Status]]="Pending",1,0)</f>
        <v>0</v>
      </c>
      <c r="V1189">
        <f>IF(orders[[#This Row],[Status]]="Delayed",1,0)</f>
        <v>0</v>
      </c>
      <c r="W1189">
        <f>IF(orders[[#This Row],[Status]]="Cancelled",1,0)</f>
        <v>0</v>
      </c>
    </row>
    <row r="1190" spans="1:23" x14ac:dyDescent="0.35">
      <c r="A1190" t="s">
        <v>1570</v>
      </c>
      <c r="B1190" s="1">
        <v>45839</v>
      </c>
      <c r="C1190" t="s">
        <v>813</v>
      </c>
      <c r="D1190" t="s">
        <v>68</v>
      </c>
      <c r="E1190" t="s">
        <v>46</v>
      </c>
      <c r="F1190" t="s">
        <v>39</v>
      </c>
      <c r="G1190" t="s">
        <v>188</v>
      </c>
      <c r="H1190" s="7">
        <v>7</v>
      </c>
      <c r="I1190" s="4">
        <v>22025.85</v>
      </c>
      <c r="J1190" s="23">
        <v>0.1</v>
      </c>
      <c r="K1190" s="4">
        <v>19823.259999999998</v>
      </c>
      <c r="L1190" s="4">
        <v>14323.97</v>
      </c>
      <c r="M1190" s="4">
        <v>5499.29</v>
      </c>
      <c r="N1190" t="s">
        <v>25</v>
      </c>
      <c r="O1190" s="7">
        <v>36</v>
      </c>
      <c r="P1190" s="2">
        <v>45840.5</v>
      </c>
      <c r="Q1190" t="s">
        <v>60</v>
      </c>
      <c r="R1190">
        <v>7</v>
      </c>
      <c r="S1190" t="s">
        <v>42</v>
      </c>
      <c r="T1190">
        <f>IF(orders[[#This Row],[Status]]="Completed",1,0)</f>
        <v>1</v>
      </c>
      <c r="U1190">
        <f>IF(orders[[#This Row],[Status]]="Pending",1,0)</f>
        <v>0</v>
      </c>
      <c r="V1190">
        <f>IF(orders[[#This Row],[Status]]="Delayed",1,0)</f>
        <v>0</v>
      </c>
      <c r="W1190">
        <f>IF(orders[[#This Row],[Status]]="Cancelled",1,0)</f>
        <v>0</v>
      </c>
    </row>
    <row r="1191" spans="1:23" x14ac:dyDescent="0.35">
      <c r="A1191" t="s">
        <v>1571</v>
      </c>
      <c r="B1191" s="1">
        <v>45809</v>
      </c>
      <c r="C1191" t="s">
        <v>221</v>
      </c>
      <c r="D1191" t="s">
        <v>77</v>
      </c>
      <c r="E1191" t="s">
        <v>31</v>
      </c>
      <c r="F1191" t="s">
        <v>72</v>
      </c>
      <c r="G1191" t="s">
        <v>146</v>
      </c>
      <c r="H1191" s="7">
        <v>7</v>
      </c>
      <c r="I1191" s="4">
        <v>36707.019999999997</v>
      </c>
      <c r="J1191" s="23">
        <v>0.1</v>
      </c>
      <c r="K1191" s="4">
        <v>33036.32</v>
      </c>
      <c r="L1191" s="4">
        <v>19418.32</v>
      </c>
      <c r="M1191" s="4">
        <v>13618</v>
      </c>
      <c r="N1191" t="s">
        <v>25</v>
      </c>
      <c r="O1191" s="7">
        <v>5</v>
      </c>
      <c r="P1191" s="2">
        <v>45809.208333333336</v>
      </c>
      <c r="Q1191" t="s">
        <v>99</v>
      </c>
      <c r="R1191">
        <v>6</v>
      </c>
      <c r="S1191" t="s">
        <v>27</v>
      </c>
      <c r="T1191">
        <f>IF(orders[[#This Row],[Status]]="Completed",1,0)</f>
        <v>1</v>
      </c>
      <c r="U1191">
        <f>IF(orders[[#This Row],[Status]]="Pending",1,0)</f>
        <v>0</v>
      </c>
      <c r="V1191">
        <f>IF(orders[[#This Row],[Status]]="Delayed",1,0)</f>
        <v>0</v>
      </c>
      <c r="W1191">
        <f>IF(orders[[#This Row],[Status]]="Cancelled",1,0)</f>
        <v>0</v>
      </c>
    </row>
    <row r="1192" spans="1:23" x14ac:dyDescent="0.35">
      <c r="A1192" t="s">
        <v>1572</v>
      </c>
      <c r="B1192" s="1">
        <v>45682</v>
      </c>
      <c r="C1192" t="s">
        <v>1099</v>
      </c>
      <c r="D1192" t="s">
        <v>149</v>
      </c>
      <c r="E1192" t="s">
        <v>78</v>
      </c>
      <c r="F1192" t="s">
        <v>23</v>
      </c>
      <c r="G1192" t="s">
        <v>24</v>
      </c>
      <c r="H1192" s="7">
        <v>6</v>
      </c>
      <c r="I1192" s="4">
        <v>20062.5</v>
      </c>
      <c r="J1192" s="23">
        <v>0.1</v>
      </c>
      <c r="K1192" s="4">
        <v>18056.25</v>
      </c>
      <c r="L1192" s="4">
        <v>12319.4</v>
      </c>
      <c r="M1192" s="4">
        <v>5736.85</v>
      </c>
      <c r="N1192" t="s">
        <v>25</v>
      </c>
      <c r="O1192" s="7">
        <v>37</v>
      </c>
      <c r="P1192" s="2">
        <v>45683.541666666664</v>
      </c>
      <c r="Q1192" t="s">
        <v>65</v>
      </c>
      <c r="R1192">
        <v>1</v>
      </c>
      <c r="S1192" t="s">
        <v>55</v>
      </c>
      <c r="T1192">
        <f>IF(orders[[#This Row],[Status]]="Completed",1,0)</f>
        <v>1</v>
      </c>
      <c r="U1192">
        <f>IF(orders[[#This Row],[Status]]="Pending",1,0)</f>
        <v>0</v>
      </c>
      <c r="V1192">
        <f>IF(orders[[#This Row],[Status]]="Delayed",1,0)</f>
        <v>0</v>
      </c>
      <c r="W1192">
        <f>IF(orders[[#This Row],[Status]]="Cancelled",1,0)</f>
        <v>0</v>
      </c>
    </row>
    <row r="1193" spans="1:23" x14ac:dyDescent="0.35">
      <c r="A1193" t="s">
        <v>1573</v>
      </c>
      <c r="B1193" s="1">
        <v>45837</v>
      </c>
      <c r="C1193" t="s">
        <v>173</v>
      </c>
      <c r="D1193" t="s">
        <v>77</v>
      </c>
      <c r="E1193" t="s">
        <v>78</v>
      </c>
      <c r="F1193" t="s">
        <v>23</v>
      </c>
      <c r="G1193" t="s">
        <v>136</v>
      </c>
      <c r="H1193" s="7">
        <v>3</v>
      </c>
      <c r="I1193" s="4">
        <v>8078.31</v>
      </c>
      <c r="J1193" s="23">
        <v>0.1</v>
      </c>
      <c r="K1193" s="4">
        <v>7270.48</v>
      </c>
      <c r="L1193" s="4">
        <v>4494.84</v>
      </c>
      <c r="M1193" s="4">
        <v>2775.64</v>
      </c>
      <c r="N1193" t="s">
        <v>25</v>
      </c>
      <c r="O1193" s="7">
        <v>32</v>
      </c>
      <c r="P1193" s="2">
        <v>45838.333333333336</v>
      </c>
      <c r="Q1193" t="s">
        <v>99</v>
      </c>
      <c r="R1193">
        <v>6</v>
      </c>
      <c r="S1193" t="s">
        <v>27</v>
      </c>
      <c r="T1193">
        <f>IF(orders[[#This Row],[Status]]="Completed",1,0)</f>
        <v>1</v>
      </c>
      <c r="U1193">
        <f>IF(orders[[#This Row],[Status]]="Pending",1,0)</f>
        <v>0</v>
      </c>
      <c r="V1193">
        <f>IF(orders[[#This Row],[Status]]="Delayed",1,0)</f>
        <v>0</v>
      </c>
      <c r="W1193">
        <f>IF(orders[[#This Row],[Status]]="Cancelled",1,0)</f>
        <v>0</v>
      </c>
    </row>
    <row r="1194" spans="1:23" x14ac:dyDescent="0.35">
      <c r="A1194" t="s">
        <v>1574</v>
      </c>
      <c r="B1194" s="1">
        <v>45855</v>
      </c>
      <c r="C1194" t="s">
        <v>426</v>
      </c>
      <c r="D1194" t="s">
        <v>63</v>
      </c>
      <c r="E1194" t="s">
        <v>113</v>
      </c>
      <c r="F1194" t="s">
        <v>32</v>
      </c>
      <c r="G1194" t="s">
        <v>64</v>
      </c>
      <c r="H1194" s="7">
        <v>5</v>
      </c>
      <c r="I1194" s="4">
        <v>1787.9</v>
      </c>
      <c r="J1194" s="23">
        <v>0</v>
      </c>
      <c r="K1194" s="4">
        <v>1787.9</v>
      </c>
      <c r="L1194" s="4">
        <v>1101.1600000000001</v>
      </c>
      <c r="M1194" s="4">
        <v>686.74</v>
      </c>
      <c r="N1194" t="s">
        <v>48</v>
      </c>
      <c r="O1194" s="7">
        <v>13</v>
      </c>
      <c r="P1194" s="2">
        <v>45855.541666666664</v>
      </c>
      <c r="Q1194" t="s">
        <v>60</v>
      </c>
      <c r="R1194">
        <v>7</v>
      </c>
      <c r="S1194" t="s">
        <v>42</v>
      </c>
      <c r="T1194">
        <f>IF(orders[[#This Row],[Status]]="Completed",1,0)</f>
        <v>0</v>
      </c>
      <c r="U1194">
        <f>IF(orders[[#This Row],[Status]]="Pending",1,0)</f>
        <v>0</v>
      </c>
      <c r="V1194">
        <f>IF(orders[[#This Row],[Status]]="Delayed",1,0)</f>
        <v>0</v>
      </c>
      <c r="W1194">
        <f>IF(orders[[#This Row],[Status]]="Cancelled",1,0)</f>
        <v>1</v>
      </c>
    </row>
    <row r="1195" spans="1:23" x14ac:dyDescent="0.35">
      <c r="A1195" t="s">
        <v>1575</v>
      </c>
      <c r="B1195" s="1">
        <v>46001</v>
      </c>
      <c r="C1195" t="s">
        <v>275</v>
      </c>
      <c r="D1195" t="s">
        <v>149</v>
      </c>
      <c r="E1195" t="s">
        <v>31</v>
      </c>
      <c r="F1195" t="s">
        <v>72</v>
      </c>
      <c r="G1195" t="s">
        <v>104</v>
      </c>
      <c r="H1195" s="7">
        <v>5</v>
      </c>
      <c r="I1195" s="4">
        <v>913.4</v>
      </c>
      <c r="J1195" s="23">
        <v>0.2</v>
      </c>
      <c r="K1195" s="4">
        <v>730.72</v>
      </c>
      <c r="L1195" s="4">
        <v>524</v>
      </c>
      <c r="M1195" s="4">
        <v>206.72</v>
      </c>
      <c r="N1195" t="s">
        <v>85</v>
      </c>
      <c r="O1195" s="7">
        <v>91</v>
      </c>
      <c r="P1195" s="2">
        <v>46004.791666666664</v>
      </c>
      <c r="Q1195" t="s">
        <v>34</v>
      </c>
      <c r="R1195">
        <v>12</v>
      </c>
      <c r="S1195" t="s">
        <v>35</v>
      </c>
      <c r="T1195">
        <f>IF(orders[[#This Row],[Status]]="Completed",1,0)</f>
        <v>0</v>
      </c>
      <c r="U1195">
        <f>IF(orders[[#This Row],[Status]]="Pending",1,0)</f>
        <v>0</v>
      </c>
      <c r="V1195">
        <f>IF(orders[[#This Row],[Status]]="Delayed",1,0)</f>
        <v>1</v>
      </c>
      <c r="W1195">
        <f>IF(orders[[#This Row],[Status]]="Cancelled",1,0)</f>
        <v>0</v>
      </c>
    </row>
    <row r="1196" spans="1:23" x14ac:dyDescent="0.35">
      <c r="A1196" t="s">
        <v>1576</v>
      </c>
      <c r="B1196" s="1">
        <v>45818</v>
      </c>
      <c r="C1196" t="s">
        <v>1040</v>
      </c>
      <c r="D1196" t="s">
        <v>63</v>
      </c>
      <c r="E1196" t="s">
        <v>59</v>
      </c>
      <c r="F1196" t="s">
        <v>83</v>
      </c>
      <c r="G1196" t="s">
        <v>155</v>
      </c>
      <c r="H1196" s="7">
        <v>1</v>
      </c>
      <c r="I1196" s="4">
        <v>2047.18</v>
      </c>
      <c r="J1196" s="23">
        <v>0</v>
      </c>
      <c r="K1196" s="4">
        <v>2047.18</v>
      </c>
      <c r="L1196" s="4">
        <v>1579.86</v>
      </c>
      <c r="M1196" s="4">
        <v>467.32</v>
      </c>
      <c r="N1196" t="s">
        <v>98</v>
      </c>
      <c r="O1196" s="7">
        <v>19</v>
      </c>
      <c r="P1196" s="2">
        <v>45818.791666666664</v>
      </c>
      <c r="Q1196" t="s">
        <v>99</v>
      </c>
      <c r="R1196">
        <v>6</v>
      </c>
      <c r="S1196" t="s">
        <v>27</v>
      </c>
      <c r="T1196">
        <f>IF(orders[[#This Row],[Status]]="Completed",1,0)</f>
        <v>0</v>
      </c>
      <c r="U1196">
        <f>IF(orders[[#This Row],[Status]]="Pending",1,0)</f>
        <v>1</v>
      </c>
      <c r="V1196">
        <f>IF(orders[[#This Row],[Status]]="Delayed",1,0)</f>
        <v>0</v>
      </c>
      <c r="W1196">
        <f>IF(orders[[#This Row],[Status]]="Cancelled",1,0)</f>
        <v>0</v>
      </c>
    </row>
    <row r="1197" spans="1:23" x14ac:dyDescent="0.35">
      <c r="A1197" t="s">
        <v>1577</v>
      </c>
      <c r="B1197" s="1">
        <v>45834</v>
      </c>
      <c r="C1197" t="s">
        <v>242</v>
      </c>
      <c r="D1197" t="s">
        <v>45</v>
      </c>
      <c r="E1197" t="s">
        <v>46</v>
      </c>
      <c r="F1197" t="s">
        <v>32</v>
      </c>
      <c r="G1197" t="s">
        <v>79</v>
      </c>
      <c r="H1197" s="7">
        <v>7</v>
      </c>
      <c r="I1197" s="4">
        <v>24804.43</v>
      </c>
      <c r="J1197" s="23">
        <v>0.05</v>
      </c>
      <c r="K1197" s="4">
        <v>23564.21</v>
      </c>
      <c r="L1197" s="4">
        <v>20049.23</v>
      </c>
      <c r="M1197" s="4">
        <v>3514.98</v>
      </c>
      <c r="N1197" t="s">
        <v>98</v>
      </c>
      <c r="O1197" s="7">
        <v>12</v>
      </c>
      <c r="P1197" s="2">
        <v>45834.5</v>
      </c>
      <c r="Q1197" t="s">
        <v>99</v>
      </c>
      <c r="R1197">
        <v>6</v>
      </c>
      <c r="S1197" t="s">
        <v>27</v>
      </c>
      <c r="T1197">
        <f>IF(orders[[#This Row],[Status]]="Completed",1,0)</f>
        <v>0</v>
      </c>
      <c r="U1197">
        <f>IF(orders[[#This Row],[Status]]="Pending",1,0)</f>
        <v>1</v>
      </c>
      <c r="V1197">
        <f>IF(orders[[#This Row],[Status]]="Delayed",1,0)</f>
        <v>0</v>
      </c>
      <c r="W1197">
        <f>IF(orders[[#This Row],[Status]]="Cancelled",1,0)</f>
        <v>0</v>
      </c>
    </row>
    <row r="1198" spans="1:23" x14ac:dyDescent="0.35">
      <c r="A1198" t="s">
        <v>1578</v>
      </c>
      <c r="B1198" s="1">
        <v>45942</v>
      </c>
      <c r="C1198" t="s">
        <v>1579</v>
      </c>
      <c r="D1198" t="s">
        <v>68</v>
      </c>
      <c r="E1198" t="s">
        <v>78</v>
      </c>
      <c r="F1198" t="s">
        <v>32</v>
      </c>
      <c r="G1198" t="s">
        <v>64</v>
      </c>
      <c r="H1198" s="7">
        <v>1</v>
      </c>
      <c r="I1198" s="4">
        <v>7258.03</v>
      </c>
      <c r="J1198" s="23">
        <v>0.15</v>
      </c>
      <c r="K1198" s="4">
        <v>6169.33</v>
      </c>
      <c r="L1198" s="4">
        <v>4415.47</v>
      </c>
      <c r="M1198" s="4">
        <v>1753.86</v>
      </c>
      <c r="N1198" t="s">
        <v>25</v>
      </c>
      <c r="O1198" s="7">
        <v>31</v>
      </c>
      <c r="P1198" s="2">
        <v>45943.291666666664</v>
      </c>
      <c r="Q1198" t="s">
        <v>116</v>
      </c>
      <c r="R1198">
        <v>10</v>
      </c>
      <c r="S1198" t="s">
        <v>35</v>
      </c>
      <c r="T1198">
        <f>IF(orders[[#This Row],[Status]]="Completed",1,0)</f>
        <v>1</v>
      </c>
      <c r="U1198">
        <f>IF(orders[[#This Row],[Status]]="Pending",1,0)</f>
        <v>0</v>
      </c>
      <c r="V1198">
        <f>IF(orders[[#This Row],[Status]]="Delayed",1,0)</f>
        <v>0</v>
      </c>
      <c r="W1198">
        <f>IF(orders[[#This Row],[Status]]="Cancelled",1,0)</f>
        <v>0</v>
      </c>
    </row>
    <row r="1199" spans="1:23" x14ac:dyDescent="0.35">
      <c r="A1199" t="s">
        <v>1580</v>
      </c>
      <c r="B1199" s="1">
        <v>45720</v>
      </c>
      <c r="C1199" t="s">
        <v>406</v>
      </c>
      <c r="D1199" t="s">
        <v>45</v>
      </c>
      <c r="E1199" t="s">
        <v>113</v>
      </c>
      <c r="F1199" t="s">
        <v>39</v>
      </c>
      <c r="G1199" t="s">
        <v>40</v>
      </c>
      <c r="H1199" s="7">
        <v>1</v>
      </c>
      <c r="I1199" s="4">
        <v>6817.34</v>
      </c>
      <c r="J1199" s="23">
        <v>0.05</v>
      </c>
      <c r="K1199" s="4">
        <v>6476.47</v>
      </c>
      <c r="L1199" s="4">
        <v>5626.28</v>
      </c>
      <c r="M1199" s="4">
        <v>850.19</v>
      </c>
      <c r="N1199" t="s">
        <v>25</v>
      </c>
      <c r="O1199" s="7">
        <v>6</v>
      </c>
      <c r="P1199" s="2">
        <v>45720.25</v>
      </c>
      <c r="Q1199" t="s">
        <v>54</v>
      </c>
      <c r="R1199">
        <v>3</v>
      </c>
      <c r="S1199" t="s">
        <v>55</v>
      </c>
      <c r="T1199">
        <f>IF(orders[[#This Row],[Status]]="Completed",1,0)</f>
        <v>1</v>
      </c>
      <c r="U1199">
        <f>IF(orders[[#This Row],[Status]]="Pending",1,0)</f>
        <v>0</v>
      </c>
      <c r="V1199">
        <f>IF(orders[[#This Row],[Status]]="Delayed",1,0)</f>
        <v>0</v>
      </c>
      <c r="W1199">
        <f>IF(orders[[#This Row],[Status]]="Cancelled",1,0)</f>
        <v>0</v>
      </c>
    </row>
    <row r="1200" spans="1:23" x14ac:dyDescent="0.35">
      <c r="A1200" t="s">
        <v>1581</v>
      </c>
      <c r="B1200" s="1">
        <v>45807</v>
      </c>
      <c r="C1200" t="s">
        <v>263</v>
      </c>
      <c r="D1200" t="s">
        <v>21</v>
      </c>
      <c r="E1200" t="s">
        <v>46</v>
      </c>
      <c r="F1200" t="s">
        <v>39</v>
      </c>
      <c r="G1200" t="s">
        <v>93</v>
      </c>
      <c r="H1200" s="7">
        <v>5</v>
      </c>
      <c r="I1200" s="4">
        <v>11904.15</v>
      </c>
      <c r="J1200" s="23">
        <v>0.2</v>
      </c>
      <c r="K1200" s="4">
        <v>9523.32</v>
      </c>
      <c r="L1200" s="4">
        <v>8197.1</v>
      </c>
      <c r="M1200" s="4">
        <v>1326.22</v>
      </c>
      <c r="N1200" t="s">
        <v>85</v>
      </c>
      <c r="O1200" s="7">
        <v>94</v>
      </c>
      <c r="P1200" s="2">
        <v>45810.916666666664</v>
      </c>
      <c r="Q1200" t="s">
        <v>74</v>
      </c>
      <c r="R1200">
        <v>5</v>
      </c>
      <c r="S1200" t="s">
        <v>27</v>
      </c>
      <c r="T1200">
        <f>IF(orders[[#This Row],[Status]]="Completed",1,0)</f>
        <v>0</v>
      </c>
      <c r="U1200">
        <f>IF(orders[[#This Row],[Status]]="Pending",1,0)</f>
        <v>0</v>
      </c>
      <c r="V1200">
        <f>IF(orders[[#This Row],[Status]]="Delayed",1,0)</f>
        <v>1</v>
      </c>
      <c r="W1200">
        <f>IF(orders[[#This Row],[Status]]="Cancelled",1,0)</f>
        <v>0</v>
      </c>
    </row>
    <row r="1201" spans="1:23" x14ac:dyDescent="0.35">
      <c r="A1201" t="s">
        <v>1582</v>
      </c>
      <c r="B1201" s="1">
        <v>45811</v>
      </c>
      <c r="C1201" t="s">
        <v>1442</v>
      </c>
      <c r="D1201" t="s">
        <v>77</v>
      </c>
      <c r="E1201" t="s">
        <v>59</v>
      </c>
      <c r="F1201" t="s">
        <v>39</v>
      </c>
      <c r="G1201" t="s">
        <v>47</v>
      </c>
      <c r="H1201" s="7">
        <v>2</v>
      </c>
      <c r="I1201" s="4">
        <v>4383.82</v>
      </c>
      <c r="J1201" s="23">
        <v>0.1</v>
      </c>
      <c r="K1201" s="4">
        <v>3945.44</v>
      </c>
      <c r="L1201" s="4">
        <v>3296.3</v>
      </c>
      <c r="M1201" s="4">
        <v>649.14</v>
      </c>
      <c r="N1201" t="s">
        <v>25</v>
      </c>
      <c r="O1201" s="7">
        <v>13</v>
      </c>
      <c r="P1201" s="2">
        <v>45811.541666666664</v>
      </c>
      <c r="Q1201" t="s">
        <v>99</v>
      </c>
      <c r="R1201">
        <v>6</v>
      </c>
      <c r="S1201" t="s">
        <v>27</v>
      </c>
      <c r="T1201">
        <f>IF(orders[[#This Row],[Status]]="Completed",1,0)</f>
        <v>1</v>
      </c>
      <c r="U1201">
        <f>IF(orders[[#This Row],[Status]]="Pending",1,0)</f>
        <v>0</v>
      </c>
      <c r="V1201">
        <f>IF(orders[[#This Row],[Status]]="Delayed",1,0)</f>
        <v>0</v>
      </c>
      <c r="W1201">
        <f>IF(orders[[#This Row],[Status]]="Cancelled",1,0)</f>
        <v>0</v>
      </c>
    </row>
    <row r="1202" spans="1:23" x14ac:dyDescent="0.35">
      <c r="A1202" t="s">
        <v>1583</v>
      </c>
      <c r="B1202" s="1">
        <v>45813</v>
      </c>
      <c r="C1202" t="s">
        <v>379</v>
      </c>
      <c r="D1202" t="s">
        <v>63</v>
      </c>
      <c r="E1202" t="s">
        <v>92</v>
      </c>
      <c r="F1202" t="s">
        <v>32</v>
      </c>
      <c r="G1202" t="s">
        <v>53</v>
      </c>
      <c r="H1202" s="7">
        <v>3</v>
      </c>
      <c r="I1202" s="4">
        <v>6144.42</v>
      </c>
      <c r="J1202" s="23">
        <v>0.2</v>
      </c>
      <c r="K1202" s="4">
        <v>4915.54</v>
      </c>
      <c r="L1202" s="4">
        <v>3514.57</v>
      </c>
      <c r="M1202" s="4">
        <v>1400.97</v>
      </c>
      <c r="N1202" t="s">
        <v>48</v>
      </c>
      <c r="O1202" s="7">
        <v>19</v>
      </c>
      <c r="P1202" s="2">
        <v>45813.791666666664</v>
      </c>
      <c r="Q1202" t="s">
        <v>99</v>
      </c>
      <c r="R1202">
        <v>6</v>
      </c>
      <c r="S1202" t="s">
        <v>27</v>
      </c>
      <c r="T1202">
        <f>IF(orders[[#This Row],[Status]]="Completed",1,0)</f>
        <v>0</v>
      </c>
      <c r="U1202">
        <f>IF(orders[[#This Row],[Status]]="Pending",1,0)</f>
        <v>0</v>
      </c>
      <c r="V1202">
        <f>IF(orders[[#This Row],[Status]]="Delayed",1,0)</f>
        <v>0</v>
      </c>
      <c r="W1202">
        <f>IF(orders[[#This Row],[Status]]="Cancelled",1,0)</f>
        <v>1</v>
      </c>
    </row>
    <row r="1203" spans="1:23" x14ac:dyDescent="0.35">
      <c r="A1203" t="s">
        <v>1584</v>
      </c>
      <c r="B1203" s="1">
        <v>45706</v>
      </c>
      <c r="C1203" t="s">
        <v>523</v>
      </c>
      <c r="D1203" t="s">
        <v>58</v>
      </c>
      <c r="E1203" t="s">
        <v>113</v>
      </c>
      <c r="F1203" t="s">
        <v>83</v>
      </c>
      <c r="G1203" t="s">
        <v>152</v>
      </c>
      <c r="H1203" s="7">
        <v>3</v>
      </c>
      <c r="I1203" s="4">
        <v>8947.89</v>
      </c>
      <c r="J1203" s="23">
        <v>0.15</v>
      </c>
      <c r="K1203" s="4">
        <v>7605.71</v>
      </c>
      <c r="L1203" s="4">
        <v>4536.79</v>
      </c>
      <c r="M1203" s="4">
        <v>3068.92</v>
      </c>
      <c r="N1203" t="s">
        <v>25</v>
      </c>
      <c r="O1203" s="7">
        <v>30</v>
      </c>
      <c r="P1203" s="2">
        <v>45707.25</v>
      </c>
      <c r="Q1203" t="s">
        <v>139</v>
      </c>
      <c r="R1203">
        <v>2</v>
      </c>
      <c r="S1203" t="s">
        <v>55</v>
      </c>
      <c r="T1203">
        <f>IF(orders[[#This Row],[Status]]="Completed",1,0)</f>
        <v>1</v>
      </c>
      <c r="U1203">
        <f>IF(orders[[#This Row],[Status]]="Pending",1,0)</f>
        <v>0</v>
      </c>
      <c r="V1203">
        <f>IF(orders[[#This Row],[Status]]="Delayed",1,0)</f>
        <v>0</v>
      </c>
      <c r="W1203">
        <f>IF(orders[[#This Row],[Status]]="Cancelled",1,0)</f>
        <v>0</v>
      </c>
    </row>
    <row r="1204" spans="1:23" x14ac:dyDescent="0.35">
      <c r="A1204" t="s">
        <v>1585</v>
      </c>
      <c r="B1204" s="1">
        <v>45994</v>
      </c>
      <c r="C1204" t="s">
        <v>745</v>
      </c>
      <c r="D1204" t="s">
        <v>45</v>
      </c>
      <c r="E1204" t="s">
        <v>31</v>
      </c>
      <c r="F1204" t="s">
        <v>23</v>
      </c>
      <c r="G1204" t="s">
        <v>24</v>
      </c>
      <c r="H1204" s="7">
        <v>7</v>
      </c>
      <c r="I1204" s="4">
        <v>30169.72</v>
      </c>
      <c r="J1204" s="23">
        <v>0.25</v>
      </c>
      <c r="K1204" s="4">
        <v>22627.29</v>
      </c>
      <c r="L1204" s="4">
        <v>14072.1</v>
      </c>
      <c r="M1204" s="4">
        <v>8555.19</v>
      </c>
      <c r="N1204" t="s">
        <v>25</v>
      </c>
      <c r="O1204" s="7">
        <v>34</v>
      </c>
      <c r="P1204" s="2">
        <v>45995.416666666664</v>
      </c>
      <c r="Q1204" t="s">
        <v>34</v>
      </c>
      <c r="R1204">
        <v>12</v>
      </c>
      <c r="S1204" t="s">
        <v>35</v>
      </c>
      <c r="T1204">
        <f>IF(orders[[#This Row],[Status]]="Completed",1,0)</f>
        <v>1</v>
      </c>
      <c r="U1204">
        <f>IF(orders[[#This Row],[Status]]="Pending",1,0)</f>
        <v>0</v>
      </c>
      <c r="V1204">
        <f>IF(orders[[#This Row],[Status]]="Delayed",1,0)</f>
        <v>0</v>
      </c>
      <c r="W1204">
        <f>IF(orders[[#This Row],[Status]]="Cancelled",1,0)</f>
        <v>0</v>
      </c>
    </row>
    <row r="1205" spans="1:23" x14ac:dyDescent="0.35">
      <c r="A1205" t="s">
        <v>1586</v>
      </c>
      <c r="B1205" s="1">
        <v>45741</v>
      </c>
      <c r="C1205" t="s">
        <v>71</v>
      </c>
      <c r="D1205" t="s">
        <v>21</v>
      </c>
      <c r="E1205" t="s">
        <v>59</v>
      </c>
      <c r="F1205" t="s">
        <v>39</v>
      </c>
      <c r="G1205" t="s">
        <v>93</v>
      </c>
      <c r="H1205" s="7">
        <v>6</v>
      </c>
      <c r="I1205" s="4">
        <v>22877.279999999999</v>
      </c>
      <c r="J1205" s="23">
        <v>0.2</v>
      </c>
      <c r="K1205" s="4">
        <v>18301.82</v>
      </c>
      <c r="L1205" s="4">
        <v>13977.67</v>
      </c>
      <c r="M1205" s="4">
        <v>4324.1499999999996</v>
      </c>
      <c r="N1205" t="s">
        <v>25</v>
      </c>
      <c r="O1205" s="7">
        <v>30</v>
      </c>
      <c r="P1205" s="2">
        <v>45742.25</v>
      </c>
      <c r="Q1205" t="s">
        <v>54</v>
      </c>
      <c r="R1205">
        <v>3</v>
      </c>
      <c r="S1205" t="s">
        <v>55</v>
      </c>
      <c r="T1205">
        <f>IF(orders[[#This Row],[Status]]="Completed",1,0)</f>
        <v>1</v>
      </c>
      <c r="U1205">
        <f>IF(orders[[#This Row],[Status]]="Pending",1,0)</f>
        <v>0</v>
      </c>
      <c r="V1205">
        <f>IF(orders[[#This Row],[Status]]="Delayed",1,0)</f>
        <v>0</v>
      </c>
      <c r="W1205">
        <f>IF(orders[[#This Row],[Status]]="Cancelled",1,0)</f>
        <v>0</v>
      </c>
    </row>
    <row r="1206" spans="1:23" x14ac:dyDescent="0.35">
      <c r="A1206" t="s">
        <v>1587</v>
      </c>
      <c r="B1206" s="1">
        <v>46018</v>
      </c>
      <c r="C1206" t="s">
        <v>684</v>
      </c>
      <c r="D1206" t="s">
        <v>51</v>
      </c>
      <c r="E1206" t="s">
        <v>78</v>
      </c>
      <c r="F1206" t="s">
        <v>83</v>
      </c>
      <c r="G1206" t="s">
        <v>84</v>
      </c>
      <c r="H1206" s="7">
        <v>7</v>
      </c>
      <c r="I1206" s="4">
        <v>13808.06</v>
      </c>
      <c r="J1206" s="23">
        <v>0.2</v>
      </c>
      <c r="K1206" s="4">
        <v>11046.45</v>
      </c>
      <c r="L1206" s="4">
        <v>7612.98</v>
      </c>
      <c r="M1206" s="4">
        <v>3433.47</v>
      </c>
      <c r="N1206" t="s">
        <v>25</v>
      </c>
      <c r="O1206" s="7">
        <v>45</v>
      </c>
      <c r="P1206" s="2">
        <v>46019.875</v>
      </c>
      <c r="Q1206" t="s">
        <v>34</v>
      </c>
      <c r="R1206">
        <v>12</v>
      </c>
      <c r="S1206" t="s">
        <v>35</v>
      </c>
      <c r="T1206">
        <f>IF(orders[[#This Row],[Status]]="Completed",1,0)</f>
        <v>1</v>
      </c>
      <c r="U1206">
        <f>IF(orders[[#This Row],[Status]]="Pending",1,0)</f>
        <v>0</v>
      </c>
      <c r="V1206">
        <f>IF(orders[[#This Row],[Status]]="Delayed",1,0)</f>
        <v>0</v>
      </c>
      <c r="W1206">
        <f>IF(orders[[#This Row],[Status]]="Cancelled",1,0)</f>
        <v>0</v>
      </c>
    </row>
    <row r="1207" spans="1:23" x14ac:dyDescent="0.35">
      <c r="A1207" t="s">
        <v>1588</v>
      </c>
      <c r="B1207" s="1">
        <v>45834</v>
      </c>
      <c r="C1207" t="s">
        <v>148</v>
      </c>
      <c r="D1207" t="s">
        <v>38</v>
      </c>
      <c r="E1207" t="s">
        <v>52</v>
      </c>
      <c r="F1207" t="s">
        <v>72</v>
      </c>
      <c r="G1207" t="s">
        <v>104</v>
      </c>
      <c r="H1207" s="7">
        <v>2</v>
      </c>
      <c r="I1207" s="4">
        <v>2478.54</v>
      </c>
      <c r="J1207" s="23">
        <v>0.15</v>
      </c>
      <c r="K1207" s="4">
        <v>2106.7600000000002</v>
      </c>
      <c r="L1207" s="4">
        <v>1260.78</v>
      </c>
      <c r="M1207" s="4">
        <v>845.98</v>
      </c>
      <c r="N1207" t="s">
        <v>25</v>
      </c>
      <c r="O1207" s="7">
        <v>4</v>
      </c>
      <c r="P1207" s="2">
        <v>45834.166666666664</v>
      </c>
      <c r="Q1207" t="s">
        <v>99</v>
      </c>
      <c r="R1207">
        <v>6</v>
      </c>
      <c r="S1207" t="s">
        <v>27</v>
      </c>
      <c r="T1207">
        <f>IF(orders[[#This Row],[Status]]="Completed",1,0)</f>
        <v>1</v>
      </c>
      <c r="U1207">
        <f>IF(orders[[#This Row],[Status]]="Pending",1,0)</f>
        <v>0</v>
      </c>
      <c r="V1207">
        <f>IF(orders[[#This Row],[Status]]="Delayed",1,0)</f>
        <v>0</v>
      </c>
      <c r="W1207">
        <f>IF(orders[[#This Row],[Status]]="Cancelled",1,0)</f>
        <v>0</v>
      </c>
    </row>
    <row r="1208" spans="1:23" x14ac:dyDescent="0.35">
      <c r="A1208" t="s">
        <v>1589</v>
      </c>
      <c r="B1208" s="1">
        <v>45805</v>
      </c>
      <c r="C1208" t="s">
        <v>385</v>
      </c>
      <c r="D1208" t="s">
        <v>149</v>
      </c>
      <c r="E1208" t="s">
        <v>31</v>
      </c>
      <c r="F1208" t="s">
        <v>39</v>
      </c>
      <c r="G1208" t="s">
        <v>188</v>
      </c>
      <c r="H1208" s="7">
        <v>2</v>
      </c>
      <c r="I1208" s="4">
        <v>510.04</v>
      </c>
      <c r="J1208" s="23">
        <v>0.05</v>
      </c>
      <c r="K1208" s="4">
        <v>484.54</v>
      </c>
      <c r="L1208" s="4">
        <v>343.09</v>
      </c>
      <c r="M1208" s="4">
        <v>141.44999999999999</v>
      </c>
      <c r="N1208" t="s">
        <v>25</v>
      </c>
      <c r="O1208" s="7">
        <v>9</v>
      </c>
      <c r="P1208" s="2">
        <v>45805.375</v>
      </c>
      <c r="Q1208" t="s">
        <v>74</v>
      </c>
      <c r="R1208">
        <v>5</v>
      </c>
      <c r="S1208" t="s">
        <v>27</v>
      </c>
      <c r="T1208">
        <f>IF(orders[[#This Row],[Status]]="Completed",1,0)</f>
        <v>1</v>
      </c>
      <c r="U1208">
        <f>IF(orders[[#This Row],[Status]]="Pending",1,0)</f>
        <v>0</v>
      </c>
      <c r="V1208">
        <f>IF(orders[[#This Row],[Status]]="Delayed",1,0)</f>
        <v>0</v>
      </c>
      <c r="W1208">
        <f>IF(orders[[#This Row],[Status]]="Cancelled",1,0)</f>
        <v>0</v>
      </c>
    </row>
    <row r="1209" spans="1:23" x14ac:dyDescent="0.35">
      <c r="A1209" t="s">
        <v>1590</v>
      </c>
      <c r="B1209" s="1">
        <v>45775</v>
      </c>
      <c r="C1209" t="s">
        <v>745</v>
      </c>
      <c r="D1209" t="s">
        <v>21</v>
      </c>
      <c r="E1209" t="s">
        <v>78</v>
      </c>
      <c r="F1209" t="s">
        <v>23</v>
      </c>
      <c r="G1209" t="s">
        <v>122</v>
      </c>
      <c r="H1209" s="7">
        <v>3</v>
      </c>
      <c r="I1209" s="4">
        <v>4306.7700000000004</v>
      </c>
      <c r="J1209" s="23">
        <v>0</v>
      </c>
      <c r="K1209" s="4">
        <v>4306.7700000000004</v>
      </c>
      <c r="L1209" s="4">
        <v>2393.5</v>
      </c>
      <c r="M1209" s="4">
        <v>1913.27</v>
      </c>
      <c r="N1209" t="s">
        <v>25</v>
      </c>
      <c r="O1209" s="7">
        <v>14</v>
      </c>
      <c r="P1209" s="2">
        <v>45775.583333333336</v>
      </c>
      <c r="Q1209" t="s">
        <v>26</v>
      </c>
      <c r="R1209">
        <v>4</v>
      </c>
      <c r="S1209" t="s">
        <v>27</v>
      </c>
      <c r="T1209">
        <f>IF(orders[[#This Row],[Status]]="Completed",1,0)</f>
        <v>1</v>
      </c>
      <c r="U1209">
        <f>IF(orders[[#This Row],[Status]]="Pending",1,0)</f>
        <v>0</v>
      </c>
      <c r="V1209">
        <f>IF(orders[[#This Row],[Status]]="Delayed",1,0)</f>
        <v>0</v>
      </c>
      <c r="W1209">
        <f>IF(orders[[#This Row],[Status]]="Cancelled",1,0)</f>
        <v>0</v>
      </c>
    </row>
    <row r="1210" spans="1:23" x14ac:dyDescent="0.35">
      <c r="A1210" t="s">
        <v>1591</v>
      </c>
      <c r="B1210" s="1">
        <v>45999</v>
      </c>
      <c r="C1210" t="s">
        <v>633</v>
      </c>
      <c r="D1210" t="s">
        <v>68</v>
      </c>
      <c r="E1210" t="s">
        <v>31</v>
      </c>
      <c r="F1210" t="s">
        <v>72</v>
      </c>
      <c r="G1210" t="s">
        <v>146</v>
      </c>
      <c r="H1210" s="7">
        <v>4</v>
      </c>
      <c r="I1210" s="4">
        <v>24158.92</v>
      </c>
      <c r="J1210" s="23">
        <v>0.1</v>
      </c>
      <c r="K1210" s="4">
        <v>21743.03</v>
      </c>
      <c r="L1210" s="4">
        <v>17224.509999999998</v>
      </c>
      <c r="M1210" s="4">
        <v>4518.5200000000004</v>
      </c>
      <c r="N1210" t="s">
        <v>25</v>
      </c>
      <c r="O1210" s="7">
        <v>37</v>
      </c>
      <c r="P1210" s="2">
        <v>46000.541666666664</v>
      </c>
      <c r="Q1210" t="s">
        <v>34</v>
      </c>
      <c r="R1210">
        <v>12</v>
      </c>
      <c r="S1210" t="s">
        <v>35</v>
      </c>
      <c r="T1210">
        <f>IF(orders[[#This Row],[Status]]="Completed",1,0)</f>
        <v>1</v>
      </c>
      <c r="U1210">
        <f>IF(orders[[#This Row],[Status]]="Pending",1,0)</f>
        <v>0</v>
      </c>
      <c r="V1210">
        <f>IF(orders[[#This Row],[Status]]="Delayed",1,0)</f>
        <v>0</v>
      </c>
      <c r="W1210">
        <f>IF(orders[[#This Row],[Status]]="Cancelled",1,0)</f>
        <v>0</v>
      </c>
    </row>
    <row r="1211" spans="1:23" x14ac:dyDescent="0.35">
      <c r="A1211" t="s">
        <v>1592</v>
      </c>
      <c r="B1211" s="1">
        <v>45720</v>
      </c>
      <c r="C1211" t="s">
        <v>578</v>
      </c>
      <c r="D1211" t="s">
        <v>45</v>
      </c>
      <c r="E1211" t="s">
        <v>113</v>
      </c>
      <c r="F1211" t="s">
        <v>72</v>
      </c>
      <c r="G1211" t="s">
        <v>119</v>
      </c>
      <c r="H1211" s="7">
        <v>1</v>
      </c>
      <c r="I1211" s="4">
        <v>2184.38</v>
      </c>
      <c r="J1211" s="23">
        <v>0.25</v>
      </c>
      <c r="K1211" s="4">
        <v>1638.28</v>
      </c>
      <c r="L1211" s="4">
        <v>940.83</v>
      </c>
      <c r="M1211" s="4">
        <v>697.45</v>
      </c>
      <c r="N1211" t="s">
        <v>85</v>
      </c>
      <c r="O1211" s="7">
        <v>52</v>
      </c>
      <c r="P1211" s="2">
        <v>45722.166666666664</v>
      </c>
      <c r="Q1211" t="s">
        <v>54</v>
      </c>
      <c r="R1211">
        <v>3</v>
      </c>
      <c r="S1211" t="s">
        <v>55</v>
      </c>
      <c r="T1211">
        <f>IF(orders[[#This Row],[Status]]="Completed",1,0)</f>
        <v>0</v>
      </c>
      <c r="U1211">
        <f>IF(orders[[#This Row],[Status]]="Pending",1,0)</f>
        <v>0</v>
      </c>
      <c r="V1211">
        <f>IF(orders[[#This Row],[Status]]="Delayed",1,0)</f>
        <v>1</v>
      </c>
      <c r="W1211">
        <f>IF(orders[[#This Row],[Status]]="Cancelled",1,0)</f>
        <v>0</v>
      </c>
    </row>
    <row r="1212" spans="1:23" x14ac:dyDescent="0.35">
      <c r="A1212" t="s">
        <v>1593</v>
      </c>
      <c r="B1212" s="1">
        <v>45846</v>
      </c>
      <c r="C1212" t="s">
        <v>169</v>
      </c>
      <c r="D1212" t="s">
        <v>68</v>
      </c>
      <c r="E1212" t="s">
        <v>46</v>
      </c>
      <c r="F1212" t="s">
        <v>23</v>
      </c>
      <c r="G1212" t="s">
        <v>122</v>
      </c>
      <c r="H1212" s="7">
        <v>1</v>
      </c>
      <c r="I1212" s="4">
        <v>4062.83</v>
      </c>
      <c r="J1212" s="23">
        <v>0.15</v>
      </c>
      <c r="K1212" s="4">
        <v>3453.41</v>
      </c>
      <c r="L1212" s="4">
        <v>2616.33</v>
      </c>
      <c r="M1212" s="4">
        <v>837.08</v>
      </c>
      <c r="N1212" t="s">
        <v>48</v>
      </c>
      <c r="O1212" s="7">
        <v>20</v>
      </c>
      <c r="P1212" s="2">
        <v>45846.833333333336</v>
      </c>
      <c r="Q1212" t="s">
        <v>60</v>
      </c>
      <c r="R1212">
        <v>7</v>
      </c>
      <c r="S1212" t="s">
        <v>42</v>
      </c>
      <c r="T1212">
        <f>IF(orders[[#This Row],[Status]]="Completed",1,0)</f>
        <v>0</v>
      </c>
      <c r="U1212">
        <f>IF(orders[[#This Row],[Status]]="Pending",1,0)</f>
        <v>0</v>
      </c>
      <c r="V1212">
        <f>IF(orders[[#This Row],[Status]]="Delayed",1,0)</f>
        <v>0</v>
      </c>
      <c r="W1212">
        <f>IF(orders[[#This Row],[Status]]="Cancelled",1,0)</f>
        <v>1</v>
      </c>
    </row>
    <row r="1213" spans="1:23" x14ac:dyDescent="0.35">
      <c r="A1213" t="s">
        <v>1594</v>
      </c>
      <c r="B1213" s="1">
        <v>46017</v>
      </c>
      <c r="C1213" t="s">
        <v>50</v>
      </c>
      <c r="D1213" t="s">
        <v>38</v>
      </c>
      <c r="E1213" t="s">
        <v>22</v>
      </c>
      <c r="F1213" t="s">
        <v>39</v>
      </c>
      <c r="G1213" t="s">
        <v>188</v>
      </c>
      <c r="H1213" s="7">
        <v>3</v>
      </c>
      <c r="I1213" s="4">
        <v>15262.08</v>
      </c>
      <c r="J1213" s="23">
        <v>0.2</v>
      </c>
      <c r="K1213" s="4">
        <v>12209.66</v>
      </c>
      <c r="L1213" s="4">
        <v>9910.5</v>
      </c>
      <c r="M1213" s="4">
        <v>2299.16</v>
      </c>
      <c r="N1213" t="s">
        <v>48</v>
      </c>
      <c r="O1213" s="7">
        <v>13</v>
      </c>
      <c r="P1213" s="2">
        <v>46017.541666666664</v>
      </c>
      <c r="Q1213" t="s">
        <v>34</v>
      </c>
      <c r="R1213">
        <v>12</v>
      </c>
      <c r="S1213" t="s">
        <v>35</v>
      </c>
      <c r="T1213">
        <f>IF(orders[[#This Row],[Status]]="Completed",1,0)</f>
        <v>0</v>
      </c>
      <c r="U1213">
        <f>IF(orders[[#This Row],[Status]]="Pending",1,0)</f>
        <v>0</v>
      </c>
      <c r="V1213">
        <f>IF(orders[[#This Row],[Status]]="Delayed",1,0)</f>
        <v>0</v>
      </c>
      <c r="W1213">
        <f>IF(orders[[#This Row],[Status]]="Cancelled",1,0)</f>
        <v>1</v>
      </c>
    </row>
    <row r="1214" spans="1:23" x14ac:dyDescent="0.35">
      <c r="A1214" t="s">
        <v>1595</v>
      </c>
      <c r="B1214" s="1">
        <v>45706</v>
      </c>
      <c r="C1214" t="s">
        <v>356</v>
      </c>
      <c r="D1214" t="s">
        <v>58</v>
      </c>
      <c r="E1214" t="s">
        <v>31</v>
      </c>
      <c r="F1214" t="s">
        <v>32</v>
      </c>
      <c r="G1214" t="s">
        <v>79</v>
      </c>
      <c r="H1214" s="7">
        <v>7</v>
      </c>
      <c r="I1214" s="4">
        <v>52885.84</v>
      </c>
      <c r="J1214" s="23">
        <v>0.15</v>
      </c>
      <c r="K1214" s="4">
        <v>44952.959999999999</v>
      </c>
      <c r="L1214" s="4">
        <v>26691.83</v>
      </c>
      <c r="M1214" s="4">
        <v>18261.13</v>
      </c>
      <c r="N1214" t="s">
        <v>98</v>
      </c>
      <c r="O1214" s="7">
        <v>4</v>
      </c>
      <c r="P1214" s="2">
        <v>45706.166666666664</v>
      </c>
      <c r="Q1214" t="s">
        <v>139</v>
      </c>
      <c r="R1214">
        <v>2</v>
      </c>
      <c r="S1214" t="s">
        <v>55</v>
      </c>
      <c r="T1214">
        <f>IF(orders[[#This Row],[Status]]="Completed",1,0)</f>
        <v>0</v>
      </c>
      <c r="U1214">
        <f>IF(orders[[#This Row],[Status]]="Pending",1,0)</f>
        <v>1</v>
      </c>
      <c r="V1214">
        <f>IF(orders[[#This Row],[Status]]="Delayed",1,0)</f>
        <v>0</v>
      </c>
      <c r="W1214">
        <f>IF(orders[[#This Row],[Status]]="Cancelled",1,0)</f>
        <v>0</v>
      </c>
    </row>
    <row r="1215" spans="1:23" x14ac:dyDescent="0.35">
      <c r="A1215" t="s">
        <v>1596</v>
      </c>
      <c r="B1215" s="1">
        <v>45984</v>
      </c>
      <c r="C1215" t="s">
        <v>690</v>
      </c>
      <c r="D1215" t="s">
        <v>77</v>
      </c>
      <c r="E1215" t="s">
        <v>59</v>
      </c>
      <c r="F1215" t="s">
        <v>23</v>
      </c>
      <c r="G1215" t="s">
        <v>136</v>
      </c>
      <c r="H1215" s="7">
        <v>2</v>
      </c>
      <c r="I1215" s="4">
        <v>15143.88</v>
      </c>
      <c r="J1215" s="23">
        <v>0</v>
      </c>
      <c r="K1215" s="4">
        <v>15143.88</v>
      </c>
      <c r="L1215" s="4">
        <v>10921.02</v>
      </c>
      <c r="M1215" s="4">
        <v>4222.8599999999997</v>
      </c>
      <c r="N1215" t="s">
        <v>25</v>
      </c>
      <c r="O1215" s="7">
        <v>21</v>
      </c>
      <c r="P1215" s="2">
        <v>45984.875</v>
      </c>
      <c r="Q1215" t="s">
        <v>86</v>
      </c>
      <c r="R1215">
        <v>11</v>
      </c>
      <c r="S1215" t="s">
        <v>35</v>
      </c>
      <c r="T1215">
        <f>IF(orders[[#This Row],[Status]]="Completed",1,0)</f>
        <v>1</v>
      </c>
      <c r="U1215">
        <f>IF(orders[[#This Row],[Status]]="Pending",1,0)</f>
        <v>0</v>
      </c>
      <c r="V1215">
        <f>IF(orders[[#This Row],[Status]]="Delayed",1,0)</f>
        <v>0</v>
      </c>
      <c r="W1215">
        <f>IF(orders[[#This Row],[Status]]="Cancelled",1,0)</f>
        <v>0</v>
      </c>
    </row>
    <row r="1216" spans="1:23" x14ac:dyDescent="0.35">
      <c r="A1216" t="s">
        <v>1597</v>
      </c>
      <c r="B1216" s="1">
        <v>45914</v>
      </c>
      <c r="C1216" t="s">
        <v>1092</v>
      </c>
      <c r="D1216" t="s">
        <v>77</v>
      </c>
      <c r="E1216" t="s">
        <v>52</v>
      </c>
      <c r="F1216" t="s">
        <v>23</v>
      </c>
      <c r="G1216" t="s">
        <v>110</v>
      </c>
      <c r="H1216" s="7">
        <v>7</v>
      </c>
      <c r="I1216" s="4">
        <v>44638.16</v>
      </c>
      <c r="J1216" s="23">
        <v>0.05</v>
      </c>
      <c r="K1216" s="4">
        <v>42406.25</v>
      </c>
      <c r="L1216" s="4">
        <v>34225.760000000002</v>
      </c>
      <c r="M1216" s="4">
        <v>8180.49</v>
      </c>
      <c r="N1216" t="s">
        <v>85</v>
      </c>
      <c r="O1216" s="7">
        <v>95</v>
      </c>
      <c r="P1216" s="2">
        <v>45917.958333333336</v>
      </c>
      <c r="Q1216" t="s">
        <v>41</v>
      </c>
      <c r="R1216">
        <v>9</v>
      </c>
      <c r="S1216" t="s">
        <v>42</v>
      </c>
      <c r="T1216">
        <f>IF(orders[[#This Row],[Status]]="Completed",1,0)</f>
        <v>0</v>
      </c>
      <c r="U1216">
        <f>IF(orders[[#This Row],[Status]]="Pending",1,0)</f>
        <v>0</v>
      </c>
      <c r="V1216">
        <f>IF(orders[[#This Row],[Status]]="Delayed",1,0)</f>
        <v>1</v>
      </c>
      <c r="W1216">
        <f>IF(orders[[#This Row],[Status]]="Cancelled",1,0)</f>
        <v>0</v>
      </c>
    </row>
    <row r="1217" spans="1:23" x14ac:dyDescent="0.35">
      <c r="A1217" t="s">
        <v>1598</v>
      </c>
      <c r="B1217" s="1">
        <v>45881</v>
      </c>
      <c r="C1217" t="s">
        <v>614</v>
      </c>
      <c r="D1217" t="s">
        <v>68</v>
      </c>
      <c r="E1217" t="s">
        <v>92</v>
      </c>
      <c r="F1217" t="s">
        <v>23</v>
      </c>
      <c r="G1217" t="s">
        <v>69</v>
      </c>
      <c r="H1217" s="7">
        <v>6</v>
      </c>
      <c r="I1217" s="4">
        <v>2661.36</v>
      </c>
      <c r="J1217" s="23">
        <v>0.05</v>
      </c>
      <c r="K1217" s="4">
        <v>2528.29</v>
      </c>
      <c r="L1217" s="4">
        <v>1608.02</v>
      </c>
      <c r="M1217" s="4">
        <v>920.27</v>
      </c>
      <c r="N1217" t="s">
        <v>48</v>
      </c>
      <c r="O1217" s="7">
        <v>13</v>
      </c>
      <c r="P1217" s="2">
        <v>45881.541666666664</v>
      </c>
      <c r="Q1217" t="s">
        <v>80</v>
      </c>
      <c r="R1217">
        <v>8</v>
      </c>
      <c r="S1217" t="s">
        <v>42</v>
      </c>
      <c r="T1217">
        <f>IF(orders[[#This Row],[Status]]="Completed",1,0)</f>
        <v>0</v>
      </c>
      <c r="U1217">
        <f>IF(orders[[#This Row],[Status]]="Pending",1,0)</f>
        <v>0</v>
      </c>
      <c r="V1217">
        <f>IF(orders[[#This Row],[Status]]="Delayed",1,0)</f>
        <v>0</v>
      </c>
      <c r="W1217">
        <f>IF(orders[[#This Row],[Status]]="Cancelled",1,0)</f>
        <v>1</v>
      </c>
    </row>
    <row r="1218" spans="1:23" x14ac:dyDescent="0.35">
      <c r="A1218" t="s">
        <v>1599</v>
      </c>
      <c r="B1218" s="1">
        <v>45798</v>
      </c>
      <c r="C1218" t="s">
        <v>532</v>
      </c>
      <c r="D1218" t="s">
        <v>63</v>
      </c>
      <c r="E1218" t="s">
        <v>52</v>
      </c>
      <c r="F1218" t="s">
        <v>72</v>
      </c>
      <c r="G1218" t="s">
        <v>73</v>
      </c>
      <c r="H1218" s="7">
        <v>4</v>
      </c>
      <c r="I1218" s="4">
        <v>19807.36</v>
      </c>
      <c r="J1218" s="23">
        <v>0</v>
      </c>
      <c r="K1218" s="4">
        <v>19807.36</v>
      </c>
      <c r="L1218" s="4">
        <v>11958.94</v>
      </c>
      <c r="M1218" s="4">
        <v>7848.42</v>
      </c>
      <c r="N1218" t="s">
        <v>25</v>
      </c>
      <c r="O1218" s="7">
        <v>7</v>
      </c>
      <c r="P1218" s="2">
        <v>45798.291666666664</v>
      </c>
      <c r="Q1218" t="s">
        <v>74</v>
      </c>
      <c r="R1218">
        <v>5</v>
      </c>
      <c r="S1218" t="s">
        <v>27</v>
      </c>
      <c r="T1218">
        <f>IF(orders[[#This Row],[Status]]="Completed",1,0)</f>
        <v>1</v>
      </c>
      <c r="U1218">
        <f>IF(orders[[#This Row],[Status]]="Pending",1,0)</f>
        <v>0</v>
      </c>
      <c r="V1218">
        <f>IF(orders[[#This Row],[Status]]="Delayed",1,0)</f>
        <v>0</v>
      </c>
      <c r="W1218">
        <f>IF(orders[[#This Row],[Status]]="Cancelled",1,0)</f>
        <v>0</v>
      </c>
    </row>
    <row r="1219" spans="1:23" x14ac:dyDescent="0.35">
      <c r="A1219" t="s">
        <v>1600</v>
      </c>
      <c r="B1219" s="1">
        <v>45872</v>
      </c>
      <c r="C1219" t="s">
        <v>1507</v>
      </c>
      <c r="D1219" t="s">
        <v>58</v>
      </c>
      <c r="E1219" t="s">
        <v>59</v>
      </c>
      <c r="F1219" t="s">
        <v>83</v>
      </c>
      <c r="G1219" t="s">
        <v>182</v>
      </c>
      <c r="H1219" s="7">
        <v>3</v>
      </c>
      <c r="I1219" s="4">
        <v>20153.91</v>
      </c>
      <c r="J1219" s="23">
        <v>0.1</v>
      </c>
      <c r="K1219" s="4">
        <v>18138.52</v>
      </c>
      <c r="L1219" s="4">
        <v>11992.29</v>
      </c>
      <c r="M1219" s="4">
        <v>6146.23</v>
      </c>
      <c r="N1219" t="s">
        <v>25</v>
      </c>
      <c r="O1219" s="7">
        <v>16</v>
      </c>
      <c r="P1219" s="2">
        <v>45872.666666666664</v>
      </c>
      <c r="Q1219" t="s">
        <v>80</v>
      </c>
      <c r="R1219">
        <v>8</v>
      </c>
      <c r="S1219" t="s">
        <v>42</v>
      </c>
      <c r="T1219">
        <f>IF(orders[[#This Row],[Status]]="Completed",1,0)</f>
        <v>1</v>
      </c>
      <c r="U1219">
        <f>IF(orders[[#This Row],[Status]]="Pending",1,0)</f>
        <v>0</v>
      </c>
      <c r="V1219">
        <f>IF(orders[[#This Row],[Status]]="Delayed",1,0)</f>
        <v>0</v>
      </c>
      <c r="W1219">
        <f>IF(orders[[#This Row],[Status]]="Cancelled",1,0)</f>
        <v>0</v>
      </c>
    </row>
    <row r="1220" spans="1:23" x14ac:dyDescent="0.35">
      <c r="A1220" t="s">
        <v>1601</v>
      </c>
      <c r="B1220" s="1">
        <v>45868</v>
      </c>
      <c r="C1220" t="s">
        <v>279</v>
      </c>
      <c r="D1220" t="s">
        <v>77</v>
      </c>
      <c r="E1220" t="s">
        <v>113</v>
      </c>
      <c r="F1220" t="s">
        <v>32</v>
      </c>
      <c r="G1220" t="s">
        <v>89</v>
      </c>
      <c r="H1220" s="7">
        <v>1</v>
      </c>
      <c r="I1220" s="4">
        <v>294.36</v>
      </c>
      <c r="J1220" s="23">
        <v>0.25</v>
      </c>
      <c r="K1220" s="4">
        <v>220.77</v>
      </c>
      <c r="L1220" s="4">
        <v>161.84</v>
      </c>
      <c r="M1220" s="4">
        <v>58.93</v>
      </c>
      <c r="N1220" t="s">
        <v>25</v>
      </c>
      <c r="O1220" s="7">
        <v>21</v>
      </c>
      <c r="P1220" s="2">
        <v>45868.875</v>
      </c>
      <c r="Q1220" t="s">
        <v>60</v>
      </c>
      <c r="R1220">
        <v>7</v>
      </c>
      <c r="S1220" t="s">
        <v>42</v>
      </c>
      <c r="T1220">
        <f>IF(orders[[#This Row],[Status]]="Completed",1,0)</f>
        <v>1</v>
      </c>
      <c r="U1220">
        <f>IF(orders[[#This Row],[Status]]="Pending",1,0)</f>
        <v>0</v>
      </c>
      <c r="V1220">
        <f>IF(orders[[#This Row],[Status]]="Delayed",1,0)</f>
        <v>0</v>
      </c>
      <c r="W1220">
        <f>IF(orders[[#This Row],[Status]]="Cancelled",1,0)</f>
        <v>0</v>
      </c>
    </row>
    <row r="1221" spans="1:23" x14ac:dyDescent="0.35">
      <c r="A1221" t="s">
        <v>1602</v>
      </c>
      <c r="B1221" s="1">
        <v>45975</v>
      </c>
      <c r="C1221" t="s">
        <v>1410</v>
      </c>
      <c r="D1221" t="s">
        <v>58</v>
      </c>
      <c r="E1221" t="s">
        <v>59</v>
      </c>
      <c r="F1221" t="s">
        <v>39</v>
      </c>
      <c r="G1221" t="s">
        <v>93</v>
      </c>
      <c r="H1221" s="7">
        <v>5</v>
      </c>
      <c r="I1221" s="4">
        <v>23699.35</v>
      </c>
      <c r="J1221" s="23">
        <v>0.15</v>
      </c>
      <c r="K1221" s="4">
        <v>20144.45</v>
      </c>
      <c r="L1221" s="4">
        <v>14903.72</v>
      </c>
      <c r="M1221" s="4">
        <v>5240.7299999999996</v>
      </c>
      <c r="N1221" t="s">
        <v>25</v>
      </c>
      <c r="O1221" s="7">
        <v>32</v>
      </c>
      <c r="P1221" s="2">
        <v>45976.333333333336</v>
      </c>
      <c r="Q1221" t="s">
        <v>86</v>
      </c>
      <c r="R1221">
        <v>11</v>
      </c>
      <c r="S1221" t="s">
        <v>35</v>
      </c>
      <c r="T1221">
        <f>IF(orders[[#This Row],[Status]]="Completed",1,0)</f>
        <v>1</v>
      </c>
      <c r="U1221">
        <f>IF(orders[[#This Row],[Status]]="Pending",1,0)</f>
        <v>0</v>
      </c>
      <c r="V1221">
        <f>IF(orders[[#This Row],[Status]]="Delayed",1,0)</f>
        <v>0</v>
      </c>
      <c r="W1221">
        <f>IF(orders[[#This Row],[Status]]="Cancelled",1,0)</f>
        <v>0</v>
      </c>
    </row>
    <row r="1222" spans="1:23" x14ac:dyDescent="0.35">
      <c r="A1222" t="s">
        <v>1603</v>
      </c>
      <c r="B1222" s="1">
        <v>45689</v>
      </c>
      <c r="C1222" t="s">
        <v>209</v>
      </c>
      <c r="D1222" t="s">
        <v>21</v>
      </c>
      <c r="E1222" t="s">
        <v>22</v>
      </c>
      <c r="F1222" t="s">
        <v>39</v>
      </c>
      <c r="G1222" t="s">
        <v>47</v>
      </c>
      <c r="H1222" s="7">
        <v>7</v>
      </c>
      <c r="I1222" s="4">
        <v>51186.31</v>
      </c>
      <c r="J1222" s="23">
        <v>0.05</v>
      </c>
      <c r="K1222" s="4">
        <v>48626.99</v>
      </c>
      <c r="L1222" s="4">
        <v>28845</v>
      </c>
      <c r="M1222" s="4">
        <v>19781.990000000002</v>
      </c>
      <c r="N1222" t="s">
        <v>85</v>
      </c>
      <c r="O1222" s="7">
        <v>65</v>
      </c>
      <c r="P1222" s="2">
        <v>45691.708333333336</v>
      </c>
      <c r="Q1222" t="s">
        <v>139</v>
      </c>
      <c r="R1222">
        <v>2</v>
      </c>
      <c r="S1222" t="s">
        <v>55</v>
      </c>
      <c r="T1222">
        <f>IF(orders[[#This Row],[Status]]="Completed",1,0)</f>
        <v>0</v>
      </c>
      <c r="U1222">
        <f>IF(orders[[#This Row],[Status]]="Pending",1,0)</f>
        <v>0</v>
      </c>
      <c r="V1222">
        <f>IF(orders[[#This Row],[Status]]="Delayed",1,0)</f>
        <v>1</v>
      </c>
      <c r="W1222">
        <f>IF(orders[[#This Row],[Status]]="Cancelled",1,0)</f>
        <v>0</v>
      </c>
    </row>
    <row r="1223" spans="1:23" x14ac:dyDescent="0.35">
      <c r="A1223" t="s">
        <v>1604</v>
      </c>
      <c r="B1223" s="1">
        <v>45815</v>
      </c>
      <c r="C1223" t="s">
        <v>448</v>
      </c>
      <c r="D1223" t="s">
        <v>58</v>
      </c>
      <c r="E1223" t="s">
        <v>22</v>
      </c>
      <c r="F1223" t="s">
        <v>83</v>
      </c>
      <c r="G1223" t="s">
        <v>107</v>
      </c>
      <c r="H1223" s="7">
        <v>2</v>
      </c>
      <c r="I1223" s="4">
        <v>8217.5</v>
      </c>
      <c r="J1223" s="23">
        <v>0</v>
      </c>
      <c r="K1223" s="4">
        <v>8217.5</v>
      </c>
      <c r="L1223" s="4">
        <v>5760.45</v>
      </c>
      <c r="M1223" s="4">
        <v>2457.0500000000002</v>
      </c>
      <c r="N1223" t="s">
        <v>85</v>
      </c>
      <c r="O1223" s="7">
        <v>62</v>
      </c>
      <c r="P1223" s="2">
        <v>45817.583333333336</v>
      </c>
      <c r="Q1223" t="s">
        <v>99</v>
      </c>
      <c r="R1223">
        <v>6</v>
      </c>
      <c r="S1223" t="s">
        <v>27</v>
      </c>
      <c r="T1223">
        <f>IF(orders[[#This Row],[Status]]="Completed",1,0)</f>
        <v>0</v>
      </c>
      <c r="U1223">
        <f>IF(orders[[#This Row],[Status]]="Pending",1,0)</f>
        <v>0</v>
      </c>
      <c r="V1223">
        <f>IF(orders[[#This Row],[Status]]="Delayed",1,0)</f>
        <v>1</v>
      </c>
      <c r="W1223">
        <f>IF(orders[[#This Row],[Status]]="Cancelled",1,0)</f>
        <v>0</v>
      </c>
    </row>
    <row r="1224" spans="1:23" x14ac:dyDescent="0.35">
      <c r="A1224" t="s">
        <v>1605</v>
      </c>
      <c r="B1224" s="1">
        <v>45942</v>
      </c>
      <c r="C1224" t="s">
        <v>312</v>
      </c>
      <c r="D1224" t="s">
        <v>30</v>
      </c>
      <c r="E1224" t="s">
        <v>22</v>
      </c>
      <c r="F1224" t="s">
        <v>23</v>
      </c>
      <c r="G1224" t="s">
        <v>110</v>
      </c>
      <c r="H1224" s="7">
        <v>5</v>
      </c>
      <c r="I1224" s="4">
        <v>921.45</v>
      </c>
      <c r="J1224" s="23">
        <v>0.05</v>
      </c>
      <c r="K1224" s="4">
        <v>875.38</v>
      </c>
      <c r="L1224" s="4">
        <v>558.96</v>
      </c>
      <c r="M1224" s="4">
        <v>316.42</v>
      </c>
      <c r="N1224" t="s">
        <v>25</v>
      </c>
      <c r="O1224" s="7">
        <v>30</v>
      </c>
      <c r="P1224" s="2">
        <v>45943.25</v>
      </c>
      <c r="Q1224" t="s">
        <v>116</v>
      </c>
      <c r="R1224">
        <v>10</v>
      </c>
      <c r="S1224" t="s">
        <v>35</v>
      </c>
      <c r="T1224">
        <f>IF(orders[[#This Row],[Status]]="Completed",1,0)</f>
        <v>1</v>
      </c>
      <c r="U1224">
        <f>IF(orders[[#This Row],[Status]]="Pending",1,0)</f>
        <v>0</v>
      </c>
      <c r="V1224">
        <f>IF(orders[[#This Row],[Status]]="Delayed",1,0)</f>
        <v>0</v>
      </c>
      <c r="W1224">
        <f>IF(orders[[#This Row],[Status]]="Cancelled",1,0)</f>
        <v>0</v>
      </c>
    </row>
    <row r="1225" spans="1:23" x14ac:dyDescent="0.35">
      <c r="A1225" t="s">
        <v>1606</v>
      </c>
      <c r="B1225" s="1">
        <v>45962</v>
      </c>
      <c r="C1225" t="s">
        <v>263</v>
      </c>
      <c r="D1225" t="s">
        <v>38</v>
      </c>
      <c r="E1225" t="s">
        <v>31</v>
      </c>
      <c r="F1225" t="s">
        <v>32</v>
      </c>
      <c r="G1225" t="s">
        <v>79</v>
      </c>
      <c r="H1225" s="7">
        <v>6</v>
      </c>
      <c r="I1225" s="4">
        <v>1451.76</v>
      </c>
      <c r="J1225" s="23">
        <v>0.1</v>
      </c>
      <c r="K1225" s="4">
        <v>1306.58</v>
      </c>
      <c r="L1225" s="4">
        <v>1081.68</v>
      </c>
      <c r="M1225" s="4">
        <v>224.9</v>
      </c>
      <c r="N1225" t="s">
        <v>25</v>
      </c>
      <c r="O1225" s="7">
        <v>22</v>
      </c>
      <c r="P1225" s="2">
        <v>45962.916666666664</v>
      </c>
      <c r="Q1225" t="s">
        <v>86</v>
      </c>
      <c r="R1225">
        <v>11</v>
      </c>
      <c r="S1225" t="s">
        <v>35</v>
      </c>
      <c r="T1225">
        <f>IF(orders[[#This Row],[Status]]="Completed",1,0)</f>
        <v>1</v>
      </c>
      <c r="U1225">
        <f>IF(orders[[#This Row],[Status]]="Pending",1,0)</f>
        <v>0</v>
      </c>
      <c r="V1225">
        <f>IF(orders[[#This Row],[Status]]="Delayed",1,0)</f>
        <v>0</v>
      </c>
      <c r="W1225">
        <f>IF(orders[[#This Row],[Status]]="Cancelled",1,0)</f>
        <v>0</v>
      </c>
    </row>
    <row r="1226" spans="1:23" x14ac:dyDescent="0.35">
      <c r="A1226" t="s">
        <v>1607</v>
      </c>
      <c r="B1226" s="1">
        <v>45943</v>
      </c>
      <c r="C1226" t="s">
        <v>173</v>
      </c>
      <c r="D1226" t="s">
        <v>77</v>
      </c>
      <c r="E1226" t="s">
        <v>113</v>
      </c>
      <c r="F1226" t="s">
        <v>39</v>
      </c>
      <c r="G1226" t="s">
        <v>114</v>
      </c>
      <c r="H1226" s="7">
        <v>3</v>
      </c>
      <c r="I1226" s="4">
        <v>10886.73</v>
      </c>
      <c r="J1226" s="23">
        <v>0.05</v>
      </c>
      <c r="K1226" s="4">
        <v>10342.39</v>
      </c>
      <c r="L1226" s="4">
        <v>6758.54</v>
      </c>
      <c r="M1226" s="4">
        <v>3583.85</v>
      </c>
      <c r="N1226" t="s">
        <v>48</v>
      </c>
      <c r="O1226" s="7">
        <v>13</v>
      </c>
      <c r="P1226" s="2">
        <v>45943.541666666664</v>
      </c>
      <c r="Q1226" t="s">
        <v>116</v>
      </c>
      <c r="R1226">
        <v>10</v>
      </c>
      <c r="S1226" t="s">
        <v>35</v>
      </c>
      <c r="T1226">
        <f>IF(orders[[#This Row],[Status]]="Completed",1,0)</f>
        <v>0</v>
      </c>
      <c r="U1226">
        <f>IF(orders[[#This Row],[Status]]="Pending",1,0)</f>
        <v>0</v>
      </c>
      <c r="V1226">
        <f>IF(orders[[#This Row],[Status]]="Delayed",1,0)</f>
        <v>0</v>
      </c>
      <c r="W1226">
        <f>IF(orders[[#This Row],[Status]]="Cancelled",1,0)</f>
        <v>1</v>
      </c>
    </row>
    <row r="1227" spans="1:23" x14ac:dyDescent="0.35">
      <c r="A1227" t="s">
        <v>1608</v>
      </c>
      <c r="B1227" s="1">
        <v>45801</v>
      </c>
      <c r="C1227" t="s">
        <v>640</v>
      </c>
      <c r="D1227" t="s">
        <v>58</v>
      </c>
      <c r="E1227" t="s">
        <v>46</v>
      </c>
      <c r="F1227" t="s">
        <v>39</v>
      </c>
      <c r="G1227" t="s">
        <v>47</v>
      </c>
      <c r="H1227" s="7">
        <v>7</v>
      </c>
      <c r="I1227" s="4">
        <v>10110.24</v>
      </c>
      <c r="J1227" s="23">
        <v>0</v>
      </c>
      <c r="K1227" s="4">
        <v>10110.24</v>
      </c>
      <c r="L1227" s="4">
        <v>8358.8700000000008</v>
      </c>
      <c r="M1227" s="4">
        <v>1751.37</v>
      </c>
      <c r="N1227" t="s">
        <v>25</v>
      </c>
      <c r="O1227" s="7">
        <v>41</v>
      </c>
      <c r="P1227" s="2">
        <v>45802.708333333336</v>
      </c>
      <c r="Q1227" t="s">
        <v>74</v>
      </c>
      <c r="R1227">
        <v>5</v>
      </c>
      <c r="S1227" t="s">
        <v>27</v>
      </c>
      <c r="T1227">
        <f>IF(orders[[#This Row],[Status]]="Completed",1,0)</f>
        <v>1</v>
      </c>
      <c r="U1227">
        <f>IF(orders[[#This Row],[Status]]="Pending",1,0)</f>
        <v>0</v>
      </c>
      <c r="V1227">
        <f>IF(orders[[#This Row],[Status]]="Delayed",1,0)</f>
        <v>0</v>
      </c>
      <c r="W1227">
        <f>IF(orders[[#This Row],[Status]]="Cancelled",1,0)</f>
        <v>0</v>
      </c>
    </row>
    <row r="1228" spans="1:23" x14ac:dyDescent="0.35">
      <c r="A1228" t="s">
        <v>1609</v>
      </c>
      <c r="B1228" s="1">
        <v>45676</v>
      </c>
      <c r="C1228" t="s">
        <v>523</v>
      </c>
      <c r="D1228" t="s">
        <v>68</v>
      </c>
      <c r="E1228" t="s">
        <v>22</v>
      </c>
      <c r="F1228" t="s">
        <v>23</v>
      </c>
      <c r="G1228" t="s">
        <v>122</v>
      </c>
      <c r="H1228" s="7">
        <v>1</v>
      </c>
      <c r="I1228" s="4">
        <v>5698.16</v>
      </c>
      <c r="J1228" s="23">
        <v>0.05</v>
      </c>
      <c r="K1228" s="4">
        <v>5413.25</v>
      </c>
      <c r="L1228" s="4">
        <v>3742.86</v>
      </c>
      <c r="M1228" s="4">
        <v>1670.39</v>
      </c>
      <c r="N1228" t="s">
        <v>25</v>
      </c>
      <c r="O1228" s="7">
        <v>22</v>
      </c>
      <c r="P1228" s="2">
        <v>45676.916666666664</v>
      </c>
      <c r="Q1228" t="s">
        <v>65</v>
      </c>
      <c r="R1228">
        <v>1</v>
      </c>
      <c r="S1228" t="s">
        <v>55</v>
      </c>
      <c r="T1228">
        <f>IF(orders[[#This Row],[Status]]="Completed",1,0)</f>
        <v>1</v>
      </c>
      <c r="U1228">
        <f>IF(orders[[#This Row],[Status]]="Pending",1,0)</f>
        <v>0</v>
      </c>
      <c r="V1228">
        <f>IF(orders[[#This Row],[Status]]="Delayed",1,0)</f>
        <v>0</v>
      </c>
      <c r="W1228">
        <f>IF(orders[[#This Row],[Status]]="Cancelled",1,0)</f>
        <v>0</v>
      </c>
    </row>
    <row r="1229" spans="1:23" x14ac:dyDescent="0.35">
      <c r="A1229" t="s">
        <v>1610</v>
      </c>
      <c r="B1229" s="1">
        <v>45675</v>
      </c>
      <c r="C1229" t="s">
        <v>133</v>
      </c>
      <c r="D1229" t="s">
        <v>51</v>
      </c>
      <c r="E1229" t="s">
        <v>46</v>
      </c>
      <c r="F1229" t="s">
        <v>83</v>
      </c>
      <c r="G1229" t="s">
        <v>182</v>
      </c>
      <c r="H1229" s="7">
        <v>7</v>
      </c>
      <c r="I1229" s="4">
        <v>42479.29</v>
      </c>
      <c r="J1229" s="23">
        <v>0.05</v>
      </c>
      <c r="K1229" s="4">
        <v>40355.33</v>
      </c>
      <c r="L1229" s="4">
        <v>31871.56</v>
      </c>
      <c r="M1229" s="4">
        <v>8483.77</v>
      </c>
      <c r="N1229" t="s">
        <v>25</v>
      </c>
      <c r="O1229" s="7">
        <v>4</v>
      </c>
      <c r="P1229" s="2">
        <v>45675.166666666664</v>
      </c>
      <c r="Q1229" t="s">
        <v>65</v>
      </c>
      <c r="R1229">
        <v>1</v>
      </c>
      <c r="S1229" t="s">
        <v>55</v>
      </c>
      <c r="T1229">
        <f>IF(orders[[#This Row],[Status]]="Completed",1,0)</f>
        <v>1</v>
      </c>
      <c r="U1229">
        <f>IF(orders[[#This Row],[Status]]="Pending",1,0)</f>
        <v>0</v>
      </c>
      <c r="V1229">
        <f>IF(orders[[#This Row],[Status]]="Delayed",1,0)</f>
        <v>0</v>
      </c>
      <c r="W1229">
        <f>IF(orders[[#This Row],[Status]]="Cancelled",1,0)</f>
        <v>0</v>
      </c>
    </row>
    <row r="1230" spans="1:23" x14ac:dyDescent="0.35">
      <c r="A1230" t="s">
        <v>1611</v>
      </c>
      <c r="B1230" s="1">
        <v>45914</v>
      </c>
      <c r="C1230" t="s">
        <v>169</v>
      </c>
      <c r="D1230" t="s">
        <v>30</v>
      </c>
      <c r="E1230" t="s">
        <v>92</v>
      </c>
      <c r="F1230" t="s">
        <v>32</v>
      </c>
      <c r="G1230" t="s">
        <v>79</v>
      </c>
      <c r="H1230" s="7">
        <v>4</v>
      </c>
      <c r="I1230" s="4">
        <v>6541.2</v>
      </c>
      <c r="J1230" s="23">
        <v>0.2</v>
      </c>
      <c r="K1230" s="4">
        <v>5232.96</v>
      </c>
      <c r="L1230" s="4">
        <v>3758.94</v>
      </c>
      <c r="M1230" s="4">
        <v>1474.02</v>
      </c>
      <c r="N1230" t="s">
        <v>25</v>
      </c>
      <c r="O1230" s="7">
        <v>43</v>
      </c>
      <c r="P1230" s="2">
        <v>45915.791666666664</v>
      </c>
      <c r="Q1230" t="s">
        <v>41</v>
      </c>
      <c r="R1230">
        <v>9</v>
      </c>
      <c r="S1230" t="s">
        <v>42</v>
      </c>
      <c r="T1230">
        <f>IF(orders[[#This Row],[Status]]="Completed",1,0)</f>
        <v>1</v>
      </c>
      <c r="U1230">
        <f>IF(orders[[#This Row],[Status]]="Pending",1,0)</f>
        <v>0</v>
      </c>
      <c r="V1230">
        <f>IF(orders[[#This Row],[Status]]="Delayed",1,0)</f>
        <v>0</v>
      </c>
      <c r="W1230">
        <f>IF(orders[[#This Row],[Status]]="Cancelled",1,0)</f>
        <v>0</v>
      </c>
    </row>
    <row r="1231" spans="1:23" x14ac:dyDescent="0.35">
      <c r="A1231" t="s">
        <v>1612</v>
      </c>
      <c r="B1231" s="1">
        <v>45735</v>
      </c>
      <c r="C1231" t="s">
        <v>233</v>
      </c>
      <c r="D1231" t="s">
        <v>30</v>
      </c>
      <c r="E1231" t="s">
        <v>92</v>
      </c>
      <c r="F1231" t="s">
        <v>83</v>
      </c>
      <c r="G1231" t="s">
        <v>155</v>
      </c>
      <c r="H1231" s="7">
        <v>5</v>
      </c>
      <c r="I1231" s="4">
        <v>37846.25</v>
      </c>
      <c r="J1231" s="23">
        <v>0</v>
      </c>
      <c r="K1231" s="4">
        <v>37846.25</v>
      </c>
      <c r="L1231" s="4">
        <v>28583.29</v>
      </c>
      <c r="M1231" s="4">
        <v>9262.9599999999991</v>
      </c>
      <c r="N1231" t="s">
        <v>48</v>
      </c>
      <c r="O1231" s="7">
        <v>10</v>
      </c>
      <c r="P1231" s="2">
        <v>45735.416666666664</v>
      </c>
      <c r="Q1231" t="s">
        <v>54</v>
      </c>
      <c r="R1231">
        <v>3</v>
      </c>
      <c r="S1231" t="s">
        <v>55</v>
      </c>
      <c r="T1231">
        <f>IF(orders[[#This Row],[Status]]="Completed",1,0)</f>
        <v>0</v>
      </c>
      <c r="U1231">
        <f>IF(orders[[#This Row],[Status]]="Pending",1,0)</f>
        <v>0</v>
      </c>
      <c r="V1231">
        <f>IF(orders[[#This Row],[Status]]="Delayed",1,0)</f>
        <v>0</v>
      </c>
      <c r="W1231">
        <f>IF(orders[[#This Row],[Status]]="Cancelled",1,0)</f>
        <v>1</v>
      </c>
    </row>
    <row r="1232" spans="1:23" x14ac:dyDescent="0.35">
      <c r="A1232" t="s">
        <v>1613</v>
      </c>
      <c r="B1232" s="1">
        <v>45832</v>
      </c>
      <c r="C1232" t="s">
        <v>124</v>
      </c>
      <c r="D1232" t="s">
        <v>63</v>
      </c>
      <c r="E1232" t="s">
        <v>46</v>
      </c>
      <c r="F1232" t="s">
        <v>83</v>
      </c>
      <c r="G1232" t="s">
        <v>84</v>
      </c>
      <c r="H1232" s="7">
        <v>4</v>
      </c>
      <c r="I1232" s="4">
        <v>15359.72</v>
      </c>
      <c r="J1232" s="23">
        <v>0</v>
      </c>
      <c r="K1232" s="4">
        <v>15359.72</v>
      </c>
      <c r="L1232" s="4">
        <v>10451.790000000001</v>
      </c>
      <c r="M1232" s="4">
        <v>4907.93</v>
      </c>
      <c r="N1232" t="s">
        <v>48</v>
      </c>
      <c r="O1232" s="7">
        <v>14</v>
      </c>
      <c r="P1232" s="2">
        <v>45832.583333333336</v>
      </c>
      <c r="Q1232" t="s">
        <v>99</v>
      </c>
      <c r="R1232">
        <v>6</v>
      </c>
      <c r="S1232" t="s">
        <v>27</v>
      </c>
      <c r="T1232">
        <f>IF(orders[[#This Row],[Status]]="Completed",1,0)</f>
        <v>0</v>
      </c>
      <c r="U1232">
        <f>IF(orders[[#This Row],[Status]]="Pending",1,0)</f>
        <v>0</v>
      </c>
      <c r="V1232">
        <f>IF(orders[[#This Row],[Status]]="Delayed",1,0)</f>
        <v>0</v>
      </c>
      <c r="W1232">
        <f>IF(orders[[#This Row],[Status]]="Cancelled",1,0)</f>
        <v>1</v>
      </c>
    </row>
    <row r="1233" spans="1:23" x14ac:dyDescent="0.35">
      <c r="A1233" t="s">
        <v>1614</v>
      </c>
      <c r="B1233" s="1">
        <v>45851</v>
      </c>
      <c r="C1233" t="s">
        <v>774</v>
      </c>
      <c r="D1233" t="s">
        <v>58</v>
      </c>
      <c r="E1233" t="s">
        <v>78</v>
      </c>
      <c r="F1233" t="s">
        <v>32</v>
      </c>
      <c r="G1233" t="s">
        <v>53</v>
      </c>
      <c r="H1233" s="7">
        <v>6</v>
      </c>
      <c r="I1233" s="4">
        <v>8056.56</v>
      </c>
      <c r="J1233" s="23">
        <v>0</v>
      </c>
      <c r="K1233" s="4">
        <v>8056.56</v>
      </c>
      <c r="L1233" s="4">
        <v>6473.51</v>
      </c>
      <c r="M1233" s="4">
        <v>1583.05</v>
      </c>
      <c r="N1233" t="s">
        <v>48</v>
      </c>
      <c r="O1233" s="7">
        <v>14</v>
      </c>
      <c r="P1233" s="2">
        <v>45851.583333333336</v>
      </c>
      <c r="Q1233" t="s">
        <v>60</v>
      </c>
      <c r="R1233">
        <v>7</v>
      </c>
      <c r="S1233" t="s">
        <v>42</v>
      </c>
      <c r="T1233">
        <f>IF(orders[[#This Row],[Status]]="Completed",1,0)</f>
        <v>0</v>
      </c>
      <c r="U1233">
        <f>IF(orders[[#This Row],[Status]]="Pending",1,0)</f>
        <v>0</v>
      </c>
      <c r="V1233">
        <f>IF(orders[[#This Row],[Status]]="Delayed",1,0)</f>
        <v>0</v>
      </c>
      <c r="W1233">
        <f>IF(orders[[#This Row],[Status]]="Cancelled",1,0)</f>
        <v>1</v>
      </c>
    </row>
    <row r="1234" spans="1:23" x14ac:dyDescent="0.35">
      <c r="A1234" t="s">
        <v>1615</v>
      </c>
      <c r="B1234" s="1">
        <v>45770</v>
      </c>
      <c r="C1234" t="s">
        <v>159</v>
      </c>
      <c r="D1234" t="s">
        <v>63</v>
      </c>
      <c r="E1234" t="s">
        <v>59</v>
      </c>
      <c r="F1234" t="s">
        <v>32</v>
      </c>
      <c r="G1234" t="s">
        <v>53</v>
      </c>
      <c r="H1234" s="7">
        <v>1</v>
      </c>
      <c r="I1234" s="4">
        <v>6531.5</v>
      </c>
      <c r="J1234" s="23">
        <v>0.05</v>
      </c>
      <c r="K1234" s="4">
        <v>6204.92</v>
      </c>
      <c r="L1234" s="4">
        <v>4283.33</v>
      </c>
      <c r="M1234" s="4">
        <v>1921.59</v>
      </c>
      <c r="N1234" t="s">
        <v>25</v>
      </c>
      <c r="O1234" s="7">
        <v>18</v>
      </c>
      <c r="P1234" s="2">
        <v>45770.75</v>
      </c>
      <c r="Q1234" t="s">
        <v>26</v>
      </c>
      <c r="R1234">
        <v>4</v>
      </c>
      <c r="S1234" t="s">
        <v>27</v>
      </c>
      <c r="T1234">
        <f>IF(orders[[#This Row],[Status]]="Completed",1,0)</f>
        <v>1</v>
      </c>
      <c r="U1234">
        <f>IF(orders[[#This Row],[Status]]="Pending",1,0)</f>
        <v>0</v>
      </c>
      <c r="V1234">
        <f>IF(orders[[#This Row],[Status]]="Delayed",1,0)</f>
        <v>0</v>
      </c>
      <c r="W1234">
        <f>IF(orders[[#This Row],[Status]]="Cancelled",1,0)</f>
        <v>0</v>
      </c>
    </row>
    <row r="1235" spans="1:23" x14ac:dyDescent="0.35">
      <c r="A1235" t="s">
        <v>1616</v>
      </c>
      <c r="B1235" s="1">
        <v>45771</v>
      </c>
      <c r="C1235" t="s">
        <v>351</v>
      </c>
      <c r="D1235" t="s">
        <v>63</v>
      </c>
      <c r="E1235" t="s">
        <v>22</v>
      </c>
      <c r="F1235" t="s">
        <v>39</v>
      </c>
      <c r="G1235" t="s">
        <v>114</v>
      </c>
      <c r="H1235" s="7">
        <v>5</v>
      </c>
      <c r="I1235" s="4">
        <v>33731.449999999997</v>
      </c>
      <c r="J1235" s="23">
        <v>0.1</v>
      </c>
      <c r="K1235" s="4">
        <v>30358.3</v>
      </c>
      <c r="L1235" s="4">
        <v>21280.03</v>
      </c>
      <c r="M1235" s="4">
        <v>9078.27</v>
      </c>
      <c r="N1235" t="s">
        <v>25</v>
      </c>
      <c r="O1235" s="7">
        <v>42</v>
      </c>
      <c r="P1235" s="2">
        <v>45772.75</v>
      </c>
      <c r="Q1235" t="s">
        <v>26</v>
      </c>
      <c r="R1235">
        <v>4</v>
      </c>
      <c r="S1235" t="s">
        <v>27</v>
      </c>
      <c r="T1235">
        <f>IF(orders[[#This Row],[Status]]="Completed",1,0)</f>
        <v>1</v>
      </c>
      <c r="U1235">
        <f>IF(orders[[#This Row],[Status]]="Pending",1,0)</f>
        <v>0</v>
      </c>
      <c r="V1235">
        <f>IF(orders[[#This Row],[Status]]="Delayed",1,0)</f>
        <v>0</v>
      </c>
      <c r="W1235">
        <f>IF(orders[[#This Row],[Status]]="Cancelled",1,0)</f>
        <v>0</v>
      </c>
    </row>
    <row r="1236" spans="1:23" x14ac:dyDescent="0.35">
      <c r="A1236" t="s">
        <v>1617</v>
      </c>
      <c r="B1236" s="1">
        <v>45879</v>
      </c>
      <c r="C1236" t="s">
        <v>121</v>
      </c>
      <c r="D1236" t="s">
        <v>51</v>
      </c>
      <c r="E1236" t="s">
        <v>31</v>
      </c>
      <c r="F1236" t="s">
        <v>39</v>
      </c>
      <c r="G1236" t="s">
        <v>47</v>
      </c>
      <c r="H1236" s="7">
        <v>6</v>
      </c>
      <c r="I1236" s="4">
        <v>32928.720000000001</v>
      </c>
      <c r="J1236" s="23">
        <v>0.15</v>
      </c>
      <c r="K1236" s="4">
        <v>27989.41</v>
      </c>
      <c r="L1236" s="4">
        <v>20175.72</v>
      </c>
      <c r="M1236" s="4">
        <v>7813.69</v>
      </c>
      <c r="N1236" t="s">
        <v>25</v>
      </c>
      <c r="O1236" s="7">
        <v>42</v>
      </c>
      <c r="P1236" s="2">
        <v>45880.75</v>
      </c>
      <c r="Q1236" t="s">
        <v>80</v>
      </c>
      <c r="R1236">
        <v>8</v>
      </c>
      <c r="S1236" t="s">
        <v>42</v>
      </c>
      <c r="T1236">
        <f>IF(orders[[#This Row],[Status]]="Completed",1,0)</f>
        <v>1</v>
      </c>
      <c r="U1236">
        <f>IF(orders[[#This Row],[Status]]="Pending",1,0)</f>
        <v>0</v>
      </c>
      <c r="V1236">
        <f>IF(orders[[#This Row],[Status]]="Delayed",1,0)</f>
        <v>0</v>
      </c>
      <c r="W1236">
        <f>IF(orders[[#This Row],[Status]]="Cancelled",1,0)</f>
        <v>0</v>
      </c>
    </row>
    <row r="1237" spans="1:23" x14ac:dyDescent="0.35">
      <c r="A1237" t="s">
        <v>1618</v>
      </c>
      <c r="B1237" s="1">
        <v>45823</v>
      </c>
      <c r="C1237" t="s">
        <v>310</v>
      </c>
      <c r="D1237" t="s">
        <v>21</v>
      </c>
      <c r="E1237" t="s">
        <v>78</v>
      </c>
      <c r="F1237" t="s">
        <v>32</v>
      </c>
      <c r="G1237" t="s">
        <v>64</v>
      </c>
      <c r="H1237" s="7">
        <v>4</v>
      </c>
      <c r="I1237" s="4">
        <v>29105.759999999998</v>
      </c>
      <c r="J1237" s="23">
        <v>0.1</v>
      </c>
      <c r="K1237" s="4">
        <v>26195.18</v>
      </c>
      <c r="L1237" s="4">
        <v>21597.98</v>
      </c>
      <c r="M1237" s="4">
        <v>4597.2</v>
      </c>
      <c r="N1237" t="s">
        <v>85</v>
      </c>
      <c r="O1237" s="7">
        <v>60</v>
      </c>
      <c r="P1237" s="2">
        <v>45825.5</v>
      </c>
      <c r="Q1237" t="s">
        <v>99</v>
      </c>
      <c r="R1237">
        <v>6</v>
      </c>
      <c r="S1237" t="s">
        <v>27</v>
      </c>
      <c r="T1237">
        <f>IF(orders[[#This Row],[Status]]="Completed",1,0)</f>
        <v>0</v>
      </c>
      <c r="U1237">
        <f>IF(orders[[#This Row],[Status]]="Pending",1,0)</f>
        <v>0</v>
      </c>
      <c r="V1237">
        <f>IF(orders[[#This Row],[Status]]="Delayed",1,0)</f>
        <v>1</v>
      </c>
      <c r="W1237">
        <f>IF(orders[[#This Row],[Status]]="Cancelled",1,0)</f>
        <v>0</v>
      </c>
    </row>
    <row r="1238" spans="1:23" x14ac:dyDescent="0.35">
      <c r="A1238" t="s">
        <v>1619</v>
      </c>
      <c r="B1238" s="1">
        <v>45976</v>
      </c>
      <c r="C1238" t="s">
        <v>853</v>
      </c>
      <c r="D1238" t="s">
        <v>58</v>
      </c>
      <c r="E1238" t="s">
        <v>92</v>
      </c>
      <c r="F1238" t="s">
        <v>72</v>
      </c>
      <c r="G1238" t="s">
        <v>146</v>
      </c>
      <c r="H1238" s="7">
        <v>4</v>
      </c>
      <c r="I1238" s="4">
        <v>25228.240000000002</v>
      </c>
      <c r="J1238" s="23">
        <v>0.1</v>
      </c>
      <c r="K1238" s="4">
        <v>22705.42</v>
      </c>
      <c r="L1238" s="4">
        <v>17428.57</v>
      </c>
      <c r="M1238" s="4">
        <v>5276.85</v>
      </c>
      <c r="N1238" t="s">
        <v>85</v>
      </c>
      <c r="O1238" s="7">
        <v>49</v>
      </c>
      <c r="P1238" s="2">
        <v>45978.041666666664</v>
      </c>
      <c r="Q1238" t="s">
        <v>86</v>
      </c>
      <c r="R1238">
        <v>11</v>
      </c>
      <c r="S1238" t="s">
        <v>35</v>
      </c>
      <c r="T1238">
        <f>IF(orders[[#This Row],[Status]]="Completed",1,0)</f>
        <v>0</v>
      </c>
      <c r="U1238">
        <f>IF(orders[[#This Row],[Status]]="Pending",1,0)</f>
        <v>0</v>
      </c>
      <c r="V1238">
        <f>IF(orders[[#This Row],[Status]]="Delayed",1,0)</f>
        <v>1</v>
      </c>
      <c r="W1238">
        <f>IF(orders[[#This Row],[Status]]="Cancelled",1,0)</f>
        <v>0</v>
      </c>
    </row>
    <row r="1239" spans="1:23" x14ac:dyDescent="0.35">
      <c r="A1239" t="s">
        <v>1620</v>
      </c>
      <c r="B1239" s="1">
        <v>45789</v>
      </c>
      <c r="C1239" t="s">
        <v>621</v>
      </c>
      <c r="D1239" t="s">
        <v>45</v>
      </c>
      <c r="E1239" t="s">
        <v>52</v>
      </c>
      <c r="F1239" t="s">
        <v>39</v>
      </c>
      <c r="G1239" t="s">
        <v>188</v>
      </c>
      <c r="H1239" s="7">
        <v>5</v>
      </c>
      <c r="I1239" s="4">
        <v>37582.1</v>
      </c>
      <c r="J1239" s="23">
        <v>0.05</v>
      </c>
      <c r="K1239" s="4">
        <v>35702.99</v>
      </c>
      <c r="L1239" s="4">
        <v>23750.45</v>
      </c>
      <c r="M1239" s="4">
        <v>11952.54</v>
      </c>
      <c r="N1239" t="s">
        <v>25</v>
      </c>
      <c r="O1239" s="7">
        <v>47</v>
      </c>
      <c r="P1239" s="2">
        <v>45790.958333333336</v>
      </c>
      <c r="Q1239" t="s">
        <v>74</v>
      </c>
      <c r="R1239">
        <v>5</v>
      </c>
      <c r="S1239" t="s">
        <v>27</v>
      </c>
      <c r="T1239">
        <f>IF(orders[[#This Row],[Status]]="Completed",1,0)</f>
        <v>1</v>
      </c>
      <c r="U1239">
        <f>IF(orders[[#This Row],[Status]]="Pending",1,0)</f>
        <v>0</v>
      </c>
      <c r="V1239">
        <f>IF(orders[[#This Row],[Status]]="Delayed",1,0)</f>
        <v>0</v>
      </c>
      <c r="W1239">
        <f>IF(orders[[#This Row],[Status]]="Cancelled",1,0)</f>
        <v>0</v>
      </c>
    </row>
    <row r="1240" spans="1:23" x14ac:dyDescent="0.35">
      <c r="A1240" t="s">
        <v>1621</v>
      </c>
      <c r="B1240" s="1">
        <v>45921</v>
      </c>
      <c r="C1240" t="s">
        <v>312</v>
      </c>
      <c r="D1240" t="s">
        <v>77</v>
      </c>
      <c r="E1240" t="s">
        <v>113</v>
      </c>
      <c r="F1240" t="s">
        <v>72</v>
      </c>
      <c r="G1240" t="s">
        <v>119</v>
      </c>
      <c r="H1240" s="7">
        <v>1</v>
      </c>
      <c r="I1240" s="4">
        <v>3772.97</v>
      </c>
      <c r="J1240" s="23">
        <v>0.1</v>
      </c>
      <c r="K1240" s="4">
        <v>3395.67</v>
      </c>
      <c r="L1240" s="4">
        <v>2618.7600000000002</v>
      </c>
      <c r="M1240" s="4">
        <v>776.91</v>
      </c>
      <c r="N1240" t="s">
        <v>48</v>
      </c>
      <c r="O1240" s="7">
        <v>12</v>
      </c>
      <c r="P1240" s="2">
        <v>45921.5</v>
      </c>
      <c r="Q1240" t="s">
        <v>41</v>
      </c>
      <c r="R1240">
        <v>9</v>
      </c>
      <c r="S1240" t="s">
        <v>42</v>
      </c>
      <c r="T1240">
        <f>IF(orders[[#This Row],[Status]]="Completed",1,0)</f>
        <v>0</v>
      </c>
      <c r="U1240">
        <f>IF(orders[[#This Row],[Status]]="Pending",1,0)</f>
        <v>0</v>
      </c>
      <c r="V1240">
        <f>IF(orders[[#This Row],[Status]]="Delayed",1,0)</f>
        <v>0</v>
      </c>
      <c r="W1240">
        <f>IF(orders[[#This Row],[Status]]="Cancelled",1,0)</f>
        <v>1</v>
      </c>
    </row>
    <row r="1241" spans="1:23" x14ac:dyDescent="0.35">
      <c r="A1241" t="s">
        <v>1622</v>
      </c>
      <c r="B1241" s="1">
        <v>45712</v>
      </c>
      <c r="C1241" t="s">
        <v>575</v>
      </c>
      <c r="D1241" t="s">
        <v>63</v>
      </c>
      <c r="E1241" t="s">
        <v>52</v>
      </c>
      <c r="F1241" t="s">
        <v>32</v>
      </c>
      <c r="G1241" t="s">
        <v>53</v>
      </c>
      <c r="H1241" s="7">
        <v>4</v>
      </c>
      <c r="I1241" s="4">
        <v>25569.759999999998</v>
      </c>
      <c r="J1241" s="23">
        <v>0</v>
      </c>
      <c r="K1241" s="4">
        <v>25569.759999999998</v>
      </c>
      <c r="L1241" s="4">
        <v>19484.18</v>
      </c>
      <c r="M1241" s="4">
        <v>6085.58</v>
      </c>
      <c r="N1241" t="s">
        <v>25</v>
      </c>
      <c r="O1241" s="7">
        <v>35</v>
      </c>
      <c r="P1241" s="2">
        <v>45713.458333333336</v>
      </c>
      <c r="Q1241" t="s">
        <v>139</v>
      </c>
      <c r="R1241">
        <v>2</v>
      </c>
      <c r="S1241" t="s">
        <v>55</v>
      </c>
      <c r="T1241">
        <f>IF(orders[[#This Row],[Status]]="Completed",1,0)</f>
        <v>1</v>
      </c>
      <c r="U1241">
        <f>IF(orders[[#This Row],[Status]]="Pending",1,0)</f>
        <v>0</v>
      </c>
      <c r="V1241">
        <f>IF(orders[[#This Row],[Status]]="Delayed",1,0)</f>
        <v>0</v>
      </c>
      <c r="W1241">
        <f>IF(orders[[#This Row],[Status]]="Cancelled",1,0)</f>
        <v>0</v>
      </c>
    </row>
    <row r="1242" spans="1:23" x14ac:dyDescent="0.35">
      <c r="A1242" t="s">
        <v>1623</v>
      </c>
      <c r="B1242" s="1">
        <v>46016</v>
      </c>
      <c r="C1242" t="s">
        <v>198</v>
      </c>
      <c r="D1242" t="s">
        <v>38</v>
      </c>
      <c r="E1242" t="s">
        <v>46</v>
      </c>
      <c r="F1242" t="s">
        <v>39</v>
      </c>
      <c r="G1242" t="s">
        <v>40</v>
      </c>
      <c r="H1242" s="7">
        <v>3</v>
      </c>
      <c r="I1242" s="4">
        <v>25493.79</v>
      </c>
      <c r="J1242" s="23">
        <v>0.05</v>
      </c>
      <c r="K1242" s="4">
        <v>24219.1</v>
      </c>
      <c r="L1242" s="4">
        <v>20761.490000000002</v>
      </c>
      <c r="M1242" s="4">
        <v>3457.61</v>
      </c>
      <c r="N1242" t="s">
        <v>25</v>
      </c>
      <c r="O1242" s="7">
        <v>7</v>
      </c>
      <c r="P1242" s="2">
        <v>46016.291666666664</v>
      </c>
      <c r="Q1242" t="s">
        <v>34</v>
      </c>
      <c r="R1242">
        <v>12</v>
      </c>
      <c r="S1242" t="s">
        <v>35</v>
      </c>
      <c r="T1242">
        <f>IF(orders[[#This Row],[Status]]="Completed",1,0)</f>
        <v>1</v>
      </c>
      <c r="U1242">
        <f>IF(orders[[#This Row],[Status]]="Pending",1,0)</f>
        <v>0</v>
      </c>
      <c r="V1242">
        <f>IF(orders[[#This Row],[Status]]="Delayed",1,0)</f>
        <v>0</v>
      </c>
      <c r="W1242">
        <f>IF(orders[[#This Row],[Status]]="Cancelled",1,0)</f>
        <v>0</v>
      </c>
    </row>
    <row r="1243" spans="1:23" x14ac:dyDescent="0.35">
      <c r="A1243" t="s">
        <v>1624</v>
      </c>
      <c r="B1243" s="1">
        <v>45788</v>
      </c>
      <c r="C1243" t="s">
        <v>745</v>
      </c>
      <c r="D1243" t="s">
        <v>149</v>
      </c>
      <c r="E1243" t="s">
        <v>78</v>
      </c>
      <c r="F1243" t="s">
        <v>83</v>
      </c>
      <c r="G1243" t="s">
        <v>84</v>
      </c>
      <c r="H1243" s="7">
        <v>6</v>
      </c>
      <c r="I1243" s="4">
        <v>37219.08</v>
      </c>
      <c r="J1243" s="23">
        <v>0.15</v>
      </c>
      <c r="K1243" s="4">
        <v>31636.22</v>
      </c>
      <c r="L1243" s="4">
        <v>26184.27</v>
      </c>
      <c r="M1243" s="4">
        <v>5451.95</v>
      </c>
      <c r="N1243" t="s">
        <v>25</v>
      </c>
      <c r="O1243" s="7">
        <v>4</v>
      </c>
      <c r="P1243" s="2">
        <v>45788.166666666664</v>
      </c>
      <c r="Q1243" t="s">
        <v>74</v>
      </c>
      <c r="R1243">
        <v>5</v>
      </c>
      <c r="S1243" t="s">
        <v>27</v>
      </c>
      <c r="T1243">
        <f>IF(orders[[#This Row],[Status]]="Completed",1,0)</f>
        <v>1</v>
      </c>
      <c r="U1243">
        <f>IF(orders[[#This Row],[Status]]="Pending",1,0)</f>
        <v>0</v>
      </c>
      <c r="V1243">
        <f>IF(orders[[#This Row],[Status]]="Delayed",1,0)</f>
        <v>0</v>
      </c>
      <c r="W1243">
        <f>IF(orders[[#This Row],[Status]]="Cancelled",1,0)</f>
        <v>0</v>
      </c>
    </row>
    <row r="1244" spans="1:23" x14ac:dyDescent="0.35">
      <c r="A1244" t="s">
        <v>1625</v>
      </c>
      <c r="B1244" s="1">
        <v>45945</v>
      </c>
      <c r="C1244" t="s">
        <v>57</v>
      </c>
      <c r="D1244" t="s">
        <v>38</v>
      </c>
      <c r="E1244" t="s">
        <v>92</v>
      </c>
      <c r="F1244" t="s">
        <v>32</v>
      </c>
      <c r="G1244" t="s">
        <v>79</v>
      </c>
      <c r="H1244" s="7">
        <v>5</v>
      </c>
      <c r="I1244" s="4">
        <v>5517.15</v>
      </c>
      <c r="J1244" s="23">
        <v>0.15</v>
      </c>
      <c r="K1244" s="4">
        <v>4689.58</v>
      </c>
      <c r="L1244" s="4">
        <v>3581.23</v>
      </c>
      <c r="M1244" s="4">
        <v>1108.3499999999999</v>
      </c>
      <c r="N1244" t="s">
        <v>98</v>
      </c>
      <c r="O1244" s="7">
        <v>9</v>
      </c>
      <c r="P1244" s="2">
        <v>45945.375</v>
      </c>
      <c r="Q1244" t="s">
        <v>116</v>
      </c>
      <c r="R1244">
        <v>10</v>
      </c>
      <c r="S1244" t="s">
        <v>35</v>
      </c>
      <c r="T1244">
        <f>IF(orders[[#This Row],[Status]]="Completed",1,0)</f>
        <v>0</v>
      </c>
      <c r="U1244">
        <f>IF(orders[[#This Row],[Status]]="Pending",1,0)</f>
        <v>1</v>
      </c>
      <c r="V1244">
        <f>IF(orders[[#This Row],[Status]]="Delayed",1,0)</f>
        <v>0</v>
      </c>
      <c r="W1244">
        <f>IF(orders[[#This Row],[Status]]="Cancelled",1,0)</f>
        <v>0</v>
      </c>
    </row>
    <row r="1245" spans="1:23" x14ac:dyDescent="0.35">
      <c r="A1245" t="s">
        <v>1626</v>
      </c>
      <c r="B1245" s="1">
        <v>45923</v>
      </c>
      <c r="C1245" t="s">
        <v>519</v>
      </c>
      <c r="D1245" t="s">
        <v>51</v>
      </c>
      <c r="E1245" t="s">
        <v>92</v>
      </c>
      <c r="F1245" t="s">
        <v>23</v>
      </c>
      <c r="G1245" t="s">
        <v>122</v>
      </c>
      <c r="H1245" s="7">
        <v>2</v>
      </c>
      <c r="I1245" s="4">
        <v>8955.92</v>
      </c>
      <c r="J1245" s="23">
        <v>0.15</v>
      </c>
      <c r="K1245" s="4">
        <v>7612.53</v>
      </c>
      <c r="L1245" s="4">
        <v>5044.8</v>
      </c>
      <c r="M1245" s="4">
        <v>2567.73</v>
      </c>
      <c r="N1245" t="s">
        <v>25</v>
      </c>
      <c r="O1245" s="7">
        <v>10</v>
      </c>
      <c r="P1245" s="2">
        <v>45923.416666666664</v>
      </c>
      <c r="Q1245" t="s">
        <v>41</v>
      </c>
      <c r="R1245">
        <v>9</v>
      </c>
      <c r="S1245" t="s">
        <v>42</v>
      </c>
      <c r="T1245">
        <f>IF(orders[[#This Row],[Status]]="Completed",1,0)</f>
        <v>1</v>
      </c>
      <c r="U1245">
        <f>IF(orders[[#This Row],[Status]]="Pending",1,0)</f>
        <v>0</v>
      </c>
      <c r="V1245">
        <f>IF(orders[[#This Row],[Status]]="Delayed",1,0)</f>
        <v>0</v>
      </c>
      <c r="W1245">
        <f>IF(orders[[#This Row],[Status]]="Cancelled",1,0)</f>
        <v>0</v>
      </c>
    </row>
    <row r="1246" spans="1:23" x14ac:dyDescent="0.35">
      <c r="A1246" t="s">
        <v>1627</v>
      </c>
      <c r="B1246" s="1">
        <v>45819</v>
      </c>
      <c r="C1246" t="s">
        <v>112</v>
      </c>
      <c r="D1246" t="s">
        <v>51</v>
      </c>
      <c r="E1246" t="s">
        <v>59</v>
      </c>
      <c r="F1246" t="s">
        <v>72</v>
      </c>
      <c r="G1246" t="s">
        <v>146</v>
      </c>
      <c r="H1246" s="7">
        <v>2</v>
      </c>
      <c r="I1246" s="4">
        <v>10108.700000000001</v>
      </c>
      <c r="J1246" s="23">
        <v>0.05</v>
      </c>
      <c r="K1246" s="4">
        <v>9603.26</v>
      </c>
      <c r="L1246" s="4">
        <v>7752.33</v>
      </c>
      <c r="M1246" s="4">
        <v>1850.93</v>
      </c>
      <c r="N1246" t="s">
        <v>25</v>
      </c>
      <c r="O1246" s="7">
        <v>12</v>
      </c>
      <c r="P1246" s="2">
        <v>45819.5</v>
      </c>
      <c r="Q1246" t="s">
        <v>99</v>
      </c>
      <c r="R1246">
        <v>6</v>
      </c>
      <c r="S1246" t="s">
        <v>27</v>
      </c>
      <c r="T1246">
        <f>IF(orders[[#This Row],[Status]]="Completed",1,0)</f>
        <v>1</v>
      </c>
      <c r="U1246">
        <f>IF(orders[[#This Row],[Status]]="Pending",1,0)</f>
        <v>0</v>
      </c>
      <c r="V1246">
        <f>IF(orders[[#This Row],[Status]]="Delayed",1,0)</f>
        <v>0</v>
      </c>
      <c r="W1246">
        <f>IF(orders[[#This Row],[Status]]="Cancelled",1,0)</f>
        <v>0</v>
      </c>
    </row>
    <row r="1247" spans="1:23" x14ac:dyDescent="0.35">
      <c r="A1247" t="s">
        <v>1628</v>
      </c>
      <c r="B1247" s="1">
        <v>45744</v>
      </c>
      <c r="C1247" t="s">
        <v>595</v>
      </c>
      <c r="D1247" t="s">
        <v>68</v>
      </c>
      <c r="E1247" t="s">
        <v>59</v>
      </c>
      <c r="F1247" t="s">
        <v>32</v>
      </c>
      <c r="G1247" t="s">
        <v>33</v>
      </c>
      <c r="H1247" s="7">
        <v>1</v>
      </c>
      <c r="I1247" s="4">
        <v>1604.66</v>
      </c>
      <c r="J1247" s="23">
        <v>0.05</v>
      </c>
      <c r="K1247" s="4">
        <v>1524.43</v>
      </c>
      <c r="L1247" s="4">
        <v>1127.8</v>
      </c>
      <c r="M1247" s="4">
        <v>396.63</v>
      </c>
      <c r="N1247" t="s">
        <v>25</v>
      </c>
      <c r="O1247" s="7">
        <v>4</v>
      </c>
      <c r="P1247" s="2">
        <v>45744.166666666664</v>
      </c>
      <c r="Q1247" t="s">
        <v>54</v>
      </c>
      <c r="R1247">
        <v>3</v>
      </c>
      <c r="S1247" t="s">
        <v>55</v>
      </c>
      <c r="T1247">
        <f>IF(orders[[#This Row],[Status]]="Completed",1,0)</f>
        <v>1</v>
      </c>
      <c r="U1247">
        <f>IF(orders[[#This Row],[Status]]="Pending",1,0)</f>
        <v>0</v>
      </c>
      <c r="V1247">
        <f>IF(orders[[#This Row],[Status]]="Delayed",1,0)</f>
        <v>0</v>
      </c>
      <c r="W1247">
        <f>IF(orders[[#This Row],[Status]]="Cancelled",1,0)</f>
        <v>0</v>
      </c>
    </row>
    <row r="1248" spans="1:23" x14ac:dyDescent="0.35">
      <c r="A1248" t="s">
        <v>1629</v>
      </c>
      <c r="B1248" s="1">
        <v>45712</v>
      </c>
      <c r="C1248" t="s">
        <v>1080</v>
      </c>
      <c r="D1248" t="s">
        <v>21</v>
      </c>
      <c r="E1248" t="s">
        <v>22</v>
      </c>
      <c r="F1248" t="s">
        <v>32</v>
      </c>
      <c r="G1248" t="s">
        <v>33</v>
      </c>
      <c r="H1248" s="7">
        <v>3</v>
      </c>
      <c r="I1248" s="4">
        <v>24570.45</v>
      </c>
      <c r="J1248" s="23">
        <v>0.25</v>
      </c>
      <c r="K1248" s="4">
        <v>18427.84</v>
      </c>
      <c r="L1248" s="4">
        <v>16126.92</v>
      </c>
      <c r="M1248" s="4">
        <v>2300.92</v>
      </c>
      <c r="N1248" t="s">
        <v>25</v>
      </c>
      <c r="O1248" s="7">
        <v>19</v>
      </c>
      <c r="P1248" s="2">
        <v>45712.791666666664</v>
      </c>
      <c r="Q1248" t="s">
        <v>139</v>
      </c>
      <c r="R1248">
        <v>2</v>
      </c>
      <c r="S1248" t="s">
        <v>55</v>
      </c>
      <c r="T1248">
        <f>IF(orders[[#This Row],[Status]]="Completed",1,0)</f>
        <v>1</v>
      </c>
      <c r="U1248">
        <f>IF(orders[[#This Row],[Status]]="Pending",1,0)</f>
        <v>0</v>
      </c>
      <c r="V1248">
        <f>IF(orders[[#This Row],[Status]]="Delayed",1,0)</f>
        <v>0</v>
      </c>
      <c r="W1248">
        <f>IF(orders[[#This Row],[Status]]="Cancelled",1,0)</f>
        <v>0</v>
      </c>
    </row>
    <row r="1249" spans="1:23" x14ac:dyDescent="0.35">
      <c r="A1249" t="s">
        <v>1630</v>
      </c>
      <c r="B1249" s="1">
        <v>45945</v>
      </c>
      <c r="C1249" t="s">
        <v>221</v>
      </c>
      <c r="D1249" t="s">
        <v>77</v>
      </c>
      <c r="E1249" t="s">
        <v>46</v>
      </c>
      <c r="F1249" t="s">
        <v>39</v>
      </c>
      <c r="G1249" t="s">
        <v>40</v>
      </c>
      <c r="H1249" s="7">
        <v>4</v>
      </c>
      <c r="I1249" s="4">
        <v>6464.36</v>
      </c>
      <c r="J1249" s="23">
        <v>0</v>
      </c>
      <c r="K1249" s="4">
        <v>6464.36</v>
      </c>
      <c r="L1249" s="4">
        <v>4083.39</v>
      </c>
      <c r="M1249" s="4">
        <v>2380.9699999999998</v>
      </c>
      <c r="N1249" t="s">
        <v>25</v>
      </c>
      <c r="O1249" s="7">
        <v>21</v>
      </c>
      <c r="P1249" s="2">
        <v>45945.875</v>
      </c>
      <c r="Q1249" t="s">
        <v>116</v>
      </c>
      <c r="R1249">
        <v>10</v>
      </c>
      <c r="S1249" t="s">
        <v>35</v>
      </c>
      <c r="T1249">
        <f>IF(orders[[#This Row],[Status]]="Completed",1,0)</f>
        <v>1</v>
      </c>
      <c r="U1249">
        <f>IF(orders[[#This Row],[Status]]="Pending",1,0)</f>
        <v>0</v>
      </c>
      <c r="V1249">
        <f>IF(orders[[#This Row],[Status]]="Delayed",1,0)</f>
        <v>0</v>
      </c>
      <c r="W1249">
        <f>IF(orders[[#This Row],[Status]]="Cancelled",1,0)</f>
        <v>0</v>
      </c>
    </row>
    <row r="1250" spans="1:23" x14ac:dyDescent="0.35">
      <c r="A1250" t="s">
        <v>1631</v>
      </c>
      <c r="B1250" s="1">
        <v>45835</v>
      </c>
      <c r="C1250" t="s">
        <v>684</v>
      </c>
      <c r="D1250" t="s">
        <v>63</v>
      </c>
      <c r="E1250" t="s">
        <v>113</v>
      </c>
      <c r="F1250" t="s">
        <v>39</v>
      </c>
      <c r="G1250" t="s">
        <v>188</v>
      </c>
      <c r="H1250" s="7">
        <v>2</v>
      </c>
      <c r="I1250" s="4">
        <v>3265.22</v>
      </c>
      <c r="J1250" s="23">
        <v>0</v>
      </c>
      <c r="K1250" s="4">
        <v>3265.22</v>
      </c>
      <c r="L1250" s="4">
        <v>1881.7</v>
      </c>
      <c r="M1250" s="4">
        <v>1383.52</v>
      </c>
      <c r="N1250" t="s">
        <v>98</v>
      </c>
      <c r="O1250" s="7">
        <v>10</v>
      </c>
      <c r="P1250" s="2">
        <v>45835.416666666664</v>
      </c>
      <c r="Q1250" t="s">
        <v>99</v>
      </c>
      <c r="R1250">
        <v>6</v>
      </c>
      <c r="S1250" t="s">
        <v>27</v>
      </c>
      <c r="T1250">
        <f>IF(orders[[#This Row],[Status]]="Completed",1,0)</f>
        <v>0</v>
      </c>
      <c r="U1250">
        <f>IF(orders[[#This Row],[Status]]="Pending",1,0)</f>
        <v>1</v>
      </c>
      <c r="V1250">
        <f>IF(orders[[#This Row],[Status]]="Delayed",1,0)</f>
        <v>0</v>
      </c>
      <c r="W1250">
        <f>IF(orders[[#This Row],[Status]]="Cancelled",1,0)</f>
        <v>0</v>
      </c>
    </row>
    <row r="1251" spans="1:23" x14ac:dyDescent="0.35">
      <c r="A1251" t="s">
        <v>1632</v>
      </c>
      <c r="B1251" s="1">
        <v>46006</v>
      </c>
      <c r="C1251" t="s">
        <v>1188</v>
      </c>
      <c r="D1251" t="s">
        <v>38</v>
      </c>
      <c r="E1251" t="s">
        <v>22</v>
      </c>
      <c r="F1251" t="s">
        <v>39</v>
      </c>
      <c r="G1251" t="s">
        <v>40</v>
      </c>
      <c r="H1251" s="7">
        <v>1</v>
      </c>
      <c r="I1251" s="4">
        <v>7791.65</v>
      </c>
      <c r="J1251" s="23">
        <v>0</v>
      </c>
      <c r="K1251" s="4">
        <v>7791.65</v>
      </c>
      <c r="L1251" s="4">
        <v>4465.12</v>
      </c>
      <c r="M1251" s="4">
        <v>3326.53</v>
      </c>
      <c r="N1251" t="s">
        <v>25</v>
      </c>
      <c r="O1251" s="7">
        <v>5</v>
      </c>
      <c r="P1251" s="2">
        <v>46006.208333333336</v>
      </c>
      <c r="Q1251" t="s">
        <v>34</v>
      </c>
      <c r="R1251">
        <v>12</v>
      </c>
      <c r="S1251" t="s">
        <v>35</v>
      </c>
      <c r="T1251">
        <f>IF(orders[[#This Row],[Status]]="Completed",1,0)</f>
        <v>1</v>
      </c>
      <c r="U1251">
        <f>IF(orders[[#This Row],[Status]]="Pending",1,0)</f>
        <v>0</v>
      </c>
      <c r="V1251">
        <f>IF(orders[[#This Row],[Status]]="Delayed",1,0)</f>
        <v>0</v>
      </c>
      <c r="W1251">
        <f>IF(orders[[#This Row],[Status]]="Cancelled",1,0)</f>
        <v>0</v>
      </c>
    </row>
    <row r="1252" spans="1:23" x14ac:dyDescent="0.35">
      <c r="A1252" t="s">
        <v>1633</v>
      </c>
      <c r="B1252" s="1">
        <v>45665</v>
      </c>
      <c r="C1252" t="s">
        <v>644</v>
      </c>
      <c r="D1252" t="s">
        <v>149</v>
      </c>
      <c r="E1252" t="s">
        <v>78</v>
      </c>
      <c r="F1252" t="s">
        <v>23</v>
      </c>
      <c r="G1252" t="s">
        <v>122</v>
      </c>
      <c r="H1252" s="7">
        <v>6</v>
      </c>
      <c r="I1252" s="4">
        <v>24206.82</v>
      </c>
      <c r="J1252" s="23">
        <v>0.05</v>
      </c>
      <c r="K1252" s="4">
        <v>22996.48</v>
      </c>
      <c r="L1252" s="4">
        <v>17505.150000000001</v>
      </c>
      <c r="M1252" s="4">
        <v>5491.33</v>
      </c>
      <c r="N1252" t="s">
        <v>25</v>
      </c>
      <c r="O1252" s="7">
        <v>12</v>
      </c>
      <c r="P1252" s="2">
        <v>45665.5</v>
      </c>
      <c r="Q1252" t="s">
        <v>65</v>
      </c>
      <c r="R1252">
        <v>1</v>
      </c>
      <c r="S1252" t="s">
        <v>55</v>
      </c>
      <c r="T1252">
        <f>IF(orders[[#This Row],[Status]]="Completed",1,0)</f>
        <v>1</v>
      </c>
      <c r="U1252">
        <f>IF(orders[[#This Row],[Status]]="Pending",1,0)</f>
        <v>0</v>
      </c>
      <c r="V1252">
        <f>IF(orders[[#This Row],[Status]]="Delayed",1,0)</f>
        <v>0</v>
      </c>
      <c r="W1252">
        <f>IF(orders[[#This Row],[Status]]="Cancelled",1,0)</f>
        <v>0</v>
      </c>
    </row>
    <row r="1253" spans="1:23" x14ac:dyDescent="0.35">
      <c r="A1253" t="s">
        <v>1634</v>
      </c>
      <c r="B1253" s="1">
        <v>45978</v>
      </c>
      <c r="C1253" t="s">
        <v>1425</v>
      </c>
      <c r="D1253" t="s">
        <v>51</v>
      </c>
      <c r="E1253" t="s">
        <v>59</v>
      </c>
      <c r="F1253" t="s">
        <v>39</v>
      </c>
      <c r="G1253" t="s">
        <v>40</v>
      </c>
      <c r="H1253" s="7">
        <v>3</v>
      </c>
      <c r="I1253" s="4">
        <v>2032.86</v>
      </c>
      <c r="J1253" s="23">
        <v>0.05</v>
      </c>
      <c r="K1253" s="4">
        <v>1931.22</v>
      </c>
      <c r="L1253" s="4">
        <v>1660.76</v>
      </c>
      <c r="M1253" s="4">
        <v>270.45999999999998</v>
      </c>
      <c r="N1253" t="s">
        <v>25</v>
      </c>
      <c r="O1253" s="7">
        <v>7</v>
      </c>
      <c r="P1253" s="2">
        <v>45978.291666666664</v>
      </c>
      <c r="Q1253" t="s">
        <v>86</v>
      </c>
      <c r="R1253">
        <v>11</v>
      </c>
      <c r="S1253" t="s">
        <v>35</v>
      </c>
      <c r="T1253">
        <f>IF(orders[[#This Row],[Status]]="Completed",1,0)</f>
        <v>1</v>
      </c>
      <c r="U1253">
        <f>IF(orders[[#This Row],[Status]]="Pending",1,0)</f>
        <v>0</v>
      </c>
      <c r="V1253">
        <f>IF(orders[[#This Row],[Status]]="Delayed",1,0)</f>
        <v>0</v>
      </c>
      <c r="W1253">
        <f>IF(orders[[#This Row],[Status]]="Cancelled",1,0)</f>
        <v>0</v>
      </c>
    </row>
    <row r="1254" spans="1:23" x14ac:dyDescent="0.35">
      <c r="A1254" t="s">
        <v>1635</v>
      </c>
      <c r="B1254" s="1">
        <v>45970</v>
      </c>
      <c r="C1254" t="s">
        <v>1410</v>
      </c>
      <c r="D1254" t="s">
        <v>51</v>
      </c>
      <c r="E1254" t="s">
        <v>31</v>
      </c>
      <c r="F1254" t="s">
        <v>32</v>
      </c>
      <c r="G1254" t="s">
        <v>33</v>
      </c>
      <c r="H1254" s="7">
        <v>3</v>
      </c>
      <c r="I1254" s="4">
        <v>15434.61</v>
      </c>
      <c r="J1254" s="23">
        <v>0.1</v>
      </c>
      <c r="K1254" s="4">
        <v>13891.15</v>
      </c>
      <c r="L1254" s="4">
        <v>7648.99</v>
      </c>
      <c r="M1254" s="4">
        <v>6242.16</v>
      </c>
      <c r="N1254" t="s">
        <v>85</v>
      </c>
      <c r="O1254" s="7">
        <v>71</v>
      </c>
      <c r="P1254" s="2">
        <v>45972.958333333336</v>
      </c>
      <c r="Q1254" t="s">
        <v>86</v>
      </c>
      <c r="R1254">
        <v>11</v>
      </c>
      <c r="S1254" t="s">
        <v>35</v>
      </c>
      <c r="T1254">
        <f>IF(orders[[#This Row],[Status]]="Completed",1,0)</f>
        <v>0</v>
      </c>
      <c r="U1254">
        <f>IF(orders[[#This Row],[Status]]="Pending",1,0)</f>
        <v>0</v>
      </c>
      <c r="V1254">
        <f>IF(orders[[#This Row],[Status]]="Delayed",1,0)</f>
        <v>1</v>
      </c>
      <c r="W1254">
        <f>IF(orders[[#This Row],[Status]]="Cancelled",1,0)</f>
        <v>0</v>
      </c>
    </row>
    <row r="1255" spans="1:23" x14ac:dyDescent="0.35">
      <c r="A1255" t="s">
        <v>1636</v>
      </c>
      <c r="B1255" s="1">
        <v>45904</v>
      </c>
      <c r="C1255" t="s">
        <v>426</v>
      </c>
      <c r="D1255" t="s">
        <v>21</v>
      </c>
      <c r="E1255" t="s">
        <v>113</v>
      </c>
      <c r="F1255" t="s">
        <v>39</v>
      </c>
      <c r="G1255" t="s">
        <v>114</v>
      </c>
      <c r="H1255" s="7">
        <v>7</v>
      </c>
      <c r="I1255" s="4">
        <v>36226.75</v>
      </c>
      <c r="J1255" s="23">
        <v>0.1</v>
      </c>
      <c r="K1255" s="4">
        <v>32604.080000000002</v>
      </c>
      <c r="L1255" s="4">
        <v>25741.07</v>
      </c>
      <c r="M1255" s="4">
        <v>6863.01</v>
      </c>
      <c r="N1255" t="s">
        <v>25</v>
      </c>
      <c r="O1255" s="7">
        <v>26</v>
      </c>
      <c r="P1255" s="2">
        <v>45905.083333333336</v>
      </c>
      <c r="Q1255" t="s">
        <v>41</v>
      </c>
      <c r="R1255">
        <v>9</v>
      </c>
      <c r="S1255" t="s">
        <v>42</v>
      </c>
      <c r="T1255">
        <f>IF(orders[[#This Row],[Status]]="Completed",1,0)</f>
        <v>1</v>
      </c>
      <c r="U1255">
        <f>IF(orders[[#This Row],[Status]]="Pending",1,0)</f>
        <v>0</v>
      </c>
      <c r="V1255">
        <f>IF(orders[[#This Row],[Status]]="Delayed",1,0)</f>
        <v>0</v>
      </c>
      <c r="W1255">
        <f>IF(orders[[#This Row],[Status]]="Cancelled",1,0)</f>
        <v>0</v>
      </c>
    </row>
    <row r="1256" spans="1:23" x14ac:dyDescent="0.35">
      <c r="A1256" t="s">
        <v>1637</v>
      </c>
      <c r="B1256" s="1">
        <v>45980</v>
      </c>
      <c r="C1256" t="s">
        <v>1040</v>
      </c>
      <c r="D1256" t="s">
        <v>149</v>
      </c>
      <c r="E1256" t="s">
        <v>31</v>
      </c>
      <c r="F1256" t="s">
        <v>83</v>
      </c>
      <c r="G1256" t="s">
        <v>155</v>
      </c>
      <c r="H1256" s="7">
        <v>1</v>
      </c>
      <c r="I1256" s="4">
        <v>688.58</v>
      </c>
      <c r="J1256" s="23">
        <v>0.2</v>
      </c>
      <c r="K1256" s="4">
        <v>550.86</v>
      </c>
      <c r="L1256" s="4">
        <v>422.42</v>
      </c>
      <c r="M1256" s="4">
        <v>128.44</v>
      </c>
      <c r="N1256" t="s">
        <v>25</v>
      </c>
      <c r="O1256" s="7">
        <v>46</v>
      </c>
      <c r="P1256" s="2">
        <v>45981.916666666664</v>
      </c>
      <c r="Q1256" t="s">
        <v>86</v>
      </c>
      <c r="R1256">
        <v>11</v>
      </c>
      <c r="S1256" t="s">
        <v>35</v>
      </c>
      <c r="T1256">
        <f>IF(orders[[#This Row],[Status]]="Completed",1,0)</f>
        <v>1</v>
      </c>
      <c r="U1256">
        <f>IF(orders[[#This Row],[Status]]="Pending",1,0)</f>
        <v>0</v>
      </c>
      <c r="V1256">
        <f>IF(orders[[#This Row],[Status]]="Delayed",1,0)</f>
        <v>0</v>
      </c>
      <c r="W1256">
        <f>IF(orders[[#This Row],[Status]]="Cancelled",1,0)</f>
        <v>0</v>
      </c>
    </row>
    <row r="1257" spans="1:23" x14ac:dyDescent="0.35">
      <c r="A1257" t="s">
        <v>1638</v>
      </c>
      <c r="B1257" s="1">
        <v>45912</v>
      </c>
      <c r="C1257" t="s">
        <v>1194</v>
      </c>
      <c r="D1257" t="s">
        <v>149</v>
      </c>
      <c r="E1257" t="s">
        <v>78</v>
      </c>
      <c r="F1257" t="s">
        <v>39</v>
      </c>
      <c r="G1257" t="s">
        <v>114</v>
      </c>
      <c r="H1257" s="7">
        <v>1</v>
      </c>
      <c r="I1257" s="4">
        <v>8270.56</v>
      </c>
      <c r="J1257" s="23">
        <v>0</v>
      </c>
      <c r="K1257" s="4">
        <v>8270.56</v>
      </c>
      <c r="L1257" s="4">
        <v>6547.47</v>
      </c>
      <c r="M1257" s="4">
        <v>1723.09</v>
      </c>
      <c r="N1257" t="s">
        <v>85</v>
      </c>
      <c r="O1257" s="7">
        <v>95</v>
      </c>
      <c r="P1257" s="2">
        <v>45915.958333333336</v>
      </c>
      <c r="Q1257" t="s">
        <v>41</v>
      </c>
      <c r="R1257">
        <v>9</v>
      </c>
      <c r="S1257" t="s">
        <v>42</v>
      </c>
      <c r="T1257">
        <f>IF(orders[[#This Row],[Status]]="Completed",1,0)</f>
        <v>0</v>
      </c>
      <c r="U1257">
        <f>IF(orders[[#This Row],[Status]]="Pending",1,0)</f>
        <v>0</v>
      </c>
      <c r="V1257">
        <f>IF(orders[[#This Row],[Status]]="Delayed",1,0)</f>
        <v>1</v>
      </c>
      <c r="W1257">
        <f>IF(orders[[#This Row],[Status]]="Cancelled",1,0)</f>
        <v>0</v>
      </c>
    </row>
    <row r="1258" spans="1:23" x14ac:dyDescent="0.35">
      <c r="A1258" t="s">
        <v>1639</v>
      </c>
      <c r="B1258" s="1">
        <v>45985</v>
      </c>
      <c r="C1258" t="s">
        <v>424</v>
      </c>
      <c r="D1258" t="s">
        <v>21</v>
      </c>
      <c r="E1258" t="s">
        <v>22</v>
      </c>
      <c r="F1258" t="s">
        <v>23</v>
      </c>
      <c r="G1258" t="s">
        <v>110</v>
      </c>
      <c r="H1258" s="7">
        <v>7</v>
      </c>
      <c r="I1258" s="4">
        <v>32848.550000000003</v>
      </c>
      <c r="J1258" s="23">
        <v>0.05</v>
      </c>
      <c r="K1258" s="4">
        <v>31206.12</v>
      </c>
      <c r="L1258" s="4">
        <v>20823.34</v>
      </c>
      <c r="M1258" s="4">
        <v>10382.780000000001</v>
      </c>
      <c r="N1258" t="s">
        <v>25</v>
      </c>
      <c r="O1258" s="7">
        <v>46</v>
      </c>
      <c r="P1258" s="2">
        <v>45986.916666666664</v>
      </c>
      <c r="Q1258" t="s">
        <v>86</v>
      </c>
      <c r="R1258">
        <v>11</v>
      </c>
      <c r="S1258" t="s">
        <v>35</v>
      </c>
      <c r="T1258">
        <f>IF(orders[[#This Row],[Status]]="Completed",1,0)</f>
        <v>1</v>
      </c>
      <c r="U1258">
        <f>IF(orders[[#This Row],[Status]]="Pending",1,0)</f>
        <v>0</v>
      </c>
      <c r="V1258">
        <f>IF(orders[[#This Row],[Status]]="Delayed",1,0)</f>
        <v>0</v>
      </c>
      <c r="W1258">
        <f>IF(orders[[#This Row],[Status]]="Cancelled",1,0)</f>
        <v>0</v>
      </c>
    </row>
    <row r="1259" spans="1:23" x14ac:dyDescent="0.35">
      <c r="A1259" t="s">
        <v>1640</v>
      </c>
      <c r="B1259" s="1">
        <v>45711</v>
      </c>
      <c r="C1259" t="s">
        <v>159</v>
      </c>
      <c r="D1259" t="s">
        <v>51</v>
      </c>
      <c r="E1259" t="s">
        <v>59</v>
      </c>
      <c r="F1259" t="s">
        <v>83</v>
      </c>
      <c r="G1259" t="s">
        <v>84</v>
      </c>
      <c r="H1259" s="7">
        <v>4</v>
      </c>
      <c r="I1259" s="4">
        <v>19297.16</v>
      </c>
      <c r="J1259" s="23">
        <v>0.1</v>
      </c>
      <c r="K1259" s="4">
        <v>17367.439999999999</v>
      </c>
      <c r="L1259" s="4">
        <v>14254.57</v>
      </c>
      <c r="M1259" s="4">
        <v>3112.87</v>
      </c>
      <c r="N1259" t="s">
        <v>98</v>
      </c>
      <c r="O1259" s="7">
        <v>17</v>
      </c>
      <c r="P1259" s="2">
        <v>45711.708333333336</v>
      </c>
      <c r="Q1259" t="s">
        <v>139</v>
      </c>
      <c r="R1259">
        <v>2</v>
      </c>
      <c r="S1259" t="s">
        <v>55</v>
      </c>
      <c r="T1259">
        <f>IF(orders[[#This Row],[Status]]="Completed",1,0)</f>
        <v>0</v>
      </c>
      <c r="U1259">
        <f>IF(orders[[#This Row],[Status]]="Pending",1,0)</f>
        <v>1</v>
      </c>
      <c r="V1259">
        <f>IF(orders[[#This Row],[Status]]="Delayed",1,0)</f>
        <v>0</v>
      </c>
      <c r="W1259">
        <f>IF(orders[[#This Row],[Status]]="Cancelled",1,0)</f>
        <v>0</v>
      </c>
    </row>
    <row r="1260" spans="1:23" x14ac:dyDescent="0.35">
      <c r="A1260" t="s">
        <v>1641</v>
      </c>
      <c r="B1260" s="1">
        <v>45906</v>
      </c>
      <c r="C1260" t="s">
        <v>821</v>
      </c>
      <c r="D1260" t="s">
        <v>77</v>
      </c>
      <c r="E1260" t="s">
        <v>113</v>
      </c>
      <c r="F1260" t="s">
        <v>32</v>
      </c>
      <c r="G1260" t="s">
        <v>79</v>
      </c>
      <c r="H1260" s="7">
        <v>1</v>
      </c>
      <c r="I1260" s="4">
        <v>4492.96</v>
      </c>
      <c r="J1260" s="23">
        <v>0.1</v>
      </c>
      <c r="K1260" s="4">
        <v>4043.66</v>
      </c>
      <c r="L1260" s="4">
        <v>2283.67</v>
      </c>
      <c r="M1260" s="4">
        <v>1759.99</v>
      </c>
      <c r="N1260" t="s">
        <v>25</v>
      </c>
      <c r="O1260" s="7">
        <v>42</v>
      </c>
      <c r="P1260" s="2">
        <v>45907.75</v>
      </c>
      <c r="Q1260" t="s">
        <v>41</v>
      </c>
      <c r="R1260">
        <v>9</v>
      </c>
      <c r="S1260" t="s">
        <v>42</v>
      </c>
      <c r="T1260">
        <f>IF(orders[[#This Row],[Status]]="Completed",1,0)</f>
        <v>1</v>
      </c>
      <c r="U1260">
        <f>IF(orders[[#This Row],[Status]]="Pending",1,0)</f>
        <v>0</v>
      </c>
      <c r="V1260">
        <f>IF(orders[[#This Row],[Status]]="Delayed",1,0)</f>
        <v>0</v>
      </c>
      <c r="W1260">
        <f>IF(orders[[#This Row],[Status]]="Cancelled",1,0)</f>
        <v>0</v>
      </c>
    </row>
    <row r="1261" spans="1:23" x14ac:dyDescent="0.35">
      <c r="A1261" t="s">
        <v>1642</v>
      </c>
      <c r="B1261" s="1">
        <v>45896</v>
      </c>
      <c r="C1261" t="s">
        <v>600</v>
      </c>
      <c r="D1261" t="s">
        <v>58</v>
      </c>
      <c r="E1261" t="s">
        <v>78</v>
      </c>
      <c r="F1261" t="s">
        <v>32</v>
      </c>
      <c r="G1261" t="s">
        <v>53</v>
      </c>
      <c r="H1261" s="7">
        <v>7</v>
      </c>
      <c r="I1261" s="4">
        <v>36747.269999999997</v>
      </c>
      <c r="J1261" s="23">
        <v>0.1</v>
      </c>
      <c r="K1261" s="4">
        <v>33072.54</v>
      </c>
      <c r="L1261" s="4">
        <v>26434.63</v>
      </c>
      <c r="M1261" s="4">
        <v>6637.91</v>
      </c>
      <c r="N1261" t="s">
        <v>25</v>
      </c>
      <c r="O1261" s="7">
        <v>28</v>
      </c>
      <c r="P1261" s="2">
        <v>45897.166666666664</v>
      </c>
      <c r="Q1261" t="s">
        <v>80</v>
      </c>
      <c r="R1261">
        <v>8</v>
      </c>
      <c r="S1261" t="s">
        <v>42</v>
      </c>
      <c r="T1261">
        <f>IF(orders[[#This Row],[Status]]="Completed",1,0)</f>
        <v>1</v>
      </c>
      <c r="U1261">
        <f>IF(orders[[#This Row],[Status]]="Pending",1,0)</f>
        <v>0</v>
      </c>
      <c r="V1261">
        <f>IF(orders[[#This Row],[Status]]="Delayed",1,0)</f>
        <v>0</v>
      </c>
      <c r="W1261">
        <f>IF(orders[[#This Row],[Status]]="Cancelled",1,0)</f>
        <v>0</v>
      </c>
    </row>
    <row r="1262" spans="1:23" x14ac:dyDescent="0.35">
      <c r="A1262" t="s">
        <v>1643</v>
      </c>
      <c r="B1262" s="1">
        <v>45886</v>
      </c>
      <c r="C1262" t="s">
        <v>1276</v>
      </c>
      <c r="D1262" t="s">
        <v>58</v>
      </c>
      <c r="E1262" t="s">
        <v>22</v>
      </c>
      <c r="F1262" t="s">
        <v>72</v>
      </c>
      <c r="G1262" t="s">
        <v>73</v>
      </c>
      <c r="H1262" s="7">
        <v>4</v>
      </c>
      <c r="I1262" s="4">
        <v>9427.6</v>
      </c>
      <c r="J1262" s="23">
        <v>0.15</v>
      </c>
      <c r="K1262" s="4">
        <v>8013.46</v>
      </c>
      <c r="L1262" s="4">
        <v>5113.66</v>
      </c>
      <c r="M1262" s="4">
        <v>2899.8</v>
      </c>
      <c r="N1262" t="s">
        <v>85</v>
      </c>
      <c r="O1262" s="7">
        <v>69</v>
      </c>
      <c r="P1262" s="2">
        <v>45888.875</v>
      </c>
      <c r="Q1262" t="s">
        <v>80</v>
      </c>
      <c r="R1262">
        <v>8</v>
      </c>
      <c r="S1262" t="s">
        <v>42</v>
      </c>
      <c r="T1262">
        <f>IF(orders[[#This Row],[Status]]="Completed",1,0)</f>
        <v>0</v>
      </c>
      <c r="U1262">
        <f>IF(orders[[#This Row],[Status]]="Pending",1,0)</f>
        <v>0</v>
      </c>
      <c r="V1262">
        <f>IF(orders[[#This Row],[Status]]="Delayed",1,0)</f>
        <v>1</v>
      </c>
      <c r="W1262">
        <f>IF(orders[[#This Row],[Status]]="Cancelled",1,0)</f>
        <v>0</v>
      </c>
    </row>
    <row r="1263" spans="1:23" x14ac:dyDescent="0.35">
      <c r="A1263" t="s">
        <v>1644</v>
      </c>
      <c r="B1263" s="1">
        <v>45724</v>
      </c>
      <c r="C1263" t="s">
        <v>789</v>
      </c>
      <c r="D1263" t="s">
        <v>21</v>
      </c>
      <c r="E1263" t="s">
        <v>92</v>
      </c>
      <c r="F1263" t="s">
        <v>83</v>
      </c>
      <c r="G1263" t="s">
        <v>152</v>
      </c>
      <c r="H1263" s="7">
        <v>4</v>
      </c>
      <c r="I1263" s="4">
        <v>10193.879999999999</v>
      </c>
      <c r="J1263" s="23">
        <v>0</v>
      </c>
      <c r="K1263" s="4">
        <v>10193.879999999999</v>
      </c>
      <c r="L1263" s="4">
        <v>7210.71</v>
      </c>
      <c r="M1263" s="4">
        <v>2983.17</v>
      </c>
      <c r="N1263" t="s">
        <v>25</v>
      </c>
      <c r="O1263" s="7">
        <v>38</v>
      </c>
      <c r="P1263" s="2">
        <v>45725.583333333336</v>
      </c>
      <c r="Q1263" t="s">
        <v>54</v>
      </c>
      <c r="R1263">
        <v>3</v>
      </c>
      <c r="S1263" t="s">
        <v>55</v>
      </c>
      <c r="T1263">
        <f>IF(orders[[#This Row],[Status]]="Completed",1,0)</f>
        <v>1</v>
      </c>
      <c r="U1263">
        <f>IF(orders[[#This Row],[Status]]="Pending",1,0)</f>
        <v>0</v>
      </c>
      <c r="V1263">
        <f>IF(orders[[#This Row],[Status]]="Delayed",1,0)</f>
        <v>0</v>
      </c>
      <c r="W1263">
        <f>IF(orders[[#This Row],[Status]]="Cancelled",1,0)</f>
        <v>0</v>
      </c>
    </row>
    <row r="1264" spans="1:23" x14ac:dyDescent="0.35">
      <c r="A1264" t="s">
        <v>1645</v>
      </c>
      <c r="B1264" s="1">
        <v>45708</v>
      </c>
      <c r="C1264" t="s">
        <v>481</v>
      </c>
      <c r="D1264" t="s">
        <v>149</v>
      </c>
      <c r="E1264" t="s">
        <v>22</v>
      </c>
      <c r="F1264" t="s">
        <v>72</v>
      </c>
      <c r="G1264" t="s">
        <v>146</v>
      </c>
      <c r="H1264" s="7">
        <v>5</v>
      </c>
      <c r="I1264" s="4">
        <v>22098.400000000001</v>
      </c>
      <c r="J1264" s="23">
        <v>0.15</v>
      </c>
      <c r="K1264" s="4">
        <v>18783.64</v>
      </c>
      <c r="L1264" s="4">
        <v>15430.2</v>
      </c>
      <c r="M1264" s="4">
        <v>3353.44</v>
      </c>
      <c r="N1264" t="s">
        <v>25</v>
      </c>
      <c r="O1264" s="7">
        <v>20</v>
      </c>
      <c r="P1264" s="2">
        <v>45708.833333333336</v>
      </c>
      <c r="Q1264" t="s">
        <v>139</v>
      </c>
      <c r="R1264">
        <v>2</v>
      </c>
      <c r="S1264" t="s">
        <v>55</v>
      </c>
      <c r="T1264">
        <f>IF(orders[[#This Row],[Status]]="Completed",1,0)</f>
        <v>1</v>
      </c>
      <c r="U1264">
        <f>IF(orders[[#This Row],[Status]]="Pending",1,0)</f>
        <v>0</v>
      </c>
      <c r="V1264">
        <f>IF(orders[[#This Row],[Status]]="Delayed",1,0)</f>
        <v>0</v>
      </c>
      <c r="W1264">
        <f>IF(orders[[#This Row],[Status]]="Cancelled",1,0)</f>
        <v>0</v>
      </c>
    </row>
    <row r="1265" spans="1:23" x14ac:dyDescent="0.35">
      <c r="A1265" t="s">
        <v>1646</v>
      </c>
      <c r="B1265" s="1">
        <v>45754</v>
      </c>
      <c r="C1265" t="s">
        <v>495</v>
      </c>
      <c r="D1265" t="s">
        <v>63</v>
      </c>
      <c r="E1265" t="s">
        <v>46</v>
      </c>
      <c r="F1265" t="s">
        <v>83</v>
      </c>
      <c r="G1265" t="s">
        <v>84</v>
      </c>
      <c r="H1265" s="7">
        <v>3</v>
      </c>
      <c r="I1265" s="4">
        <v>20657.490000000002</v>
      </c>
      <c r="J1265" s="23">
        <v>0.1</v>
      </c>
      <c r="K1265" s="4">
        <v>18591.740000000002</v>
      </c>
      <c r="L1265" s="4">
        <v>11890.32</v>
      </c>
      <c r="M1265" s="4">
        <v>6701.42</v>
      </c>
      <c r="N1265" t="s">
        <v>25</v>
      </c>
      <c r="O1265" s="7">
        <v>21</v>
      </c>
      <c r="P1265" s="2">
        <v>45754.875</v>
      </c>
      <c r="Q1265" t="s">
        <v>26</v>
      </c>
      <c r="R1265">
        <v>4</v>
      </c>
      <c r="S1265" t="s">
        <v>27</v>
      </c>
      <c r="T1265">
        <f>IF(orders[[#This Row],[Status]]="Completed",1,0)</f>
        <v>1</v>
      </c>
      <c r="U1265">
        <f>IF(orders[[#This Row],[Status]]="Pending",1,0)</f>
        <v>0</v>
      </c>
      <c r="V1265">
        <f>IF(orders[[#This Row],[Status]]="Delayed",1,0)</f>
        <v>0</v>
      </c>
      <c r="W1265">
        <f>IF(orders[[#This Row],[Status]]="Cancelled",1,0)</f>
        <v>0</v>
      </c>
    </row>
    <row r="1266" spans="1:23" x14ac:dyDescent="0.35">
      <c r="A1266" t="s">
        <v>1647</v>
      </c>
      <c r="B1266" s="1">
        <v>45749</v>
      </c>
      <c r="C1266" t="s">
        <v>493</v>
      </c>
      <c r="D1266" t="s">
        <v>21</v>
      </c>
      <c r="E1266" t="s">
        <v>52</v>
      </c>
      <c r="F1266" t="s">
        <v>83</v>
      </c>
      <c r="G1266" t="s">
        <v>152</v>
      </c>
      <c r="H1266" s="7">
        <v>6</v>
      </c>
      <c r="I1266" s="4">
        <v>3398.22</v>
      </c>
      <c r="J1266" s="23">
        <v>0</v>
      </c>
      <c r="K1266" s="4">
        <v>3398.22</v>
      </c>
      <c r="L1266" s="4">
        <v>2076.7199999999998</v>
      </c>
      <c r="M1266" s="4">
        <v>1321.5</v>
      </c>
      <c r="N1266" t="s">
        <v>25</v>
      </c>
      <c r="O1266" s="7">
        <v>30</v>
      </c>
      <c r="P1266" s="2">
        <v>45750.25</v>
      </c>
      <c r="Q1266" t="s">
        <v>26</v>
      </c>
      <c r="R1266">
        <v>4</v>
      </c>
      <c r="S1266" t="s">
        <v>27</v>
      </c>
      <c r="T1266">
        <f>IF(orders[[#This Row],[Status]]="Completed",1,0)</f>
        <v>1</v>
      </c>
      <c r="U1266">
        <f>IF(orders[[#This Row],[Status]]="Pending",1,0)</f>
        <v>0</v>
      </c>
      <c r="V1266">
        <f>IF(orders[[#This Row],[Status]]="Delayed",1,0)</f>
        <v>0</v>
      </c>
      <c r="W1266">
        <f>IF(orders[[#This Row],[Status]]="Cancelled",1,0)</f>
        <v>0</v>
      </c>
    </row>
    <row r="1267" spans="1:23" x14ac:dyDescent="0.35">
      <c r="A1267" t="s">
        <v>1648</v>
      </c>
      <c r="B1267" s="1">
        <v>45921</v>
      </c>
      <c r="C1267" t="s">
        <v>299</v>
      </c>
      <c r="D1267" t="s">
        <v>77</v>
      </c>
      <c r="E1267" t="s">
        <v>92</v>
      </c>
      <c r="F1267" t="s">
        <v>23</v>
      </c>
      <c r="G1267" t="s">
        <v>69</v>
      </c>
      <c r="H1267" s="7">
        <v>3</v>
      </c>
      <c r="I1267" s="4">
        <v>15565.29</v>
      </c>
      <c r="J1267" s="23">
        <v>0.2</v>
      </c>
      <c r="K1267" s="4">
        <v>12452.23</v>
      </c>
      <c r="L1267" s="4">
        <v>9648.4</v>
      </c>
      <c r="M1267" s="4">
        <v>2803.83</v>
      </c>
      <c r="N1267" t="s">
        <v>25</v>
      </c>
      <c r="O1267" s="7">
        <v>18</v>
      </c>
      <c r="P1267" s="2">
        <v>45921.75</v>
      </c>
      <c r="Q1267" t="s">
        <v>41</v>
      </c>
      <c r="R1267">
        <v>9</v>
      </c>
      <c r="S1267" t="s">
        <v>42</v>
      </c>
      <c r="T1267">
        <f>IF(orders[[#This Row],[Status]]="Completed",1,0)</f>
        <v>1</v>
      </c>
      <c r="U1267">
        <f>IF(orders[[#This Row],[Status]]="Pending",1,0)</f>
        <v>0</v>
      </c>
      <c r="V1267">
        <f>IF(orders[[#This Row],[Status]]="Delayed",1,0)</f>
        <v>0</v>
      </c>
      <c r="W1267">
        <f>IF(orders[[#This Row],[Status]]="Cancelled",1,0)</f>
        <v>0</v>
      </c>
    </row>
    <row r="1268" spans="1:23" x14ac:dyDescent="0.35">
      <c r="A1268" t="s">
        <v>1649</v>
      </c>
      <c r="B1268" s="1">
        <v>45948</v>
      </c>
      <c r="C1268" t="s">
        <v>465</v>
      </c>
      <c r="D1268" t="s">
        <v>21</v>
      </c>
      <c r="E1268" t="s">
        <v>31</v>
      </c>
      <c r="F1268" t="s">
        <v>72</v>
      </c>
      <c r="G1268" t="s">
        <v>146</v>
      </c>
      <c r="H1268" s="7">
        <v>3</v>
      </c>
      <c r="I1268" s="4">
        <v>20659.8</v>
      </c>
      <c r="J1268" s="23">
        <v>0.1</v>
      </c>
      <c r="K1268" s="4">
        <v>18593.82</v>
      </c>
      <c r="L1268" s="4">
        <v>13499.49</v>
      </c>
      <c r="M1268" s="4">
        <v>5094.33</v>
      </c>
      <c r="N1268" t="s">
        <v>98</v>
      </c>
      <c r="O1268" s="7">
        <v>22</v>
      </c>
      <c r="P1268" s="2">
        <v>45948.916666666664</v>
      </c>
      <c r="Q1268" t="s">
        <v>116</v>
      </c>
      <c r="R1268">
        <v>10</v>
      </c>
      <c r="S1268" t="s">
        <v>35</v>
      </c>
      <c r="T1268">
        <f>IF(orders[[#This Row],[Status]]="Completed",1,0)</f>
        <v>0</v>
      </c>
      <c r="U1268">
        <f>IF(orders[[#This Row],[Status]]="Pending",1,0)</f>
        <v>1</v>
      </c>
      <c r="V1268">
        <f>IF(orders[[#This Row],[Status]]="Delayed",1,0)</f>
        <v>0</v>
      </c>
      <c r="W1268">
        <f>IF(orders[[#This Row],[Status]]="Cancelled",1,0)</f>
        <v>0</v>
      </c>
    </row>
    <row r="1269" spans="1:23" x14ac:dyDescent="0.35">
      <c r="A1269" t="s">
        <v>1650</v>
      </c>
      <c r="B1269" s="1">
        <v>45753</v>
      </c>
      <c r="C1269" t="s">
        <v>163</v>
      </c>
      <c r="D1269" t="s">
        <v>30</v>
      </c>
      <c r="E1269" t="s">
        <v>92</v>
      </c>
      <c r="F1269" t="s">
        <v>23</v>
      </c>
      <c r="G1269" t="s">
        <v>69</v>
      </c>
      <c r="H1269" s="7">
        <v>5</v>
      </c>
      <c r="I1269" s="4">
        <v>7301.3</v>
      </c>
      <c r="J1269" s="23">
        <v>0</v>
      </c>
      <c r="K1269" s="4">
        <v>7301.3</v>
      </c>
      <c r="L1269" s="4">
        <v>5255.13</v>
      </c>
      <c r="M1269" s="4">
        <v>2046.17</v>
      </c>
      <c r="N1269" t="s">
        <v>25</v>
      </c>
      <c r="O1269" s="7">
        <v>46</v>
      </c>
      <c r="P1269" s="2">
        <v>45754.916666666664</v>
      </c>
      <c r="Q1269" t="s">
        <v>26</v>
      </c>
      <c r="R1269">
        <v>4</v>
      </c>
      <c r="S1269" t="s">
        <v>27</v>
      </c>
      <c r="T1269">
        <f>IF(orders[[#This Row],[Status]]="Completed",1,0)</f>
        <v>1</v>
      </c>
      <c r="U1269">
        <f>IF(orders[[#This Row],[Status]]="Pending",1,0)</f>
        <v>0</v>
      </c>
      <c r="V1269">
        <f>IF(orders[[#This Row],[Status]]="Delayed",1,0)</f>
        <v>0</v>
      </c>
      <c r="W1269">
        <f>IF(orders[[#This Row],[Status]]="Cancelled",1,0)</f>
        <v>0</v>
      </c>
    </row>
    <row r="1270" spans="1:23" x14ac:dyDescent="0.35">
      <c r="A1270" t="s">
        <v>1651</v>
      </c>
      <c r="B1270" s="1">
        <v>45745</v>
      </c>
      <c r="C1270" t="s">
        <v>318</v>
      </c>
      <c r="D1270" t="s">
        <v>38</v>
      </c>
      <c r="E1270" t="s">
        <v>22</v>
      </c>
      <c r="F1270" t="s">
        <v>83</v>
      </c>
      <c r="G1270" t="s">
        <v>107</v>
      </c>
      <c r="H1270" s="7">
        <v>4</v>
      </c>
      <c r="I1270" s="4">
        <v>1101.76</v>
      </c>
      <c r="J1270" s="23">
        <v>0</v>
      </c>
      <c r="K1270" s="4">
        <v>1101.76</v>
      </c>
      <c r="L1270" s="4">
        <v>699.32</v>
      </c>
      <c r="M1270" s="4">
        <v>402.44</v>
      </c>
      <c r="N1270" t="s">
        <v>25</v>
      </c>
      <c r="O1270" s="7">
        <v>8</v>
      </c>
      <c r="P1270" s="2">
        <v>45745.333333333336</v>
      </c>
      <c r="Q1270" t="s">
        <v>54</v>
      </c>
      <c r="R1270">
        <v>3</v>
      </c>
      <c r="S1270" t="s">
        <v>55</v>
      </c>
      <c r="T1270">
        <f>IF(orders[[#This Row],[Status]]="Completed",1,0)</f>
        <v>1</v>
      </c>
      <c r="U1270">
        <f>IF(orders[[#This Row],[Status]]="Pending",1,0)</f>
        <v>0</v>
      </c>
      <c r="V1270">
        <f>IF(orders[[#This Row],[Status]]="Delayed",1,0)</f>
        <v>0</v>
      </c>
      <c r="W1270">
        <f>IF(orders[[#This Row],[Status]]="Cancelled",1,0)</f>
        <v>0</v>
      </c>
    </row>
    <row r="1271" spans="1:23" x14ac:dyDescent="0.35">
      <c r="A1271" t="s">
        <v>1652</v>
      </c>
      <c r="B1271" s="1">
        <v>45735</v>
      </c>
      <c r="C1271" t="s">
        <v>1050</v>
      </c>
      <c r="D1271" t="s">
        <v>149</v>
      </c>
      <c r="E1271" t="s">
        <v>78</v>
      </c>
      <c r="F1271" t="s">
        <v>32</v>
      </c>
      <c r="G1271" t="s">
        <v>64</v>
      </c>
      <c r="H1271" s="7">
        <v>4</v>
      </c>
      <c r="I1271" s="4">
        <v>11044.64</v>
      </c>
      <c r="J1271" s="23">
        <v>0</v>
      </c>
      <c r="K1271" s="4">
        <v>11044.64</v>
      </c>
      <c r="L1271" s="4">
        <v>6201.68</v>
      </c>
      <c r="M1271" s="4">
        <v>4842.96</v>
      </c>
      <c r="N1271" t="s">
        <v>25</v>
      </c>
      <c r="O1271" s="7">
        <v>19</v>
      </c>
      <c r="P1271" s="2">
        <v>45735.791666666664</v>
      </c>
      <c r="Q1271" t="s">
        <v>54</v>
      </c>
      <c r="R1271">
        <v>3</v>
      </c>
      <c r="S1271" t="s">
        <v>55</v>
      </c>
      <c r="T1271">
        <f>IF(orders[[#This Row],[Status]]="Completed",1,0)</f>
        <v>1</v>
      </c>
      <c r="U1271">
        <f>IF(orders[[#This Row],[Status]]="Pending",1,0)</f>
        <v>0</v>
      </c>
      <c r="V1271">
        <f>IF(orders[[#This Row],[Status]]="Delayed",1,0)</f>
        <v>0</v>
      </c>
      <c r="W1271">
        <f>IF(orders[[#This Row],[Status]]="Cancelled",1,0)</f>
        <v>0</v>
      </c>
    </row>
    <row r="1272" spans="1:23" x14ac:dyDescent="0.35">
      <c r="A1272" t="s">
        <v>1653</v>
      </c>
      <c r="B1272" s="1">
        <v>45945</v>
      </c>
      <c r="C1272" t="s">
        <v>727</v>
      </c>
      <c r="D1272" t="s">
        <v>68</v>
      </c>
      <c r="E1272" t="s">
        <v>92</v>
      </c>
      <c r="F1272" t="s">
        <v>83</v>
      </c>
      <c r="G1272" t="s">
        <v>155</v>
      </c>
      <c r="H1272" s="7">
        <v>1</v>
      </c>
      <c r="I1272" s="4">
        <v>5061</v>
      </c>
      <c r="J1272" s="23">
        <v>0.1</v>
      </c>
      <c r="K1272" s="4">
        <v>4554.8999999999996</v>
      </c>
      <c r="L1272" s="4">
        <v>3121.88</v>
      </c>
      <c r="M1272" s="4">
        <v>1433.02</v>
      </c>
      <c r="N1272" t="s">
        <v>25</v>
      </c>
      <c r="O1272" s="7">
        <v>18</v>
      </c>
      <c r="P1272" s="2">
        <v>45945.75</v>
      </c>
      <c r="Q1272" t="s">
        <v>116</v>
      </c>
      <c r="R1272">
        <v>10</v>
      </c>
      <c r="S1272" t="s">
        <v>35</v>
      </c>
      <c r="T1272">
        <f>IF(orders[[#This Row],[Status]]="Completed",1,0)</f>
        <v>1</v>
      </c>
      <c r="U1272">
        <f>IF(orders[[#This Row],[Status]]="Pending",1,0)</f>
        <v>0</v>
      </c>
      <c r="V1272">
        <f>IF(orders[[#This Row],[Status]]="Delayed",1,0)</f>
        <v>0</v>
      </c>
      <c r="W1272">
        <f>IF(orders[[#This Row],[Status]]="Cancelled",1,0)</f>
        <v>0</v>
      </c>
    </row>
    <row r="1273" spans="1:23" x14ac:dyDescent="0.35">
      <c r="A1273" t="s">
        <v>1654</v>
      </c>
      <c r="B1273" s="1">
        <v>45777</v>
      </c>
      <c r="C1273" t="s">
        <v>334</v>
      </c>
      <c r="D1273" t="s">
        <v>68</v>
      </c>
      <c r="E1273" t="s">
        <v>52</v>
      </c>
      <c r="F1273" t="s">
        <v>23</v>
      </c>
      <c r="G1273" t="s">
        <v>24</v>
      </c>
      <c r="H1273" s="7">
        <v>5</v>
      </c>
      <c r="I1273" s="4">
        <v>6523.3</v>
      </c>
      <c r="J1273" s="23">
        <v>0</v>
      </c>
      <c r="K1273" s="4">
        <v>6523.3</v>
      </c>
      <c r="L1273" s="4">
        <v>3817.2</v>
      </c>
      <c r="M1273" s="4">
        <v>2706.1</v>
      </c>
      <c r="N1273" t="s">
        <v>98</v>
      </c>
      <c r="O1273" s="7">
        <v>24</v>
      </c>
      <c r="P1273" s="2">
        <v>45778</v>
      </c>
      <c r="Q1273" t="s">
        <v>26</v>
      </c>
      <c r="R1273">
        <v>4</v>
      </c>
      <c r="S1273" t="s">
        <v>27</v>
      </c>
      <c r="T1273">
        <f>IF(orders[[#This Row],[Status]]="Completed",1,0)</f>
        <v>0</v>
      </c>
      <c r="U1273">
        <f>IF(orders[[#This Row],[Status]]="Pending",1,0)</f>
        <v>1</v>
      </c>
      <c r="V1273">
        <f>IF(orders[[#This Row],[Status]]="Delayed",1,0)</f>
        <v>0</v>
      </c>
      <c r="W1273">
        <f>IF(orders[[#This Row],[Status]]="Cancelled",1,0)</f>
        <v>0</v>
      </c>
    </row>
    <row r="1274" spans="1:23" x14ac:dyDescent="0.35">
      <c r="A1274" t="s">
        <v>1655</v>
      </c>
      <c r="B1274" s="1">
        <v>45959</v>
      </c>
      <c r="C1274" t="s">
        <v>513</v>
      </c>
      <c r="D1274" t="s">
        <v>149</v>
      </c>
      <c r="E1274" t="s">
        <v>46</v>
      </c>
      <c r="F1274" t="s">
        <v>72</v>
      </c>
      <c r="G1274" t="s">
        <v>119</v>
      </c>
      <c r="H1274" s="7">
        <v>1</v>
      </c>
      <c r="I1274" s="4">
        <v>3708.12</v>
      </c>
      <c r="J1274" s="23">
        <v>0.05</v>
      </c>
      <c r="K1274" s="4">
        <v>3522.71</v>
      </c>
      <c r="L1274" s="4">
        <v>2990.7</v>
      </c>
      <c r="M1274" s="4">
        <v>532.01</v>
      </c>
      <c r="N1274" t="s">
        <v>98</v>
      </c>
      <c r="O1274" s="7">
        <v>23</v>
      </c>
      <c r="P1274" s="2">
        <v>45959.958333333336</v>
      </c>
      <c r="Q1274" t="s">
        <v>116</v>
      </c>
      <c r="R1274">
        <v>10</v>
      </c>
      <c r="S1274" t="s">
        <v>35</v>
      </c>
      <c r="T1274">
        <f>IF(orders[[#This Row],[Status]]="Completed",1,0)</f>
        <v>0</v>
      </c>
      <c r="U1274">
        <f>IF(orders[[#This Row],[Status]]="Pending",1,0)</f>
        <v>1</v>
      </c>
      <c r="V1274">
        <f>IF(orders[[#This Row],[Status]]="Delayed",1,0)</f>
        <v>0</v>
      </c>
      <c r="W1274">
        <f>IF(orders[[#This Row],[Status]]="Cancelled",1,0)</f>
        <v>0</v>
      </c>
    </row>
    <row r="1275" spans="1:23" x14ac:dyDescent="0.35">
      <c r="A1275" t="s">
        <v>1656</v>
      </c>
      <c r="B1275" s="1">
        <v>45822</v>
      </c>
      <c r="C1275" t="s">
        <v>307</v>
      </c>
      <c r="D1275" t="s">
        <v>77</v>
      </c>
      <c r="E1275" t="s">
        <v>22</v>
      </c>
      <c r="F1275" t="s">
        <v>72</v>
      </c>
      <c r="G1275" t="s">
        <v>104</v>
      </c>
      <c r="H1275" s="7">
        <v>5</v>
      </c>
      <c r="I1275" s="4">
        <v>23809.4</v>
      </c>
      <c r="J1275" s="23">
        <v>0</v>
      </c>
      <c r="K1275" s="4">
        <v>23809.4</v>
      </c>
      <c r="L1275" s="4">
        <v>13419.28</v>
      </c>
      <c r="M1275" s="4">
        <v>10390.120000000001</v>
      </c>
      <c r="N1275" t="s">
        <v>48</v>
      </c>
      <c r="O1275" s="7">
        <v>9</v>
      </c>
      <c r="P1275" s="2">
        <v>45822.375</v>
      </c>
      <c r="Q1275" t="s">
        <v>99</v>
      </c>
      <c r="R1275">
        <v>6</v>
      </c>
      <c r="S1275" t="s">
        <v>27</v>
      </c>
      <c r="T1275">
        <f>IF(orders[[#This Row],[Status]]="Completed",1,0)</f>
        <v>0</v>
      </c>
      <c r="U1275">
        <f>IF(orders[[#This Row],[Status]]="Pending",1,0)</f>
        <v>0</v>
      </c>
      <c r="V1275">
        <f>IF(orders[[#This Row],[Status]]="Delayed",1,0)</f>
        <v>0</v>
      </c>
      <c r="W1275">
        <f>IF(orders[[#This Row],[Status]]="Cancelled",1,0)</f>
        <v>1</v>
      </c>
    </row>
    <row r="1276" spans="1:23" x14ac:dyDescent="0.35">
      <c r="A1276" t="s">
        <v>1657</v>
      </c>
      <c r="B1276" s="1">
        <v>45839</v>
      </c>
      <c r="C1276" t="s">
        <v>787</v>
      </c>
      <c r="D1276" t="s">
        <v>30</v>
      </c>
      <c r="E1276" t="s">
        <v>52</v>
      </c>
      <c r="F1276" t="s">
        <v>23</v>
      </c>
      <c r="G1276" t="s">
        <v>136</v>
      </c>
      <c r="H1276" s="7">
        <v>1</v>
      </c>
      <c r="I1276" s="4">
        <v>5150.67</v>
      </c>
      <c r="J1276" s="23">
        <v>0.15</v>
      </c>
      <c r="K1276" s="4">
        <v>4378.07</v>
      </c>
      <c r="L1276" s="4">
        <v>3031.57</v>
      </c>
      <c r="M1276" s="4">
        <v>1346.5</v>
      </c>
      <c r="N1276" t="s">
        <v>25</v>
      </c>
      <c r="O1276" s="7">
        <v>11</v>
      </c>
      <c r="P1276" s="2">
        <v>45839.458333333336</v>
      </c>
      <c r="Q1276" t="s">
        <v>60</v>
      </c>
      <c r="R1276">
        <v>7</v>
      </c>
      <c r="S1276" t="s">
        <v>42</v>
      </c>
      <c r="T1276">
        <f>IF(orders[[#This Row],[Status]]="Completed",1,0)</f>
        <v>1</v>
      </c>
      <c r="U1276">
        <f>IF(orders[[#This Row],[Status]]="Pending",1,0)</f>
        <v>0</v>
      </c>
      <c r="V1276">
        <f>IF(orders[[#This Row],[Status]]="Delayed",1,0)</f>
        <v>0</v>
      </c>
      <c r="W1276">
        <f>IF(orders[[#This Row],[Status]]="Cancelled",1,0)</f>
        <v>0</v>
      </c>
    </row>
    <row r="1277" spans="1:23" x14ac:dyDescent="0.35">
      <c r="A1277" t="s">
        <v>1658</v>
      </c>
      <c r="B1277" s="1">
        <v>45880</v>
      </c>
      <c r="C1277" t="s">
        <v>1579</v>
      </c>
      <c r="D1277" t="s">
        <v>30</v>
      </c>
      <c r="E1277" t="s">
        <v>92</v>
      </c>
      <c r="F1277" t="s">
        <v>72</v>
      </c>
      <c r="G1277" t="s">
        <v>104</v>
      </c>
      <c r="H1277" s="7">
        <v>2</v>
      </c>
      <c r="I1277" s="4">
        <v>4882.68</v>
      </c>
      <c r="J1277" s="23">
        <v>0.15</v>
      </c>
      <c r="K1277" s="4">
        <v>4150.28</v>
      </c>
      <c r="L1277" s="4">
        <v>2354.21</v>
      </c>
      <c r="M1277" s="4">
        <v>1796.07</v>
      </c>
      <c r="N1277" t="s">
        <v>25</v>
      </c>
      <c r="O1277" s="7">
        <v>13</v>
      </c>
      <c r="P1277" s="2">
        <v>45880.541666666664</v>
      </c>
      <c r="Q1277" t="s">
        <v>80</v>
      </c>
      <c r="R1277">
        <v>8</v>
      </c>
      <c r="S1277" t="s">
        <v>42</v>
      </c>
      <c r="T1277">
        <f>IF(orders[[#This Row],[Status]]="Completed",1,0)</f>
        <v>1</v>
      </c>
      <c r="U1277">
        <f>IF(orders[[#This Row],[Status]]="Pending",1,0)</f>
        <v>0</v>
      </c>
      <c r="V1277">
        <f>IF(orders[[#This Row],[Status]]="Delayed",1,0)</f>
        <v>0</v>
      </c>
      <c r="W1277">
        <f>IF(orders[[#This Row],[Status]]="Cancelled",1,0)</f>
        <v>0</v>
      </c>
    </row>
    <row r="1278" spans="1:23" x14ac:dyDescent="0.35">
      <c r="A1278" t="s">
        <v>1659</v>
      </c>
      <c r="B1278" s="1">
        <v>45968</v>
      </c>
      <c r="C1278" t="s">
        <v>498</v>
      </c>
      <c r="D1278" t="s">
        <v>51</v>
      </c>
      <c r="E1278" t="s">
        <v>52</v>
      </c>
      <c r="F1278" t="s">
        <v>39</v>
      </c>
      <c r="G1278" t="s">
        <v>114</v>
      </c>
      <c r="H1278" s="7">
        <v>7</v>
      </c>
      <c r="I1278" s="4">
        <v>24431.75</v>
      </c>
      <c r="J1278" s="23">
        <v>0.15</v>
      </c>
      <c r="K1278" s="4">
        <v>20766.990000000002</v>
      </c>
      <c r="L1278" s="4">
        <v>12076.62</v>
      </c>
      <c r="M1278" s="4">
        <v>8690.3700000000008</v>
      </c>
      <c r="N1278" t="s">
        <v>25</v>
      </c>
      <c r="O1278" s="7">
        <v>8</v>
      </c>
      <c r="P1278" s="2">
        <v>45968.333333333336</v>
      </c>
      <c r="Q1278" t="s">
        <v>86</v>
      </c>
      <c r="R1278">
        <v>11</v>
      </c>
      <c r="S1278" t="s">
        <v>35</v>
      </c>
      <c r="T1278">
        <f>IF(orders[[#This Row],[Status]]="Completed",1,0)</f>
        <v>1</v>
      </c>
      <c r="U1278">
        <f>IF(orders[[#This Row],[Status]]="Pending",1,0)</f>
        <v>0</v>
      </c>
      <c r="V1278">
        <f>IF(orders[[#This Row],[Status]]="Delayed",1,0)</f>
        <v>0</v>
      </c>
      <c r="W1278">
        <f>IF(orders[[#This Row],[Status]]="Cancelled",1,0)</f>
        <v>0</v>
      </c>
    </row>
    <row r="1279" spans="1:23" x14ac:dyDescent="0.35">
      <c r="A1279" t="s">
        <v>1660</v>
      </c>
      <c r="B1279" s="1">
        <v>45664</v>
      </c>
      <c r="C1279" t="s">
        <v>399</v>
      </c>
      <c r="D1279" t="s">
        <v>38</v>
      </c>
      <c r="E1279" t="s">
        <v>92</v>
      </c>
      <c r="F1279" t="s">
        <v>32</v>
      </c>
      <c r="G1279" t="s">
        <v>53</v>
      </c>
      <c r="H1279" s="7">
        <v>3</v>
      </c>
      <c r="I1279" s="4">
        <v>19947.39</v>
      </c>
      <c r="J1279" s="23">
        <v>0</v>
      </c>
      <c r="K1279" s="4">
        <v>19947.39</v>
      </c>
      <c r="L1279" s="4">
        <v>15308.15</v>
      </c>
      <c r="M1279" s="4">
        <v>4639.24</v>
      </c>
      <c r="N1279" t="s">
        <v>25</v>
      </c>
      <c r="O1279" s="7">
        <v>29</v>
      </c>
      <c r="P1279" s="2">
        <v>45665.208333333336</v>
      </c>
      <c r="Q1279" t="s">
        <v>65</v>
      </c>
      <c r="R1279">
        <v>1</v>
      </c>
      <c r="S1279" t="s">
        <v>55</v>
      </c>
      <c r="T1279">
        <f>IF(orders[[#This Row],[Status]]="Completed",1,0)</f>
        <v>1</v>
      </c>
      <c r="U1279">
        <f>IF(orders[[#This Row],[Status]]="Pending",1,0)</f>
        <v>0</v>
      </c>
      <c r="V1279">
        <f>IF(orders[[#This Row],[Status]]="Delayed",1,0)</f>
        <v>0</v>
      </c>
      <c r="W1279">
        <f>IF(orders[[#This Row],[Status]]="Cancelled",1,0)</f>
        <v>0</v>
      </c>
    </row>
    <row r="1280" spans="1:23" x14ac:dyDescent="0.35">
      <c r="A1280" t="s">
        <v>1661</v>
      </c>
      <c r="B1280" s="1">
        <v>45987</v>
      </c>
      <c r="C1280" t="s">
        <v>1427</v>
      </c>
      <c r="D1280" t="s">
        <v>58</v>
      </c>
      <c r="E1280" t="s">
        <v>113</v>
      </c>
      <c r="F1280" t="s">
        <v>32</v>
      </c>
      <c r="G1280" t="s">
        <v>79</v>
      </c>
      <c r="H1280" s="7">
        <v>3</v>
      </c>
      <c r="I1280" s="4">
        <v>24027.42</v>
      </c>
      <c r="J1280" s="23">
        <v>0.2</v>
      </c>
      <c r="K1280" s="4">
        <v>19221.939999999999</v>
      </c>
      <c r="L1280" s="4">
        <v>14676.85</v>
      </c>
      <c r="M1280" s="4">
        <v>4545.09</v>
      </c>
      <c r="N1280" t="s">
        <v>98</v>
      </c>
      <c r="O1280" s="7">
        <v>4</v>
      </c>
      <c r="P1280" s="2">
        <v>45987.166666666664</v>
      </c>
      <c r="Q1280" t="s">
        <v>86</v>
      </c>
      <c r="R1280">
        <v>11</v>
      </c>
      <c r="S1280" t="s">
        <v>35</v>
      </c>
      <c r="T1280">
        <f>IF(orders[[#This Row],[Status]]="Completed",1,0)</f>
        <v>0</v>
      </c>
      <c r="U1280">
        <f>IF(orders[[#This Row],[Status]]="Pending",1,0)</f>
        <v>1</v>
      </c>
      <c r="V1280">
        <f>IF(orders[[#This Row],[Status]]="Delayed",1,0)</f>
        <v>0</v>
      </c>
      <c r="W1280">
        <f>IF(orders[[#This Row],[Status]]="Cancelled",1,0)</f>
        <v>0</v>
      </c>
    </row>
    <row r="1281" spans="1:23" x14ac:dyDescent="0.35">
      <c r="A1281" t="s">
        <v>1662</v>
      </c>
      <c r="B1281" s="1">
        <v>45920</v>
      </c>
      <c r="C1281" t="s">
        <v>1080</v>
      </c>
      <c r="D1281" t="s">
        <v>45</v>
      </c>
      <c r="E1281" t="s">
        <v>92</v>
      </c>
      <c r="F1281" t="s">
        <v>32</v>
      </c>
      <c r="G1281" t="s">
        <v>89</v>
      </c>
      <c r="H1281" s="7">
        <v>6</v>
      </c>
      <c r="I1281" s="4">
        <v>44080.2</v>
      </c>
      <c r="J1281" s="23">
        <v>0.1</v>
      </c>
      <c r="K1281" s="4">
        <v>39672.18</v>
      </c>
      <c r="L1281" s="4">
        <v>22252.41</v>
      </c>
      <c r="M1281" s="4">
        <v>17419.77</v>
      </c>
      <c r="N1281" t="s">
        <v>25</v>
      </c>
      <c r="O1281" s="7">
        <v>47</v>
      </c>
      <c r="P1281" s="2">
        <v>45921.958333333336</v>
      </c>
      <c r="Q1281" t="s">
        <v>41</v>
      </c>
      <c r="R1281">
        <v>9</v>
      </c>
      <c r="S1281" t="s">
        <v>42</v>
      </c>
      <c r="T1281">
        <f>IF(orders[[#This Row],[Status]]="Completed",1,0)</f>
        <v>1</v>
      </c>
      <c r="U1281">
        <f>IF(orders[[#This Row],[Status]]="Pending",1,0)</f>
        <v>0</v>
      </c>
      <c r="V1281">
        <f>IF(orders[[#This Row],[Status]]="Delayed",1,0)</f>
        <v>0</v>
      </c>
      <c r="W1281">
        <f>IF(orders[[#This Row],[Status]]="Cancelled",1,0)</f>
        <v>0</v>
      </c>
    </row>
    <row r="1282" spans="1:23" x14ac:dyDescent="0.35">
      <c r="A1282" t="s">
        <v>1663</v>
      </c>
      <c r="B1282" s="1">
        <v>45818</v>
      </c>
      <c r="C1282" t="s">
        <v>304</v>
      </c>
      <c r="D1282" t="s">
        <v>77</v>
      </c>
      <c r="E1282" t="s">
        <v>59</v>
      </c>
      <c r="F1282" t="s">
        <v>72</v>
      </c>
      <c r="G1282" t="s">
        <v>73</v>
      </c>
      <c r="H1282" s="7">
        <v>7</v>
      </c>
      <c r="I1282" s="4">
        <v>34032.39</v>
      </c>
      <c r="J1282" s="23">
        <v>0.2</v>
      </c>
      <c r="K1282" s="4">
        <v>27225.91</v>
      </c>
      <c r="L1282" s="4">
        <v>14984.42</v>
      </c>
      <c r="M1282" s="4">
        <v>12241.49</v>
      </c>
      <c r="N1282" t="s">
        <v>48</v>
      </c>
      <c r="O1282" s="7">
        <v>6</v>
      </c>
      <c r="P1282" s="2">
        <v>45818.25</v>
      </c>
      <c r="Q1282" t="s">
        <v>99</v>
      </c>
      <c r="R1282">
        <v>6</v>
      </c>
      <c r="S1282" t="s">
        <v>27</v>
      </c>
      <c r="T1282">
        <f>IF(orders[[#This Row],[Status]]="Completed",1,0)</f>
        <v>0</v>
      </c>
      <c r="U1282">
        <f>IF(orders[[#This Row],[Status]]="Pending",1,0)</f>
        <v>0</v>
      </c>
      <c r="V1282">
        <f>IF(orders[[#This Row],[Status]]="Delayed",1,0)</f>
        <v>0</v>
      </c>
      <c r="W1282">
        <f>IF(orders[[#This Row],[Status]]="Cancelled",1,0)</f>
        <v>1</v>
      </c>
    </row>
    <row r="1283" spans="1:23" x14ac:dyDescent="0.35">
      <c r="A1283" t="s">
        <v>1664</v>
      </c>
      <c r="B1283" s="1">
        <v>45808</v>
      </c>
      <c r="C1283" t="s">
        <v>173</v>
      </c>
      <c r="D1283" t="s">
        <v>45</v>
      </c>
      <c r="E1283" t="s">
        <v>52</v>
      </c>
      <c r="F1283" t="s">
        <v>72</v>
      </c>
      <c r="G1283" t="s">
        <v>119</v>
      </c>
      <c r="H1283" s="7">
        <v>4</v>
      </c>
      <c r="I1283" s="4">
        <v>14303.76</v>
      </c>
      <c r="J1283" s="23">
        <v>0.05</v>
      </c>
      <c r="K1283" s="4">
        <v>13588.57</v>
      </c>
      <c r="L1283" s="4">
        <v>7827.15</v>
      </c>
      <c r="M1283" s="4">
        <v>5761.42</v>
      </c>
      <c r="N1283" t="s">
        <v>25</v>
      </c>
      <c r="O1283" s="7">
        <v>16</v>
      </c>
      <c r="P1283" s="2">
        <v>45808.666666666664</v>
      </c>
      <c r="Q1283" t="s">
        <v>74</v>
      </c>
      <c r="R1283">
        <v>5</v>
      </c>
      <c r="S1283" t="s">
        <v>27</v>
      </c>
      <c r="T1283">
        <f>IF(orders[[#This Row],[Status]]="Completed",1,0)</f>
        <v>1</v>
      </c>
      <c r="U1283">
        <f>IF(orders[[#This Row],[Status]]="Pending",1,0)</f>
        <v>0</v>
      </c>
      <c r="V1283">
        <f>IF(orders[[#This Row],[Status]]="Delayed",1,0)</f>
        <v>0</v>
      </c>
      <c r="W1283">
        <f>IF(orders[[#This Row],[Status]]="Cancelled",1,0)</f>
        <v>0</v>
      </c>
    </row>
    <row r="1284" spans="1:23" x14ac:dyDescent="0.35">
      <c r="A1284" t="s">
        <v>1665</v>
      </c>
      <c r="B1284" s="1">
        <v>45742</v>
      </c>
      <c r="C1284" t="s">
        <v>774</v>
      </c>
      <c r="D1284" t="s">
        <v>45</v>
      </c>
      <c r="E1284" t="s">
        <v>78</v>
      </c>
      <c r="F1284" t="s">
        <v>83</v>
      </c>
      <c r="G1284" t="s">
        <v>84</v>
      </c>
      <c r="H1284" s="7">
        <v>6</v>
      </c>
      <c r="I1284" s="4">
        <v>17581.14</v>
      </c>
      <c r="J1284" s="23">
        <v>0.05</v>
      </c>
      <c r="K1284" s="4">
        <v>16702.080000000002</v>
      </c>
      <c r="L1284" s="4">
        <v>13391.55</v>
      </c>
      <c r="M1284" s="4">
        <v>3310.53</v>
      </c>
      <c r="N1284" t="s">
        <v>25</v>
      </c>
      <c r="O1284" s="7">
        <v>12</v>
      </c>
      <c r="P1284" s="2">
        <v>45742.5</v>
      </c>
      <c r="Q1284" t="s">
        <v>54</v>
      </c>
      <c r="R1284">
        <v>3</v>
      </c>
      <c r="S1284" t="s">
        <v>55</v>
      </c>
      <c r="T1284">
        <f>IF(orders[[#This Row],[Status]]="Completed",1,0)</f>
        <v>1</v>
      </c>
      <c r="U1284">
        <f>IF(orders[[#This Row],[Status]]="Pending",1,0)</f>
        <v>0</v>
      </c>
      <c r="V1284">
        <f>IF(orders[[#This Row],[Status]]="Delayed",1,0)</f>
        <v>0</v>
      </c>
      <c r="W1284">
        <f>IF(orders[[#This Row],[Status]]="Cancelled",1,0)</f>
        <v>0</v>
      </c>
    </row>
    <row r="1285" spans="1:23" x14ac:dyDescent="0.35">
      <c r="A1285" t="s">
        <v>1666</v>
      </c>
      <c r="B1285" s="1">
        <v>45804</v>
      </c>
      <c r="C1285" t="s">
        <v>341</v>
      </c>
      <c r="D1285" t="s">
        <v>149</v>
      </c>
      <c r="E1285" t="s">
        <v>46</v>
      </c>
      <c r="F1285" t="s">
        <v>83</v>
      </c>
      <c r="G1285" t="s">
        <v>182</v>
      </c>
      <c r="H1285" s="7">
        <v>2</v>
      </c>
      <c r="I1285" s="4">
        <v>2386.7800000000002</v>
      </c>
      <c r="J1285" s="23">
        <v>0.15</v>
      </c>
      <c r="K1285" s="4">
        <v>2028.76</v>
      </c>
      <c r="L1285" s="4">
        <v>1507.19</v>
      </c>
      <c r="M1285" s="4">
        <v>521.57000000000005</v>
      </c>
      <c r="N1285" t="s">
        <v>85</v>
      </c>
      <c r="O1285" s="7">
        <v>88</v>
      </c>
      <c r="P1285" s="2">
        <v>45807.666666666664</v>
      </c>
      <c r="Q1285" t="s">
        <v>74</v>
      </c>
      <c r="R1285">
        <v>5</v>
      </c>
      <c r="S1285" t="s">
        <v>27</v>
      </c>
      <c r="T1285">
        <f>IF(orders[[#This Row],[Status]]="Completed",1,0)</f>
        <v>0</v>
      </c>
      <c r="U1285">
        <f>IF(orders[[#This Row],[Status]]="Pending",1,0)</f>
        <v>0</v>
      </c>
      <c r="V1285">
        <f>IF(orders[[#This Row],[Status]]="Delayed",1,0)</f>
        <v>1</v>
      </c>
      <c r="W1285">
        <f>IF(orders[[#This Row],[Status]]="Cancelled",1,0)</f>
        <v>0</v>
      </c>
    </row>
    <row r="1286" spans="1:23" x14ac:dyDescent="0.35">
      <c r="A1286" t="s">
        <v>1667</v>
      </c>
      <c r="B1286" s="1">
        <v>45769</v>
      </c>
      <c r="C1286" t="s">
        <v>240</v>
      </c>
      <c r="D1286" t="s">
        <v>68</v>
      </c>
      <c r="E1286" t="s">
        <v>52</v>
      </c>
      <c r="F1286" t="s">
        <v>32</v>
      </c>
      <c r="G1286" t="s">
        <v>33</v>
      </c>
      <c r="H1286" s="7">
        <v>6</v>
      </c>
      <c r="I1286" s="4">
        <v>6238.2</v>
      </c>
      <c r="J1286" s="23">
        <v>0</v>
      </c>
      <c r="K1286" s="4">
        <v>6238.2</v>
      </c>
      <c r="L1286" s="4">
        <v>3509.48</v>
      </c>
      <c r="M1286" s="4">
        <v>2728.72</v>
      </c>
      <c r="N1286" t="s">
        <v>25</v>
      </c>
      <c r="O1286" s="7">
        <v>31</v>
      </c>
      <c r="P1286" s="2">
        <v>45770.291666666664</v>
      </c>
      <c r="Q1286" t="s">
        <v>26</v>
      </c>
      <c r="R1286">
        <v>4</v>
      </c>
      <c r="S1286" t="s">
        <v>27</v>
      </c>
      <c r="T1286">
        <f>IF(orders[[#This Row],[Status]]="Completed",1,0)</f>
        <v>1</v>
      </c>
      <c r="U1286">
        <f>IF(orders[[#This Row],[Status]]="Pending",1,0)</f>
        <v>0</v>
      </c>
      <c r="V1286">
        <f>IF(orders[[#This Row],[Status]]="Delayed",1,0)</f>
        <v>0</v>
      </c>
      <c r="W1286">
        <f>IF(orders[[#This Row],[Status]]="Cancelled",1,0)</f>
        <v>0</v>
      </c>
    </row>
    <row r="1287" spans="1:23" x14ac:dyDescent="0.35">
      <c r="A1287" t="s">
        <v>1668</v>
      </c>
      <c r="B1287" s="1">
        <v>45693</v>
      </c>
      <c r="C1287" t="s">
        <v>602</v>
      </c>
      <c r="D1287" t="s">
        <v>68</v>
      </c>
      <c r="E1287" t="s">
        <v>31</v>
      </c>
      <c r="F1287" t="s">
        <v>39</v>
      </c>
      <c r="G1287" t="s">
        <v>47</v>
      </c>
      <c r="H1287" s="7">
        <v>3</v>
      </c>
      <c r="I1287" s="4">
        <v>17693.37</v>
      </c>
      <c r="J1287" s="23">
        <v>0.1</v>
      </c>
      <c r="K1287" s="4">
        <v>15924.03</v>
      </c>
      <c r="L1287" s="4">
        <v>11323.13</v>
      </c>
      <c r="M1287" s="4">
        <v>4600.8999999999996</v>
      </c>
      <c r="N1287" t="s">
        <v>98</v>
      </c>
      <c r="O1287" s="7">
        <v>17</v>
      </c>
      <c r="P1287" s="2">
        <v>45693.708333333336</v>
      </c>
      <c r="Q1287" t="s">
        <v>139</v>
      </c>
      <c r="R1287">
        <v>2</v>
      </c>
      <c r="S1287" t="s">
        <v>55</v>
      </c>
      <c r="T1287">
        <f>IF(orders[[#This Row],[Status]]="Completed",1,0)</f>
        <v>0</v>
      </c>
      <c r="U1287">
        <f>IF(orders[[#This Row],[Status]]="Pending",1,0)</f>
        <v>1</v>
      </c>
      <c r="V1287">
        <f>IF(orders[[#This Row],[Status]]="Delayed",1,0)</f>
        <v>0</v>
      </c>
      <c r="W1287">
        <f>IF(orders[[#This Row],[Status]]="Cancelled",1,0)</f>
        <v>0</v>
      </c>
    </row>
    <row r="1288" spans="1:23" x14ac:dyDescent="0.35">
      <c r="A1288" t="s">
        <v>1669</v>
      </c>
      <c r="B1288" s="1">
        <v>45942</v>
      </c>
      <c r="C1288" t="s">
        <v>194</v>
      </c>
      <c r="D1288" t="s">
        <v>58</v>
      </c>
      <c r="E1288" t="s">
        <v>46</v>
      </c>
      <c r="F1288" t="s">
        <v>83</v>
      </c>
      <c r="G1288" t="s">
        <v>84</v>
      </c>
      <c r="H1288" s="7">
        <v>4</v>
      </c>
      <c r="I1288" s="4">
        <v>9277.1200000000008</v>
      </c>
      <c r="J1288" s="23">
        <v>0.15</v>
      </c>
      <c r="K1288" s="4">
        <v>7885.55</v>
      </c>
      <c r="L1288" s="4">
        <v>6189.92</v>
      </c>
      <c r="M1288" s="4">
        <v>1695.63</v>
      </c>
      <c r="N1288" t="s">
        <v>25</v>
      </c>
      <c r="O1288" s="7">
        <v>40</v>
      </c>
      <c r="P1288" s="2">
        <v>45943.666666666664</v>
      </c>
      <c r="Q1288" t="s">
        <v>116</v>
      </c>
      <c r="R1288">
        <v>10</v>
      </c>
      <c r="S1288" t="s">
        <v>35</v>
      </c>
      <c r="T1288">
        <f>IF(orders[[#This Row],[Status]]="Completed",1,0)</f>
        <v>1</v>
      </c>
      <c r="U1288">
        <f>IF(orders[[#This Row],[Status]]="Pending",1,0)</f>
        <v>0</v>
      </c>
      <c r="V1288">
        <f>IF(orders[[#This Row],[Status]]="Delayed",1,0)</f>
        <v>0</v>
      </c>
      <c r="W1288">
        <f>IF(orders[[#This Row],[Status]]="Cancelled",1,0)</f>
        <v>0</v>
      </c>
    </row>
    <row r="1289" spans="1:23" x14ac:dyDescent="0.35">
      <c r="A1289" t="s">
        <v>1670</v>
      </c>
      <c r="B1289" s="1">
        <v>45845</v>
      </c>
      <c r="C1289" t="s">
        <v>722</v>
      </c>
      <c r="D1289" t="s">
        <v>149</v>
      </c>
      <c r="E1289" t="s">
        <v>46</v>
      </c>
      <c r="F1289" t="s">
        <v>83</v>
      </c>
      <c r="G1289" t="s">
        <v>84</v>
      </c>
      <c r="H1289" s="7">
        <v>2</v>
      </c>
      <c r="I1289" s="4">
        <v>4552.8599999999997</v>
      </c>
      <c r="J1289" s="23">
        <v>0.15</v>
      </c>
      <c r="K1289" s="4">
        <v>3869.93</v>
      </c>
      <c r="L1289" s="4">
        <v>3238.18</v>
      </c>
      <c r="M1289" s="4">
        <v>631.75</v>
      </c>
      <c r="N1289" t="s">
        <v>48</v>
      </c>
      <c r="O1289" s="7">
        <v>2</v>
      </c>
      <c r="P1289" s="2">
        <v>45845.083333333336</v>
      </c>
      <c r="Q1289" t="s">
        <v>60</v>
      </c>
      <c r="R1289">
        <v>7</v>
      </c>
      <c r="S1289" t="s">
        <v>42</v>
      </c>
      <c r="T1289">
        <f>IF(orders[[#This Row],[Status]]="Completed",1,0)</f>
        <v>0</v>
      </c>
      <c r="U1289">
        <f>IF(orders[[#This Row],[Status]]="Pending",1,0)</f>
        <v>0</v>
      </c>
      <c r="V1289">
        <f>IF(orders[[#This Row],[Status]]="Delayed",1,0)</f>
        <v>0</v>
      </c>
      <c r="W1289">
        <f>IF(orders[[#This Row],[Status]]="Cancelled",1,0)</f>
        <v>1</v>
      </c>
    </row>
    <row r="1290" spans="1:23" x14ac:dyDescent="0.35">
      <c r="A1290" t="s">
        <v>1671</v>
      </c>
      <c r="B1290" s="1">
        <v>45739</v>
      </c>
      <c r="C1290" t="s">
        <v>205</v>
      </c>
      <c r="D1290" t="s">
        <v>45</v>
      </c>
      <c r="E1290" t="s">
        <v>31</v>
      </c>
      <c r="F1290" t="s">
        <v>72</v>
      </c>
      <c r="G1290" t="s">
        <v>129</v>
      </c>
      <c r="H1290" s="7">
        <v>3</v>
      </c>
      <c r="I1290" s="4">
        <v>25454.79</v>
      </c>
      <c r="J1290" s="23">
        <v>0.25</v>
      </c>
      <c r="K1290" s="4">
        <v>19091.09</v>
      </c>
      <c r="L1290" s="4">
        <v>16384.59</v>
      </c>
      <c r="M1290" s="4">
        <v>2706.5</v>
      </c>
      <c r="N1290" t="s">
        <v>25</v>
      </c>
      <c r="O1290" s="7">
        <v>47</v>
      </c>
      <c r="P1290" s="2">
        <v>45740.958333333336</v>
      </c>
      <c r="Q1290" t="s">
        <v>54</v>
      </c>
      <c r="R1290">
        <v>3</v>
      </c>
      <c r="S1290" t="s">
        <v>55</v>
      </c>
      <c r="T1290">
        <f>IF(orders[[#This Row],[Status]]="Completed",1,0)</f>
        <v>1</v>
      </c>
      <c r="U1290">
        <f>IF(orders[[#This Row],[Status]]="Pending",1,0)</f>
        <v>0</v>
      </c>
      <c r="V1290">
        <f>IF(orders[[#This Row],[Status]]="Delayed",1,0)</f>
        <v>0</v>
      </c>
      <c r="W1290">
        <f>IF(orders[[#This Row],[Status]]="Cancelled",1,0)</f>
        <v>0</v>
      </c>
    </row>
    <row r="1291" spans="1:23" x14ac:dyDescent="0.35">
      <c r="A1291" t="s">
        <v>1672</v>
      </c>
      <c r="B1291" s="1">
        <v>45659</v>
      </c>
      <c r="C1291" t="s">
        <v>986</v>
      </c>
      <c r="D1291" t="s">
        <v>63</v>
      </c>
      <c r="E1291" t="s">
        <v>59</v>
      </c>
      <c r="F1291" t="s">
        <v>39</v>
      </c>
      <c r="G1291" t="s">
        <v>47</v>
      </c>
      <c r="H1291" s="7">
        <v>7</v>
      </c>
      <c r="I1291" s="4">
        <v>12034.26</v>
      </c>
      <c r="J1291" s="23">
        <v>0.1</v>
      </c>
      <c r="K1291" s="4">
        <v>10830.83</v>
      </c>
      <c r="L1291" s="4">
        <v>7127.29</v>
      </c>
      <c r="M1291" s="4">
        <v>3703.54</v>
      </c>
      <c r="N1291" t="s">
        <v>25</v>
      </c>
      <c r="O1291" s="7">
        <v>36</v>
      </c>
      <c r="P1291" s="2">
        <v>45660.5</v>
      </c>
      <c r="Q1291" t="s">
        <v>65</v>
      </c>
      <c r="R1291">
        <v>1</v>
      </c>
      <c r="S1291" t="s">
        <v>55</v>
      </c>
      <c r="T1291">
        <f>IF(orders[[#This Row],[Status]]="Completed",1,0)</f>
        <v>1</v>
      </c>
      <c r="U1291">
        <f>IF(orders[[#This Row],[Status]]="Pending",1,0)</f>
        <v>0</v>
      </c>
      <c r="V1291">
        <f>IF(orders[[#This Row],[Status]]="Delayed",1,0)</f>
        <v>0</v>
      </c>
      <c r="W1291">
        <f>IF(orders[[#This Row],[Status]]="Cancelled",1,0)</f>
        <v>0</v>
      </c>
    </row>
    <row r="1292" spans="1:23" x14ac:dyDescent="0.35">
      <c r="A1292" t="s">
        <v>1673</v>
      </c>
      <c r="B1292" s="1">
        <v>45960</v>
      </c>
      <c r="C1292" t="s">
        <v>97</v>
      </c>
      <c r="D1292" t="s">
        <v>68</v>
      </c>
      <c r="E1292" t="s">
        <v>52</v>
      </c>
      <c r="F1292" t="s">
        <v>32</v>
      </c>
      <c r="G1292" t="s">
        <v>33</v>
      </c>
      <c r="H1292" s="7">
        <v>1</v>
      </c>
      <c r="I1292" s="4">
        <v>1386.3</v>
      </c>
      <c r="J1292" s="23">
        <v>0.05</v>
      </c>
      <c r="K1292" s="4">
        <v>1316.98</v>
      </c>
      <c r="L1292" s="4">
        <v>783.37</v>
      </c>
      <c r="M1292" s="4">
        <v>533.61</v>
      </c>
      <c r="N1292" t="s">
        <v>25</v>
      </c>
      <c r="O1292" s="7">
        <v>23</v>
      </c>
      <c r="P1292" s="2">
        <v>45960.958333333336</v>
      </c>
      <c r="Q1292" t="s">
        <v>116</v>
      </c>
      <c r="R1292">
        <v>10</v>
      </c>
      <c r="S1292" t="s">
        <v>35</v>
      </c>
      <c r="T1292">
        <f>IF(orders[[#This Row],[Status]]="Completed",1,0)</f>
        <v>1</v>
      </c>
      <c r="U1292">
        <f>IF(orders[[#This Row],[Status]]="Pending",1,0)</f>
        <v>0</v>
      </c>
      <c r="V1292">
        <f>IF(orders[[#This Row],[Status]]="Delayed",1,0)</f>
        <v>0</v>
      </c>
      <c r="W1292">
        <f>IF(orders[[#This Row],[Status]]="Cancelled",1,0)</f>
        <v>0</v>
      </c>
    </row>
    <row r="1293" spans="1:23" x14ac:dyDescent="0.35">
      <c r="A1293" t="s">
        <v>1674</v>
      </c>
      <c r="B1293" s="1">
        <v>45854</v>
      </c>
      <c r="C1293" t="s">
        <v>536</v>
      </c>
      <c r="D1293" t="s">
        <v>77</v>
      </c>
      <c r="E1293" t="s">
        <v>46</v>
      </c>
      <c r="F1293" t="s">
        <v>83</v>
      </c>
      <c r="G1293" t="s">
        <v>84</v>
      </c>
      <c r="H1293" s="7">
        <v>5</v>
      </c>
      <c r="I1293" s="4">
        <v>4870.1000000000004</v>
      </c>
      <c r="J1293" s="23">
        <v>0</v>
      </c>
      <c r="K1293" s="4">
        <v>4870.1000000000004</v>
      </c>
      <c r="L1293" s="4">
        <v>3059.33</v>
      </c>
      <c r="M1293" s="4">
        <v>1810.77</v>
      </c>
      <c r="N1293" t="s">
        <v>25</v>
      </c>
      <c r="O1293" s="7">
        <v>33</v>
      </c>
      <c r="P1293" s="2">
        <v>45855.375</v>
      </c>
      <c r="Q1293" t="s">
        <v>60</v>
      </c>
      <c r="R1293">
        <v>7</v>
      </c>
      <c r="S1293" t="s">
        <v>42</v>
      </c>
      <c r="T1293">
        <f>IF(orders[[#This Row],[Status]]="Completed",1,0)</f>
        <v>1</v>
      </c>
      <c r="U1293">
        <f>IF(orders[[#This Row],[Status]]="Pending",1,0)</f>
        <v>0</v>
      </c>
      <c r="V1293">
        <f>IF(orders[[#This Row],[Status]]="Delayed",1,0)</f>
        <v>0</v>
      </c>
      <c r="W1293">
        <f>IF(orders[[#This Row],[Status]]="Cancelled",1,0)</f>
        <v>0</v>
      </c>
    </row>
    <row r="1294" spans="1:23" x14ac:dyDescent="0.35">
      <c r="A1294" t="s">
        <v>1675</v>
      </c>
      <c r="B1294" s="1">
        <v>45668</v>
      </c>
      <c r="C1294" t="s">
        <v>214</v>
      </c>
      <c r="D1294" t="s">
        <v>77</v>
      </c>
      <c r="E1294" t="s">
        <v>52</v>
      </c>
      <c r="F1294" t="s">
        <v>39</v>
      </c>
      <c r="G1294" t="s">
        <v>40</v>
      </c>
      <c r="H1294" s="7">
        <v>2</v>
      </c>
      <c r="I1294" s="4">
        <v>9982.74</v>
      </c>
      <c r="J1294" s="23">
        <v>0.1</v>
      </c>
      <c r="K1294" s="4">
        <v>8984.4699999999993</v>
      </c>
      <c r="L1294" s="4">
        <v>7242.71</v>
      </c>
      <c r="M1294" s="4">
        <v>1741.76</v>
      </c>
      <c r="N1294" t="s">
        <v>98</v>
      </c>
      <c r="O1294" s="7">
        <v>12</v>
      </c>
      <c r="P1294" s="2">
        <v>45668.5</v>
      </c>
      <c r="Q1294" t="s">
        <v>65</v>
      </c>
      <c r="R1294">
        <v>1</v>
      </c>
      <c r="S1294" t="s">
        <v>55</v>
      </c>
      <c r="T1294">
        <f>IF(orders[[#This Row],[Status]]="Completed",1,0)</f>
        <v>0</v>
      </c>
      <c r="U1294">
        <f>IF(orders[[#This Row],[Status]]="Pending",1,0)</f>
        <v>1</v>
      </c>
      <c r="V1294">
        <f>IF(orders[[#This Row],[Status]]="Delayed",1,0)</f>
        <v>0</v>
      </c>
      <c r="W1294">
        <f>IF(orders[[#This Row],[Status]]="Cancelled",1,0)</f>
        <v>0</v>
      </c>
    </row>
    <row r="1295" spans="1:23" x14ac:dyDescent="0.35">
      <c r="A1295" t="s">
        <v>1676</v>
      </c>
      <c r="B1295" s="1">
        <v>45891</v>
      </c>
      <c r="C1295" t="s">
        <v>448</v>
      </c>
      <c r="D1295" t="s">
        <v>51</v>
      </c>
      <c r="E1295" t="s">
        <v>46</v>
      </c>
      <c r="F1295" t="s">
        <v>39</v>
      </c>
      <c r="G1295" t="s">
        <v>188</v>
      </c>
      <c r="H1295" s="7">
        <v>4</v>
      </c>
      <c r="I1295" s="4">
        <v>21570.639999999999</v>
      </c>
      <c r="J1295" s="23">
        <v>0.1</v>
      </c>
      <c r="K1295" s="4">
        <v>19413.580000000002</v>
      </c>
      <c r="L1295" s="4">
        <v>16901.259999999998</v>
      </c>
      <c r="M1295" s="4">
        <v>2512.3200000000002</v>
      </c>
      <c r="N1295" t="s">
        <v>25</v>
      </c>
      <c r="O1295" s="7">
        <v>12</v>
      </c>
      <c r="P1295" s="2">
        <v>45891.5</v>
      </c>
      <c r="Q1295" t="s">
        <v>80</v>
      </c>
      <c r="R1295">
        <v>8</v>
      </c>
      <c r="S1295" t="s">
        <v>42</v>
      </c>
      <c r="T1295">
        <f>IF(orders[[#This Row],[Status]]="Completed",1,0)</f>
        <v>1</v>
      </c>
      <c r="U1295">
        <f>IF(orders[[#This Row],[Status]]="Pending",1,0)</f>
        <v>0</v>
      </c>
      <c r="V1295">
        <f>IF(orders[[#This Row],[Status]]="Delayed",1,0)</f>
        <v>0</v>
      </c>
      <c r="W1295">
        <f>IF(orders[[#This Row],[Status]]="Cancelled",1,0)</f>
        <v>0</v>
      </c>
    </row>
    <row r="1296" spans="1:23" x14ac:dyDescent="0.35">
      <c r="A1296" t="s">
        <v>1677</v>
      </c>
      <c r="B1296" s="1">
        <v>45852</v>
      </c>
      <c r="C1296" t="s">
        <v>988</v>
      </c>
      <c r="D1296" t="s">
        <v>21</v>
      </c>
      <c r="E1296" t="s">
        <v>31</v>
      </c>
      <c r="F1296" t="s">
        <v>32</v>
      </c>
      <c r="G1296" t="s">
        <v>64</v>
      </c>
      <c r="H1296" s="7">
        <v>6</v>
      </c>
      <c r="I1296" s="4">
        <v>19197.900000000001</v>
      </c>
      <c r="J1296" s="23">
        <v>0.05</v>
      </c>
      <c r="K1296" s="4">
        <v>18238</v>
      </c>
      <c r="L1296" s="4">
        <v>12837.91</v>
      </c>
      <c r="M1296" s="4">
        <v>5400.09</v>
      </c>
      <c r="N1296" t="s">
        <v>25</v>
      </c>
      <c r="O1296" s="7">
        <v>48</v>
      </c>
      <c r="P1296" s="2">
        <v>45854</v>
      </c>
      <c r="Q1296" t="s">
        <v>60</v>
      </c>
      <c r="R1296">
        <v>7</v>
      </c>
      <c r="S1296" t="s">
        <v>42</v>
      </c>
      <c r="T1296">
        <f>IF(orders[[#This Row],[Status]]="Completed",1,0)</f>
        <v>1</v>
      </c>
      <c r="U1296">
        <f>IF(orders[[#This Row],[Status]]="Pending",1,0)</f>
        <v>0</v>
      </c>
      <c r="V1296">
        <f>IF(orders[[#This Row],[Status]]="Delayed",1,0)</f>
        <v>0</v>
      </c>
      <c r="W1296">
        <f>IF(orders[[#This Row],[Status]]="Cancelled",1,0)</f>
        <v>0</v>
      </c>
    </row>
    <row r="1297" spans="1:23" x14ac:dyDescent="0.35">
      <c r="A1297" t="s">
        <v>1678</v>
      </c>
      <c r="B1297" s="1">
        <v>45776</v>
      </c>
      <c r="C1297" t="s">
        <v>544</v>
      </c>
      <c r="D1297" t="s">
        <v>63</v>
      </c>
      <c r="E1297" t="s">
        <v>31</v>
      </c>
      <c r="F1297" t="s">
        <v>39</v>
      </c>
      <c r="G1297" t="s">
        <v>114</v>
      </c>
      <c r="H1297" s="7">
        <v>7</v>
      </c>
      <c r="I1297" s="4">
        <v>32344.9</v>
      </c>
      <c r="J1297" s="23">
        <v>0</v>
      </c>
      <c r="K1297" s="4">
        <v>32344.9</v>
      </c>
      <c r="L1297" s="4">
        <v>21048.98</v>
      </c>
      <c r="M1297" s="4">
        <v>11295.92</v>
      </c>
      <c r="N1297" t="s">
        <v>48</v>
      </c>
      <c r="O1297" s="7">
        <v>19</v>
      </c>
      <c r="P1297" s="2">
        <v>45776.791666666664</v>
      </c>
      <c r="Q1297" t="s">
        <v>26</v>
      </c>
      <c r="R1297">
        <v>4</v>
      </c>
      <c r="S1297" t="s">
        <v>27</v>
      </c>
      <c r="T1297">
        <f>IF(orders[[#This Row],[Status]]="Completed",1,0)</f>
        <v>0</v>
      </c>
      <c r="U1297">
        <f>IF(orders[[#This Row],[Status]]="Pending",1,0)</f>
        <v>0</v>
      </c>
      <c r="V1297">
        <f>IF(orders[[#This Row],[Status]]="Delayed",1,0)</f>
        <v>0</v>
      </c>
      <c r="W1297">
        <f>IF(orders[[#This Row],[Status]]="Cancelled",1,0)</f>
        <v>1</v>
      </c>
    </row>
    <row r="1298" spans="1:23" x14ac:dyDescent="0.35">
      <c r="A1298" t="s">
        <v>1679</v>
      </c>
      <c r="B1298" s="1">
        <v>45677</v>
      </c>
      <c r="C1298" t="s">
        <v>1296</v>
      </c>
      <c r="D1298" t="s">
        <v>68</v>
      </c>
      <c r="E1298" t="s">
        <v>92</v>
      </c>
      <c r="F1298" t="s">
        <v>39</v>
      </c>
      <c r="G1298" t="s">
        <v>188</v>
      </c>
      <c r="H1298" s="7">
        <v>6</v>
      </c>
      <c r="I1298" s="4">
        <v>40398.839999999997</v>
      </c>
      <c r="J1298" s="23">
        <v>0.1</v>
      </c>
      <c r="K1298" s="4">
        <v>36358.959999999999</v>
      </c>
      <c r="L1298" s="4">
        <v>25147.05</v>
      </c>
      <c r="M1298" s="4">
        <v>11211.91</v>
      </c>
      <c r="N1298" t="s">
        <v>25</v>
      </c>
      <c r="O1298" s="7">
        <v>39</v>
      </c>
      <c r="P1298" s="2">
        <v>45678.625</v>
      </c>
      <c r="Q1298" t="s">
        <v>65</v>
      </c>
      <c r="R1298">
        <v>1</v>
      </c>
      <c r="S1298" t="s">
        <v>55</v>
      </c>
      <c r="T1298">
        <f>IF(orders[[#This Row],[Status]]="Completed",1,0)</f>
        <v>1</v>
      </c>
      <c r="U1298">
        <f>IF(orders[[#This Row],[Status]]="Pending",1,0)</f>
        <v>0</v>
      </c>
      <c r="V1298">
        <f>IF(orders[[#This Row],[Status]]="Delayed",1,0)</f>
        <v>0</v>
      </c>
      <c r="W1298">
        <f>IF(orders[[#This Row],[Status]]="Cancelled",1,0)</f>
        <v>0</v>
      </c>
    </row>
    <row r="1299" spans="1:23" x14ac:dyDescent="0.35">
      <c r="A1299" t="s">
        <v>1680</v>
      </c>
      <c r="B1299" s="1">
        <v>45918</v>
      </c>
      <c r="C1299" t="s">
        <v>388</v>
      </c>
      <c r="D1299" t="s">
        <v>30</v>
      </c>
      <c r="E1299" t="s">
        <v>22</v>
      </c>
      <c r="F1299" t="s">
        <v>39</v>
      </c>
      <c r="G1299" t="s">
        <v>114</v>
      </c>
      <c r="H1299" s="7">
        <v>2</v>
      </c>
      <c r="I1299" s="4">
        <v>13962.34</v>
      </c>
      <c r="J1299" s="23">
        <v>0.15</v>
      </c>
      <c r="K1299" s="4">
        <v>11867.99</v>
      </c>
      <c r="L1299" s="4">
        <v>7721.18</v>
      </c>
      <c r="M1299" s="4">
        <v>4146.8100000000004</v>
      </c>
      <c r="N1299" t="s">
        <v>98</v>
      </c>
      <c r="O1299" s="7">
        <v>16</v>
      </c>
      <c r="P1299" s="2">
        <v>45918.666666666664</v>
      </c>
      <c r="Q1299" t="s">
        <v>41</v>
      </c>
      <c r="R1299">
        <v>9</v>
      </c>
      <c r="S1299" t="s">
        <v>42</v>
      </c>
      <c r="T1299">
        <f>IF(orders[[#This Row],[Status]]="Completed",1,0)</f>
        <v>0</v>
      </c>
      <c r="U1299">
        <f>IF(orders[[#This Row],[Status]]="Pending",1,0)</f>
        <v>1</v>
      </c>
      <c r="V1299">
        <f>IF(orders[[#This Row],[Status]]="Delayed",1,0)</f>
        <v>0</v>
      </c>
      <c r="W1299">
        <f>IF(orders[[#This Row],[Status]]="Cancelled",1,0)</f>
        <v>0</v>
      </c>
    </row>
    <row r="1300" spans="1:23" x14ac:dyDescent="0.35">
      <c r="A1300" t="s">
        <v>1681</v>
      </c>
      <c r="B1300" s="1">
        <v>45950</v>
      </c>
      <c r="C1300" t="s">
        <v>351</v>
      </c>
      <c r="D1300" t="s">
        <v>68</v>
      </c>
      <c r="E1300" t="s">
        <v>52</v>
      </c>
      <c r="F1300" t="s">
        <v>83</v>
      </c>
      <c r="G1300" t="s">
        <v>107</v>
      </c>
      <c r="H1300" s="7">
        <v>7</v>
      </c>
      <c r="I1300" s="4">
        <v>57039.99</v>
      </c>
      <c r="J1300" s="23">
        <v>0.25</v>
      </c>
      <c r="K1300" s="4">
        <v>42779.99</v>
      </c>
      <c r="L1300" s="4">
        <v>27149.93</v>
      </c>
      <c r="M1300" s="4">
        <v>15630.06</v>
      </c>
      <c r="N1300" t="s">
        <v>98</v>
      </c>
      <c r="O1300" s="7">
        <v>1</v>
      </c>
      <c r="P1300" s="2">
        <v>45950.041666666664</v>
      </c>
      <c r="Q1300" t="s">
        <v>116</v>
      </c>
      <c r="R1300">
        <v>10</v>
      </c>
      <c r="S1300" t="s">
        <v>35</v>
      </c>
      <c r="T1300">
        <f>IF(orders[[#This Row],[Status]]="Completed",1,0)</f>
        <v>0</v>
      </c>
      <c r="U1300">
        <f>IF(orders[[#This Row],[Status]]="Pending",1,0)</f>
        <v>1</v>
      </c>
      <c r="V1300">
        <f>IF(orders[[#This Row],[Status]]="Delayed",1,0)</f>
        <v>0</v>
      </c>
      <c r="W1300">
        <f>IF(orders[[#This Row],[Status]]="Cancelled",1,0)</f>
        <v>0</v>
      </c>
    </row>
    <row r="1301" spans="1:23" x14ac:dyDescent="0.35">
      <c r="A1301" t="s">
        <v>1682</v>
      </c>
      <c r="B1301" s="1">
        <v>45913</v>
      </c>
      <c r="C1301" t="s">
        <v>203</v>
      </c>
      <c r="D1301" t="s">
        <v>51</v>
      </c>
      <c r="E1301" t="s">
        <v>52</v>
      </c>
      <c r="F1301" t="s">
        <v>32</v>
      </c>
      <c r="G1301" t="s">
        <v>64</v>
      </c>
      <c r="H1301" s="7">
        <v>4</v>
      </c>
      <c r="I1301" s="4">
        <v>28130.560000000001</v>
      </c>
      <c r="J1301" s="23">
        <v>0.15</v>
      </c>
      <c r="K1301" s="4">
        <v>23910.98</v>
      </c>
      <c r="L1301" s="4">
        <v>17836.099999999999</v>
      </c>
      <c r="M1301" s="4">
        <v>6074.88</v>
      </c>
      <c r="N1301" t="s">
        <v>48</v>
      </c>
      <c r="O1301" s="7">
        <v>2</v>
      </c>
      <c r="P1301" s="2">
        <v>45913.083333333336</v>
      </c>
      <c r="Q1301" t="s">
        <v>41</v>
      </c>
      <c r="R1301">
        <v>9</v>
      </c>
      <c r="S1301" t="s">
        <v>42</v>
      </c>
      <c r="T1301">
        <f>IF(orders[[#This Row],[Status]]="Completed",1,0)</f>
        <v>0</v>
      </c>
      <c r="U1301">
        <f>IF(orders[[#This Row],[Status]]="Pending",1,0)</f>
        <v>0</v>
      </c>
      <c r="V1301">
        <f>IF(orders[[#This Row],[Status]]="Delayed",1,0)</f>
        <v>0</v>
      </c>
      <c r="W1301">
        <f>IF(orders[[#This Row],[Status]]="Cancelled",1,0)</f>
        <v>1</v>
      </c>
    </row>
    <row r="1302" spans="1:23" x14ac:dyDescent="0.35">
      <c r="A1302" t="s">
        <v>1683</v>
      </c>
      <c r="B1302" s="1">
        <v>45879</v>
      </c>
      <c r="C1302" t="s">
        <v>402</v>
      </c>
      <c r="D1302" t="s">
        <v>77</v>
      </c>
      <c r="E1302" t="s">
        <v>46</v>
      </c>
      <c r="F1302" t="s">
        <v>39</v>
      </c>
      <c r="G1302" t="s">
        <v>114</v>
      </c>
      <c r="H1302" s="7">
        <v>2</v>
      </c>
      <c r="I1302" s="4">
        <v>9732.86</v>
      </c>
      <c r="J1302" s="23">
        <v>0.15</v>
      </c>
      <c r="K1302" s="4">
        <v>8272.93</v>
      </c>
      <c r="L1302" s="4">
        <v>4593.07</v>
      </c>
      <c r="M1302" s="4">
        <v>3679.86</v>
      </c>
      <c r="N1302" t="s">
        <v>25</v>
      </c>
      <c r="O1302" s="7">
        <v>6</v>
      </c>
      <c r="P1302" s="2">
        <v>45879.25</v>
      </c>
      <c r="Q1302" t="s">
        <v>80</v>
      </c>
      <c r="R1302">
        <v>8</v>
      </c>
      <c r="S1302" t="s">
        <v>42</v>
      </c>
      <c r="T1302">
        <f>IF(orders[[#This Row],[Status]]="Completed",1,0)</f>
        <v>1</v>
      </c>
      <c r="U1302">
        <f>IF(orders[[#This Row],[Status]]="Pending",1,0)</f>
        <v>0</v>
      </c>
      <c r="V1302">
        <f>IF(orders[[#This Row],[Status]]="Delayed",1,0)</f>
        <v>0</v>
      </c>
      <c r="W1302">
        <f>IF(orders[[#This Row],[Status]]="Cancelled",1,0)</f>
        <v>0</v>
      </c>
    </row>
    <row r="1303" spans="1:23" x14ac:dyDescent="0.35">
      <c r="A1303" t="s">
        <v>1684</v>
      </c>
      <c r="B1303" s="1">
        <v>45883</v>
      </c>
      <c r="C1303" t="s">
        <v>684</v>
      </c>
      <c r="D1303" t="s">
        <v>45</v>
      </c>
      <c r="E1303" t="s">
        <v>92</v>
      </c>
      <c r="F1303" t="s">
        <v>39</v>
      </c>
      <c r="G1303" t="s">
        <v>188</v>
      </c>
      <c r="H1303" s="7">
        <v>4</v>
      </c>
      <c r="I1303" s="4">
        <v>6600.56</v>
      </c>
      <c r="J1303" s="23">
        <v>0.1</v>
      </c>
      <c r="K1303" s="4">
        <v>5940.5</v>
      </c>
      <c r="L1303" s="4">
        <v>3776.09</v>
      </c>
      <c r="M1303" s="4">
        <v>2164.41</v>
      </c>
      <c r="N1303" t="s">
        <v>98</v>
      </c>
      <c r="O1303" s="7">
        <v>5</v>
      </c>
      <c r="P1303" s="2">
        <v>45883.208333333336</v>
      </c>
      <c r="Q1303" t="s">
        <v>80</v>
      </c>
      <c r="R1303">
        <v>8</v>
      </c>
      <c r="S1303" t="s">
        <v>42</v>
      </c>
      <c r="T1303">
        <f>IF(orders[[#This Row],[Status]]="Completed",1,0)</f>
        <v>0</v>
      </c>
      <c r="U1303">
        <f>IF(orders[[#This Row],[Status]]="Pending",1,0)</f>
        <v>1</v>
      </c>
      <c r="V1303">
        <f>IF(orders[[#This Row],[Status]]="Delayed",1,0)</f>
        <v>0</v>
      </c>
      <c r="W1303">
        <f>IF(orders[[#This Row],[Status]]="Cancelled",1,0)</f>
        <v>0</v>
      </c>
    </row>
    <row r="1304" spans="1:23" x14ac:dyDescent="0.35">
      <c r="A1304" t="s">
        <v>1685</v>
      </c>
      <c r="B1304" s="1">
        <v>45710</v>
      </c>
      <c r="C1304" t="s">
        <v>551</v>
      </c>
      <c r="D1304" t="s">
        <v>30</v>
      </c>
      <c r="E1304" t="s">
        <v>78</v>
      </c>
      <c r="F1304" t="s">
        <v>83</v>
      </c>
      <c r="G1304" t="s">
        <v>152</v>
      </c>
      <c r="H1304" s="7">
        <v>6</v>
      </c>
      <c r="I1304" s="4">
        <v>5898.18</v>
      </c>
      <c r="J1304" s="23">
        <v>0.25</v>
      </c>
      <c r="K1304" s="4">
        <v>4423.6400000000003</v>
      </c>
      <c r="L1304" s="4">
        <v>3398.49</v>
      </c>
      <c r="M1304" s="4">
        <v>1025.1500000000001</v>
      </c>
      <c r="N1304" t="s">
        <v>98</v>
      </c>
      <c r="O1304" s="7">
        <v>9</v>
      </c>
      <c r="P1304" s="2">
        <v>45710.375</v>
      </c>
      <c r="Q1304" t="s">
        <v>139</v>
      </c>
      <c r="R1304">
        <v>2</v>
      </c>
      <c r="S1304" t="s">
        <v>55</v>
      </c>
      <c r="T1304">
        <f>IF(orders[[#This Row],[Status]]="Completed",1,0)</f>
        <v>0</v>
      </c>
      <c r="U1304">
        <f>IF(orders[[#This Row],[Status]]="Pending",1,0)</f>
        <v>1</v>
      </c>
      <c r="V1304">
        <f>IF(orders[[#This Row],[Status]]="Delayed",1,0)</f>
        <v>0</v>
      </c>
      <c r="W1304">
        <f>IF(orders[[#This Row],[Status]]="Cancelled",1,0)</f>
        <v>0</v>
      </c>
    </row>
    <row r="1305" spans="1:23" x14ac:dyDescent="0.35">
      <c r="A1305" t="s">
        <v>1686</v>
      </c>
      <c r="B1305" s="1">
        <v>46012</v>
      </c>
      <c r="C1305" t="s">
        <v>530</v>
      </c>
      <c r="D1305" t="s">
        <v>149</v>
      </c>
      <c r="E1305" t="s">
        <v>52</v>
      </c>
      <c r="F1305" t="s">
        <v>32</v>
      </c>
      <c r="G1305" t="s">
        <v>64</v>
      </c>
      <c r="H1305" s="7">
        <v>3</v>
      </c>
      <c r="I1305" s="4">
        <v>1815.51</v>
      </c>
      <c r="J1305" s="23">
        <v>0.1</v>
      </c>
      <c r="K1305" s="4">
        <v>1633.96</v>
      </c>
      <c r="L1305" s="4">
        <v>915.97</v>
      </c>
      <c r="M1305" s="4">
        <v>717.99</v>
      </c>
      <c r="N1305" t="s">
        <v>25</v>
      </c>
      <c r="O1305" s="7">
        <v>35</v>
      </c>
      <c r="P1305" s="2">
        <v>46013.458333333336</v>
      </c>
      <c r="Q1305" t="s">
        <v>34</v>
      </c>
      <c r="R1305">
        <v>12</v>
      </c>
      <c r="S1305" t="s">
        <v>35</v>
      </c>
      <c r="T1305">
        <f>IF(orders[[#This Row],[Status]]="Completed",1,0)</f>
        <v>1</v>
      </c>
      <c r="U1305">
        <f>IF(orders[[#This Row],[Status]]="Pending",1,0)</f>
        <v>0</v>
      </c>
      <c r="V1305">
        <f>IF(orders[[#This Row],[Status]]="Delayed",1,0)</f>
        <v>0</v>
      </c>
      <c r="W1305">
        <f>IF(orders[[#This Row],[Status]]="Cancelled",1,0)</f>
        <v>0</v>
      </c>
    </row>
    <row r="1306" spans="1:23" x14ac:dyDescent="0.35">
      <c r="A1306" t="s">
        <v>1687</v>
      </c>
      <c r="B1306" s="1">
        <v>45999</v>
      </c>
      <c r="C1306" t="s">
        <v>242</v>
      </c>
      <c r="D1306" t="s">
        <v>38</v>
      </c>
      <c r="E1306" t="s">
        <v>46</v>
      </c>
      <c r="F1306" t="s">
        <v>72</v>
      </c>
      <c r="G1306" t="s">
        <v>73</v>
      </c>
      <c r="H1306" s="7">
        <v>7</v>
      </c>
      <c r="I1306" s="4">
        <v>40008.43</v>
      </c>
      <c r="J1306" s="23">
        <v>0.2</v>
      </c>
      <c r="K1306" s="4">
        <v>32006.74</v>
      </c>
      <c r="L1306" s="4">
        <v>18482.5</v>
      </c>
      <c r="M1306" s="4">
        <v>13524.24</v>
      </c>
      <c r="N1306" t="s">
        <v>48</v>
      </c>
      <c r="O1306" s="7">
        <v>21</v>
      </c>
      <c r="P1306" s="2">
        <v>45999.875</v>
      </c>
      <c r="Q1306" t="s">
        <v>34</v>
      </c>
      <c r="R1306">
        <v>12</v>
      </c>
      <c r="S1306" t="s">
        <v>35</v>
      </c>
      <c r="T1306">
        <f>IF(orders[[#This Row],[Status]]="Completed",1,0)</f>
        <v>0</v>
      </c>
      <c r="U1306">
        <f>IF(orders[[#This Row],[Status]]="Pending",1,0)</f>
        <v>0</v>
      </c>
      <c r="V1306">
        <f>IF(orders[[#This Row],[Status]]="Delayed",1,0)</f>
        <v>0</v>
      </c>
      <c r="W1306">
        <f>IF(orders[[#This Row],[Status]]="Cancelled",1,0)</f>
        <v>1</v>
      </c>
    </row>
    <row r="1307" spans="1:23" x14ac:dyDescent="0.35">
      <c r="A1307" t="s">
        <v>1688</v>
      </c>
      <c r="B1307" s="1">
        <v>46021</v>
      </c>
      <c r="C1307" t="s">
        <v>233</v>
      </c>
      <c r="D1307" t="s">
        <v>45</v>
      </c>
      <c r="E1307" t="s">
        <v>59</v>
      </c>
      <c r="F1307" t="s">
        <v>83</v>
      </c>
      <c r="G1307" t="s">
        <v>152</v>
      </c>
      <c r="H1307" s="7">
        <v>1</v>
      </c>
      <c r="I1307" s="4">
        <v>6892.93</v>
      </c>
      <c r="J1307" s="23">
        <v>0.2</v>
      </c>
      <c r="K1307" s="4">
        <v>5514.34</v>
      </c>
      <c r="L1307" s="4">
        <v>3566.79</v>
      </c>
      <c r="M1307" s="4">
        <v>1947.55</v>
      </c>
      <c r="N1307" t="s">
        <v>98</v>
      </c>
      <c r="O1307" s="7">
        <v>17</v>
      </c>
      <c r="P1307" s="2">
        <v>46021.708333333336</v>
      </c>
      <c r="Q1307" t="s">
        <v>34</v>
      </c>
      <c r="R1307">
        <v>12</v>
      </c>
      <c r="S1307" t="s">
        <v>35</v>
      </c>
      <c r="T1307">
        <f>IF(orders[[#This Row],[Status]]="Completed",1,0)</f>
        <v>0</v>
      </c>
      <c r="U1307">
        <f>IF(orders[[#This Row],[Status]]="Pending",1,0)</f>
        <v>1</v>
      </c>
      <c r="V1307">
        <f>IF(orders[[#This Row],[Status]]="Delayed",1,0)</f>
        <v>0</v>
      </c>
      <c r="W1307">
        <f>IF(orders[[#This Row],[Status]]="Cancelled",1,0)</f>
        <v>0</v>
      </c>
    </row>
    <row r="1308" spans="1:23" x14ac:dyDescent="0.35">
      <c r="A1308" t="s">
        <v>1689</v>
      </c>
      <c r="B1308" s="1">
        <v>45937</v>
      </c>
      <c r="C1308" t="s">
        <v>138</v>
      </c>
      <c r="D1308" t="s">
        <v>38</v>
      </c>
      <c r="E1308" t="s">
        <v>31</v>
      </c>
      <c r="F1308" t="s">
        <v>32</v>
      </c>
      <c r="G1308" t="s">
        <v>89</v>
      </c>
      <c r="H1308" s="7">
        <v>3</v>
      </c>
      <c r="I1308" s="4">
        <v>13192.53</v>
      </c>
      <c r="J1308" s="23">
        <v>0.2</v>
      </c>
      <c r="K1308" s="4">
        <v>10554.02</v>
      </c>
      <c r="L1308" s="4">
        <v>8861.9500000000007</v>
      </c>
      <c r="M1308" s="4">
        <v>1692.07</v>
      </c>
      <c r="N1308" t="s">
        <v>98</v>
      </c>
      <c r="O1308" s="7">
        <v>17</v>
      </c>
      <c r="P1308" s="2">
        <v>45937.708333333336</v>
      </c>
      <c r="Q1308" t="s">
        <v>116</v>
      </c>
      <c r="R1308">
        <v>10</v>
      </c>
      <c r="S1308" t="s">
        <v>35</v>
      </c>
      <c r="T1308">
        <f>IF(orders[[#This Row],[Status]]="Completed",1,0)</f>
        <v>0</v>
      </c>
      <c r="U1308">
        <f>IF(orders[[#This Row],[Status]]="Pending",1,0)</f>
        <v>1</v>
      </c>
      <c r="V1308">
        <f>IF(orders[[#This Row],[Status]]="Delayed",1,0)</f>
        <v>0</v>
      </c>
      <c r="W1308">
        <f>IF(orders[[#This Row],[Status]]="Cancelled",1,0)</f>
        <v>0</v>
      </c>
    </row>
    <row r="1309" spans="1:23" x14ac:dyDescent="0.35">
      <c r="A1309" t="s">
        <v>1690</v>
      </c>
      <c r="B1309" s="1">
        <v>45738</v>
      </c>
      <c r="C1309" t="s">
        <v>853</v>
      </c>
      <c r="D1309" t="s">
        <v>63</v>
      </c>
      <c r="E1309" t="s">
        <v>31</v>
      </c>
      <c r="F1309" t="s">
        <v>39</v>
      </c>
      <c r="G1309" t="s">
        <v>93</v>
      </c>
      <c r="H1309" s="7">
        <v>1</v>
      </c>
      <c r="I1309" s="4">
        <v>606.86</v>
      </c>
      <c r="J1309" s="23">
        <v>0.05</v>
      </c>
      <c r="K1309" s="4">
        <v>576.52</v>
      </c>
      <c r="L1309" s="4">
        <v>462.61</v>
      </c>
      <c r="M1309" s="4">
        <v>113.91</v>
      </c>
      <c r="N1309" t="s">
        <v>25</v>
      </c>
      <c r="O1309" s="7">
        <v>29</v>
      </c>
      <c r="P1309" s="2">
        <v>45739.208333333336</v>
      </c>
      <c r="Q1309" t="s">
        <v>54</v>
      </c>
      <c r="R1309">
        <v>3</v>
      </c>
      <c r="S1309" t="s">
        <v>55</v>
      </c>
      <c r="T1309">
        <f>IF(orders[[#This Row],[Status]]="Completed",1,0)</f>
        <v>1</v>
      </c>
      <c r="U1309">
        <f>IF(orders[[#This Row],[Status]]="Pending",1,0)</f>
        <v>0</v>
      </c>
      <c r="V1309">
        <f>IF(orders[[#This Row],[Status]]="Delayed",1,0)</f>
        <v>0</v>
      </c>
      <c r="W1309">
        <f>IF(orders[[#This Row],[Status]]="Cancelled",1,0)</f>
        <v>0</v>
      </c>
    </row>
    <row r="1310" spans="1:23" x14ac:dyDescent="0.35">
      <c r="A1310" t="s">
        <v>1691</v>
      </c>
      <c r="B1310" s="1">
        <v>45859</v>
      </c>
      <c r="C1310" t="s">
        <v>684</v>
      </c>
      <c r="D1310" t="s">
        <v>21</v>
      </c>
      <c r="E1310" t="s">
        <v>22</v>
      </c>
      <c r="F1310" t="s">
        <v>32</v>
      </c>
      <c r="G1310" t="s">
        <v>89</v>
      </c>
      <c r="H1310" s="7">
        <v>6</v>
      </c>
      <c r="I1310" s="4">
        <v>27727.08</v>
      </c>
      <c r="J1310" s="23">
        <v>0</v>
      </c>
      <c r="K1310" s="4">
        <v>27727.08</v>
      </c>
      <c r="L1310" s="4">
        <v>15452.63</v>
      </c>
      <c r="M1310" s="4">
        <v>12274.45</v>
      </c>
      <c r="N1310" t="s">
        <v>98</v>
      </c>
      <c r="O1310" s="7">
        <v>15</v>
      </c>
      <c r="P1310" s="2">
        <v>45859.625</v>
      </c>
      <c r="Q1310" t="s">
        <v>60</v>
      </c>
      <c r="R1310">
        <v>7</v>
      </c>
      <c r="S1310" t="s">
        <v>42</v>
      </c>
      <c r="T1310">
        <f>IF(orders[[#This Row],[Status]]="Completed",1,0)</f>
        <v>0</v>
      </c>
      <c r="U1310">
        <f>IF(orders[[#This Row],[Status]]="Pending",1,0)</f>
        <v>1</v>
      </c>
      <c r="V1310">
        <f>IF(orders[[#This Row],[Status]]="Delayed",1,0)</f>
        <v>0</v>
      </c>
      <c r="W1310">
        <f>IF(orders[[#This Row],[Status]]="Cancelled",1,0)</f>
        <v>0</v>
      </c>
    </row>
    <row r="1311" spans="1:23" x14ac:dyDescent="0.35">
      <c r="A1311" t="s">
        <v>1692</v>
      </c>
      <c r="B1311" s="1">
        <v>45815</v>
      </c>
      <c r="C1311" t="s">
        <v>212</v>
      </c>
      <c r="D1311" t="s">
        <v>30</v>
      </c>
      <c r="E1311" t="s">
        <v>31</v>
      </c>
      <c r="F1311" t="s">
        <v>32</v>
      </c>
      <c r="G1311" t="s">
        <v>79</v>
      </c>
      <c r="H1311" s="7">
        <v>7</v>
      </c>
      <c r="I1311" s="4">
        <v>55744.57</v>
      </c>
      <c r="J1311" s="23">
        <v>0</v>
      </c>
      <c r="K1311" s="4">
        <v>55744.57</v>
      </c>
      <c r="L1311" s="4">
        <v>39888.879999999997</v>
      </c>
      <c r="M1311" s="4">
        <v>15855.69</v>
      </c>
      <c r="N1311" t="s">
        <v>25</v>
      </c>
      <c r="O1311" s="7">
        <v>20</v>
      </c>
      <c r="P1311" s="2">
        <v>45815.833333333336</v>
      </c>
      <c r="Q1311" t="s">
        <v>99</v>
      </c>
      <c r="R1311">
        <v>6</v>
      </c>
      <c r="S1311" t="s">
        <v>27</v>
      </c>
      <c r="T1311">
        <f>IF(orders[[#This Row],[Status]]="Completed",1,0)</f>
        <v>1</v>
      </c>
      <c r="U1311">
        <f>IF(orders[[#This Row],[Status]]="Pending",1,0)</f>
        <v>0</v>
      </c>
      <c r="V1311">
        <f>IF(orders[[#This Row],[Status]]="Delayed",1,0)</f>
        <v>0</v>
      </c>
      <c r="W1311">
        <f>IF(orders[[#This Row],[Status]]="Cancelled",1,0)</f>
        <v>0</v>
      </c>
    </row>
    <row r="1312" spans="1:23" x14ac:dyDescent="0.35">
      <c r="A1312" t="s">
        <v>1693</v>
      </c>
      <c r="B1312" s="1">
        <v>45777</v>
      </c>
      <c r="C1312" t="s">
        <v>451</v>
      </c>
      <c r="D1312" t="s">
        <v>58</v>
      </c>
      <c r="E1312" t="s">
        <v>113</v>
      </c>
      <c r="F1312" t="s">
        <v>32</v>
      </c>
      <c r="G1312" t="s">
        <v>89</v>
      </c>
      <c r="H1312" s="7">
        <v>3</v>
      </c>
      <c r="I1312" s="4">
        <v>15420.21</v>
      </c>
      <c r="J1312" s="23">
        <v>0</v>
      </c>
      <c r="K1312" s="4">
        <v>15420.21</v>
      </c>
      <c r="L1312" s="4">
        <v>9878.91</v>
      </c>
      <c r="M1312" s="4">
        <v>5541.3</v>
      </c>
      <c r="N1312" t="s">
        <v>25</v>
      </c>
      <c r="O1312" s="7">
        <v>20</v>
      </c>
      <c r="P1312" s="2">
        <v>45777.833333333336</v>
      </c>
      <c r="Q1312" t="s">
        <v>26</v>
      </c>
      <c r="R1312">
        <v>4</v>
      </c>
      <c r="S1312" t="s">
        <v>27</v>
      </c>
      <c r="T1312">
        <f>IF(orders[[#This Row],[Status]]="Completed",1,0)</f>
        <v>1</v>
      </c>
      <c r="U1312">
        <f>IF(orders[[#This Row],[Status]]="Pending",1,0)</f>
        <v>0</v>
      </c>
      <c r="V1312">
        <f>IF(orders[[#This Row],[Status]]="Delayed",1,0)</f>
        <v>0</v>
      </c>
      <c r="W1312">
        <f>IF(orders[[#This Row],[Status]]="Cancelled",1,0)</f>
        <v>0</v>
      </c>
    </row>
    <row r="1313" spans="1:23" x14ac:dyDescent="0.35">
      <c r="A1313" t="s">
        <v>1694</v>
      </c>
      <c r="B1313" s="1">
        <v>45716</v>
      </c>
      <c r="C1313" t="s">
        <v>231</v>
      </c>
      <c r="D1313" t="s">
        <v>30</v>
      </c>
      <c r="E1313" t="s">
        <v>59</v>
      </c>
      <c r="F1313" t="s">
        <v>72</v>
      </c>
      <c r="G1313" t="s">
        <v>129</v>
      </c>
      <c r="H1313" s="7">
        <v>3</v>
      </c>
      <c r="I1313" s="4">
        <v>20726.16</v>
      </c>
      <c r="J1313" s="23">
        <v>0</v>
      </c>
      <c r="K1313" s="4">
        <v>20726.16</v>
      </c>
      <c r="L1313" s="4">
        <v>15835.89</v>
      </c>
      <c r="M1313" s="4">
        <v>4890.2700000000004</v>
      </c>
      <c r="N1313" t="s">
        <v>25</v>
      </c>
      <c r="O1313" s="7">
        <v>31</v>
      </c>
      <c r="P1313" s="2">
        <v>45717.291666666664</v>
      </c>
      <c r="Q1313" t="s">
        <v>139</v>
      </c>
      <c r="R1313">
        <v>2</v>
      </c>
      <c r="S1313" t="s">
        <v>55</v>
      </c>
      <c r="T1313">
        <f>IF(orders[[#This Row],[Status]]="Completed",1,0)</f>
        <v>1</v>
      </c>
      <c r="U1313">
        <f>IF(orders[[#This Row],[Status]]="Pending",1,0)</f>
        <v>0</v>
      </c>
      <c r="V1313">
        <f>IF(orders[[#This Row],[Status]]="Delayed",1,0)</f>
        <v>0</v>
      </c>
      <c r="W1313">
        <f>IF(orders[[#This Row],[Status]]="Cancelled",1,0)</f>
        <v>0</v>
      </c>
    </row>
    <row r="1314" spans="1:23" x14ac:dyDescent="0.35">
      <c r="A1314" t="s">
        <v>1695</v>
      </c>
      <c r="B1314" s="1">
        <v>45872</v>
      </c>
      <c r="C1314" t="s">
        <v>177</v>
      </c>
      <c r="D1314" t="s">
        <v>68</v>
      </c>
      <c r="E1314" t="s">
        <v>59</v>
      </c>
      <c r="F1314" t="s">
        <v>32</v>
      </c>
      <c r="G1314" t="s">
        <v>79</v>
      </c>
      <c r="H1314" s="7">
        <v>2</v>
      </c>
      <c r="I1314" s="4">
        <v>13662.54</v>
      </c>
      <c r="J1314" s="23">
        <v>0</v>
      </c>
      <c r="K1314" s="4">
        <v>13662.54</v>
      </c>
      <c r="L1314" s="4">
        <v>10767.62</v>
      </c>
      <c r="M1314" s="4">
        <v>2894.92</v>
      </c>
      <c r="N1314" t="s">
        <v>85</v>
      </c>
      <c r="O1314" s="7">
        <v>94</v>
      </c>
      <c r="P1314" s="2">
        <v>45875.916666666664</v>
      </c>
      <c r="Q1314" t="s">
        <v>80</v>
      </c>
      <c r="R1314">
        <v>8</v>
      </c>
      <c r="S1314" t="s">
        <v>42</v>
      </c>
      <c r="T1314">
        <f>IF(orders[[#This Row],[Status]]="Completed",1,0)</f>
        <v>0</v>
      </c>
      <c r="U1314">
        <f>IF(orders[[#This Row],[Status]]="Pending",1,0)</f>
        <v>0</v>
      </c>
      <c r="V1314">
        <f>IF(orders[[#This Row],[Status]]="Delayed",1,0)</f>
        <v>1</v>
      </c>
      <c r="W1314">
        <f>IF(orders[[#This Row],[Status]]="Cancelled",1,0)</f>
        <v>0</v>
      </c>
    </row>
    <row r="1315" spans="1:23" x14ac:dyDescent="0.35">
      <c r="A1315" t="s">
        <v>1696</v>
      </c>
      <c r="B1315" s="1">
        <v>45785</v>
      </c>
      <c r="C1315" t="s">
        <v>284</v>
      </c>
      <c r="D1315" t="s">
        <v>77</v>
      </c>
      <c r="E1315" t="s">
        <v>92</v>
      </c>
      <c r="F1315" t="s">
        <v>72</v>
      </c>
      <c r="G1315" t="s">
        <v>119</v>
      </c>
      <c r="H1315" s="7">
        <v>5</v>
      </c>
      <c r="I1315" s="4">
        <v>39666.400000000001</v>
      </c>
      <c r="J1315" s="23">
        <v>0.05</v>
      </c>
      <c r="K1315" s="4">
        <v>37683.08</v>
      </c>
      <c r="L1315" s="4">
        <v>31455.75</v>
      </c>
      <c r="M1315" s="4">
        <v>6227.33</v>
      </c>
      <c r="N1315" t="s">
        <v>25</v>
      </c>
      <c r="O1315" s="7">
        <v>43</v>
      </c>
      <c r="P1315" s="2">
        <v>45786.791666666664</v>
      </c>
      <c r="Q1315" t="s">
        <v>74</v>
      </c>
      <c r="R1315">
        <v>5</v>
      </c>
      <c r="S1315" t="s">
        <v>27</v>
      </c>
      <c r="T1315">
        <f>IF(orders[[#This Row],[Status]]="Completed",1,0)</f>
        <v>1</v>
      </c>
      <c r="U1315">
        <f>IF(orders[[#This Row],[Status]]="Pending",1,0)</f>
        <v>0</v>
      </c>
      <c r="V1315">
        <f>IF(orders[[#This Row],[Status]]="Delayed",1,0)</f>
        <v>0</v>
      </c>
      <c r="W1315">
        <f>IF(orders[[#This Row],[Status]]="Cancelled",1,0)</f>
        <v>0</v>
      </c>
    </row>
    <row r="1316" spans="1:23" x14ac:dyDescent="0.35">
      <c r="A1316" t="s">
        <v>1697</v>
      </c>
      <c r="B1316" s="1">
        <v>45881</v>
      </c>
      <c r="C1316" t="s">
        <v>141</v>
      </c>
      <c r="D1316" t="s">
        <v>68</v>
      </c>
      <c r="E1316" t="s">
        <v>113</v>
      </c>
      <c r="F1316" t="s">
        <v>39</v>
      </c>
      <c r="G1316" t="s">
        <v>40</v>
      </c>
      <c r="H1316" s="7">
        <v>6</v>
      </c>
      <c r="I1316" s="4">
        <v>39488.46</v>
      </c>
      <c r="J1316" s="23">
        <v>0.1</v>
      </c>
      <c r="K1316" s="4">
        <v>35539.61</v>
      </c>
      <c r="L1316" s="4">
        <v>25122.5</v>
      </c>
      <c r="M1316" s="4">
        <v>10417.11</v>
      </c>
      <c r="N1316" t="s">
        <v>25</v>
      </c>
      <c r="O1316" s="7">
        <v>26</v>
      </c>
      <c r="P1316" s="2">
        <v>45882.083333333336</v>
      </c>
      <c r="Q1316" t="s">
        <v>80</v>
      </c>
      <c r="R1316">
        <v>8</v>
      </c>
      <c r="S1316" t="s">
        <v>42</v>
      </c>
      <c r="T1316">
        <f>IF(orders[[#This Row],[Status]]="Completed",1,0)</f>
        <v>1</v>
      </c>
      <c r="U1316">
        <f>IF(orders[[#This Row],[Status]]="Pending",1,0)</f>
        <v>0</v>
      </c>
      <c r="V1316">
        <f>IF(orders[[#This Row],[Status]]="Delayed",1,0)</f>
        <v>0</v>
      </c>
      <c r="W1316">
        <f>IF(orders[[#This Row],[Status]]="Cancelled",1,0)</f>
        <v>0</v>
      </c>
    </row>
    <row r="1317" spans="1:23" x14ac:dyDescent="0.35">
      <c r="A1317" t="s">
        <v>1698</v>
      </c>
      <c r="B1317" s="1">
        <v>45866</v>
      </c>
      <c r="C1317" t="s">
        <v>474</v>
      </c>
      <c r="D1317" t="s">
        <v>68</v>
      </c>
      <c r="E1317" t="s">
        <v>52</v>
      </c>
      <c r="F1317" t="s">
        <v>72</v>
      </c>
      <c r="G1317" t="s">
        <v>119</v>
      </c>
      <c r="H1317" s="7">
        <v>4</v>
      </c>
      <c r="I1317" s="4">
        <v>25573.200000000001</v>
      </c>
      <c r="J1317" s="23">
        <v>0.15</v>
      </c>
      <c r="K1317" s="4">
        <v>21737.22</v>
      </c>
      <c r="L1317" s="4">
        <v>19088.939999999999</v>
      </c>
      <c r="M1317" s="4">
        <v>2648.28</v>
      </c>
      <c r="N1317" t="s">
        <v>98</v>
      </c>
      <c r="O1317" s="7">
        <v>0</v>
      </c>
      <c r="P1317" s="2">
        <v>45866</v>
      </c>
      <c r="Q1317" t="s">
        <v>60</v>
      </c>
      <c r="R1317">
        <v>7</v>
      </c>
      <c r="S1317" t="s">
        <v>42</v>
      </c>
      <c r="T1317">
        <f>IF(orders[[#This Row],[Status]]="Completed",1,0)</f>
        <v>0</v>
      </c>
      <c r="U1317">
        <f>IF(orders[[#This Row],[Status]]="Pending",1,0)</f>
        <v>1</v>
      </c>
      <c r="V1317">
        <f>IF(orders[[#This Row],[Status]]="Delayed",1,0)</f>
        <v>0</v>
      </c>
      <c r="W1317">
        <f>IF(orders[[#This Row],[Status]]="Cancelled",1,0)</f>
        <v>0</v>
      </c>
    </row>
    <row r="1318" spans="1:23" x14ac:dyDescent="0.35">
      <c r="A1318" t="s">
        <v>1699</v>
      </c>
      <c r="B1318" s="1">
        <v>45772</v>
      </c>
      <c r="C1318" t="s">
        <v>50</v>
      </c>
      <c r="D1318" t="s">
        <v>63</v>
      </c>
      <c r="E1318" t="s">
        <v>22</v>
      </c>
      <c r="F1318" t="s">
        <v>39</v>
      </c>
      <c r="G1318" t="s">
        <v>114</v>
      </c>
      <c r="H1318" s="7">
        <v>6</v>
      </c>
      <c r="I1318" s="4">
        <v>12628.56</v>
      </c>
      <c r="J1318" s="23">
        <v>0.05</v>
      </c>
      <c r="K1318" s="4">
        <v>11997.13</v>
      </c>
      <c r="L1318" s="4">
        <v>10478.24</v>
      </c>
      <c r="M1318" s="4">
        <v>1518.89</v>
      </c>
      <c r="N1318" t="s">
        <v>25</v>
      </c>
      <c r="O1318" s="7">
        <v>32</v>
      </c>
      <c r="P1318" s="2">
        <v>45773.333333333336</v>
      </c>
      <c r="Q1318" t="s">
        <v>26</v>
      </c>
      <c r="R1318">
        <v>4</v>
      </c>
      <c r="S1318" t="s">
        <v>27</v>
      </c>
      <c r="T1318">
        <f>IF(orders[[#This Row],[Status]]="Completed",1,0)</f>
        <v>1</v>
      </c>
      <c r="U1318">
        <f>IF(orders[[#This Row],[Status]]="Pending",1,0)</f>
        <v>0</v>
      </c>
      <c r="V1318">
        <f>IF(orders[[#This Row],[Status]]="Delayed",1,0)</f>
        <v>0</v>
      </c>
      <c r="W1318">
        <f>IF(orders[[#This Row],[Status]]="Cancelled",1,0)</f>
        <v>0</v>
      </c>
    </row>
    <row r="1319" spans="1:23" x14ac:dyDescent="0.35">
      <c r="A1319" t="s">
        <v>1700</v>
      </c>
      <c r="B1319" s="1">
        <v>45866</v>
      </c>
      <c r="C1319" t="s">
        <v>91</v>
      </c>
      <c r="D1319" t="s">
        <v>45</v>
      </c>
      <c r="E1319" t="s">
        <v>59</v>
      </c>
      <c r="F1319" t="s">
        <v>39</v>
      </c>
      <c r="G1319" t="s">
        <v>114</v>
      </c>
      <c r="H1319" s="7">
        <v>4</v>
      </c>
      <c r="I1319" s="4">
        <v>2601.52</v>
      </c>
      <c r="J1319" s="23">
        <v>0.1</v>
      </c>
      <c r="K1319" s="4">
        <v>2341.37</v>
      </c>
      <c r="L1319" s="4">
        <v>1969.36</v>
      </c>
      <c r="M1319" s="4">
        <v>372.01</v>
      </c>
      <c r="N1319" t="s">
        <v>48</v>
      </c>
      <c r="O1319" s="7">
        <v>16</v>
      </c>
      <c r="P1319" s="2">
        <v>45866.666666666664</v>
      </c>
      <c r="Q1319" t="s">
        <v>60</v>
      </c>
      <c r="R1319">
        <v>7</v>
      </c>
      <c r="S1319" t="s">
        <v>42</v>
      </c>
      <c r="T1319">
        <f>IF(orders[[#This Row],[Status]]="Completed",1,0)</f>
        <v>0</v>
      </c>
      <c r="U1319">
        <f>IF(orders[[#This Row],[Status]]="Pending",1,0)</f>
        <v>0</v>
      </c>
      <c r="V1319">
        <f>IF(orders[[#This Row],[Status]]="Delayed",1,0)</f>
        <v>0</v>
      </c>
      <c r="W1319">
        <f>IF(orders[[#This Row],[Status]]="Cancelled",1,0)</f>
        <v>1</v>
      </c>
    </row>
    <row r="1320" spans="1:23" x14ac:dyDescent="0.35">
      <c r="A1320" t="s">
        <v>1701</v>
      </c>
      <c r="B1320" s="1">
        <v>45671</v>
      </c>
      <c r="C1320" t="s">
        <v>727</v>
      </c>
      <c r="D1320" t="s">
        <v>58</v>
      </c>
      <c r="E1320" t="s">
        <v>113</v>
      </c>
      <c r="F1320" t="s">
        <v>72</v>
      </c>
      <c r="G1320" t="s">
        <v>104</v>
      </c>
      <c r="H1320" s="7">
        <v>7</v>
      </c>
      <c r="I1320" s="4">
        <v>31303.72</v>
      </c>
      <c r="J1320" s="23">
        <v>0.15</v>
      </c>
      <c r="K1320" s="4">
        <v>26608.16</v>
      </c>
      <c r="L1320" s="4">
        <v>19682.240000000002</v>
      </c>
      <c r="M1320" s="4">
        <v>6925.92</v>
      </c>
      <c r="N1320" t="s">
        <v>25</v>
      </c>
      <c r="O1320" s="7">
        <v>41</v>
      </c>
      <c r="P1320" s="2">
        <v>45672.708333333336</v>
      </c>
      <c r="Q1320" t="s">
        <v>65</v>
      </c>
      <c r="R1320">
        <v>1</v>
      </c>
      <c r="S1320" t="s">
        <v>55</v>
      </c>
      <c r="T1320">
        <f>IF(orders[[#This Row],[Status]]="Completed",1,0)</f>
        <v>1</v>
      </c>
      <c r="U1320">
        <f>IF(orders[[#This Row],[Status]]="Pending",1,0)</f>
        <v>0</v>
      </c>
      <c r="V1320">
        <f>IF(orders[[#This Row],[Status]]="Delayed",1,0)</f>
        <v>0</v>
      </c>
      <c r="W1320">
        <f>IF(orders[[#This Row],[Status]]="Cancelled",1,0)</f>
        <v>0</v>
      </c>
    </row>
    <row r="1321" spans="1:23" x14ac:dyDescent="0.35">
      <c r="A1321" t="s">
        <v>1702</v>
      </c>
      <c r="B1321" s="1">
        <v>45666</v>
      </c>
      <c r="C1321" t="s">
        <v>231</v>
      </c>
      <c r="D1321" t="s">
        <v>58</v>
      </c>
      <c r="E1321" t="s">
        <v>113</v>
      </c>
      <c r="F1321" t="s">
        <v>83</v>
      </c>
      <c r="G1321" t="s">
        <v>107</v>
      </c>
      <c r="H1321" s="7">
        <v>4</v>
      </c>
      <c r="I1321" s="4">
        <v>4756.12</v>
      </c>
      <c r="J1321" s="23">
        <v>0.1</v>
      </c>
      <c r="K1321" s="4">
        <v>4280.51</v>
      </c>
      <c r="L1321" s="4">
        <v>2916.49</v>
      </c>
      <c r="M1321" s="4">
        <v>1364.02</v>
      </c>
      <c r="N1321" t="s">
        <v>25</v>
      </c>
      <c r="O1321" s="7">
        <v>32</v>
      </c>
      <c r="P1321" s="2">
        <v>45667.333333333336</v>
      </c>
      <c r="Q1321" t="s">
        <v>65</v>
      </c>
      <c r="R1321">
        <v>1</v>
      </c>
      <c r="S1321" t="s">
        <v>55</v>
      </c>
      <c r="T1321">
        <f>IF(orders[[#This Row],[Status]]="Completed",1,0)</f>
        <v>1</v>
      </c>
      <c r="U1321">
        <f>IF(orders[[#This Row],[Status]]="Pending",1,0)</f>
        <v>0</v>
      </c>
      <c r="V1321">
        <f>IF(orders[[#This Row],[Status]]="Delayed",1,0)</f>
        <v>0</v>
      </c>
      <c r="W1321">
        <f>IF(orders[[#This Row],[Status]]="Cancelled",1,0)</f>
        <v>0</v>
      </c>
    </row>
    <row r="1322" spans="1:23" x14ac:dyDescent="0.35">
      <c r="A1322" t="s">
        <v>1703</v>
      </c>
      <c r="B1322" s="1">
        <v>45697</v>
      </c>
      <c r="C1322" t="s">
        <v>802</v>
      </c>
      <c r="D1322" t="s">
        <v>68</v>
      </c>
      <c r="E1322" t="s">
        <v>46</v>
      </c>
      <c r="F1322" t="s">
        <v>23</v>
      </c>
      <c r="G1322" t="s">
        <v>136</v>
      </c>
      <c r="H1322" s="7">
        <v>1</v>
      </c>
      <c r="I1322" s="4">
        <v>8184.34</v>
      </c>
      <c r="J1322" s="23">
        <v>0.2</v>
      </c>
      <c r="K1322" s="4">
        <v>6547.47</v>
      </c>
      <c r="L1322" s="4">
        <v>4388.43</v>
      </c>
      <c r="M1322" s="4">
        <v>2159.04</v>
      </c>
      <c r="N1322" t="s">
        <v>25</v>
      </c>
      <c r="O1322" s="7">
        <v>22</v>
      </c>
      <c r="P1322" s="2">
        <v>45697.916666666664</v>
      </c>
      <c r="Q1322" t="s">
        <v>139</v>
      </c>
      <c r="R1322">
        <v>2</v>
      </c>
      <c r="S1322" t="s">
        <v>55</v>
      </c>
      <c r="T1322">
        <f>IF(orders[[#This Row],[Status]]="Completed",1,0)</f>
        <v>1</v>
      </c>
      <c r="U1322">
        <f>IF(orders[[#This Row],[Status]]="Pending",1,0)</f>
        <v>0</v>
      </c>
      <c r="V1322">
        <f>IF(orders[[#This Row],[Status]]="Delayed",1,0)</f>
        <v>0</v>
      </c>
      <c r="W1322">
        <f>IF(orders[[#This Row],[Status]]="Cancelled",1,0)</f>
        <v>0</v>
      </c>
    </row>
    <row r="1323" spans="1:23" x14ac:dyDescent="0.35">
      <c r="A1323" t="s">
        <v>1704</v>
      </c>
      <c r="B1323" s="1">
        <v>45894</v>
      </c>
      <c r="C1323" t="s">
        <v>135</v>
      </c>
      <c r="D1323" t="s">
        <v>38</v>
      </c>
      <c r="E1323" t="s">
        <v>59</v>
      </c>
      <c r="F1323" t="s">
        <v>32</v>
      </c>
      <c r="G1323" t="s">
        <v>64</v>
      </c>
      <c r="H1323" s="7">
        <v>4</v>
      </c>
      <c r="I1323" s="4">
        <v>10283.48</v>
      </c>
      <c r="J1323" s="23">
        <v>0</v>
      </c>
      <c r="K1323" s="4">
        <v>10283.48</v>
      </c>
      <c r="L1323" s="4">
        <v>5697.06</v>
      </c>
      <c r="M1323" s="4">
        <v>4586.42</v>
      </c>
      <c r="N1323" t="s">
        <v>25</v>
      </c>
      <c r="O1323" s="7">
        <v>30</v>
      </c>
      <c r="P1323" s="2">
        <v>45895.25</v>
      </c>
      <c r="Q1323" t="s">
        <v>80</v>
      </c>
      <c r="R1323">
        <v>8</v>
      </c>
      <c r="S1323" t="s">
        <v>42</v>
      </c>
      <c r="T1323">
        <f>IF(orders[[#This Row],[Status]]="Completed",1,0)</f>
        <v>1</v>
      </c>
      <c r="U1323">
        <f>IF(orders[[#This Row],[Status]]="Pending",1,0)</f>
        <v>0</v>
      </c>
      <c r="V1323">
        <f>IF(orders[[#This Row],[Status]]="Delayed",1,0)</f>
        <v>0</v>
      </c>
      <c r="W1323">
        <f>IF(orders[[#This Row],[Status]]="Cancelled",1,0)</f>
        <v>0</v>
      </c>
    </row>
    <row r="1324" spans="1:23" x14ac:dyDescent="0.35">
      <c r="A1324" t="s">
        <v>1705</v>
      </c>
      <c r="B1324" s="1">
        <v>45938</v>
      </c>
      <c r="C1324" t="s">
        <v>789</v>
      </c>
      <c r="D1324" t="s">
        <v>63</v>
      </c>
      <c r="E1324" t="s">
        <v>78</v>
      </c>
      <c r="F1324" t="s">
        <v>23</v>
      </c>
      <c r="G1324" t="s">
        <v>136</v>
      </c>
      <c r="H1324" s="7">
        <v>4</v>
      </c>
      <c r="I1324" s="4">
        <v>29088.32</v>
      </c>
      <c r="J1324" s="23">
        <v>0</v>
      </c>
      <c r="K1324" s="4">
        <v>29088.32</v>
      </c>
      <c r="L1324" s="4">
        <v>18390.439999999999</v>
      </c>
      <c r="M1324" s="4">
        <v>10697.88</v>
      </c>
      <c r="N1324" t="s">
        <v>48</v>
      </c>
      <c r="O1324" s="7">
        <v>24</v>
      </c>
      <c r="P1324" s="2">
        <v>45939</v>
      </c>
      <c r="Q1324" t="s">
        <v>116</v>
      </c>
      <c r="R1324">
        <v>10</v>
      </c>
      <c r="S1324" t="s">
        <v>35</v>
      </c>
      <c r="T1324">
        <f>IF(orders[[#This Row],[Status]]="Completed",1,0)</f>
        <v>0</v>
      </c>
      <c r="U1324">
        <f>IF(orders[[#This Row],[Status]]="Pending",1,0)</f>
        <v>0</v>
      </c>
      <c r="V1324">
        <f>IF(orders[[#This Row],[Status]]="Delayed",1,0)</f>
        <v>0</v>
      </c>
      <c r="W1324">
        <f>IF(orders[[#This Row],[Status]]="Cancelled",1,0)</f>
        <v>1</v>
      </c>
    </row>
    <row r="1325" spans="1:23" x14ac:dyDescent="0.35">
      <c r="A1325" t="s">
        <v>1706</v>
      </c>
      <c r="B1325" s="1">
        <v>46016</v>
      </c>
      <c r="C1325" t="s">
        <v>662</v>
      </c>
      <c r="D1325" t="s">
        <v>68</v>
      </c>
      <c r="E1325" t="s">
        <v>46</v>
      </c>
      <c r="F1325" t="s">
        <v>32</v>
      </c>
      <c r="G1325" t="s">
        <v>89</v>
      </c>
      <c r="H1325" s="7">
        <v>2</v>
      </c>
      <c r="I1325" s="4">
        <v>6773.34</v>
      </c>
      <c r="J1325" s="23">
        <v>0.05</v>
      </c>
      <c r="K1325" s="4">
        <v>6434.67</v>
      </c>
      <c r="L1325" s="4">
        <v>5065.42</v>
      </c>
      <c r="M1325" s="4">
        <v>1369.25</v>
      </c>
      <c r="N1325" t="s">
        <v>98</v>
      </c>
      <c r="O1325" s="7">
        <v>1</v>
      </c>
      <c r="P1325" s="2">
        <v>46016.041666666664</v>
      </c>
      <c r="Q1325" t="s">
        <v>34</v>
      </c>
      <c r="R1325">
        <v>12</v>
      </c>
      <c r="S1325" t="s">
        <v>35</v>
      </c>
      <c r="T1325">
        <f>IF(orders[[#This Row],[Status]]="Completed",1,0)</f>
        <v>0</v>
      </c>
      <c r="U1325">
        <f>IF(orders[[#This Row],[Status]]="Pending",1,0)</f>
        <v>1</v>
      </c>
      <c r="V1325">
        <f>IF(orders[[#This Row],[Status]]="Delayed",1,0)</f>
        <v>0</v>
      </c>
      <c r="W1325">
        <f>IF(orders[[#This Row],[Status]]="Cancelled",1,0)</f>
        <v>0</v>
      </c>
    </row>
    <row r="1326" spans="1:23" x14ac:dyDescent="0.35">
      <c r="A1326" t="s">
        <v>1707</v>
      </c>
      <c r="B1326" s="1">
        <v>45858</v>
      </c>
      <c r="C1326" t="s">
        <v>334</v>
      </c>
      <c r="D1326" t="s">
        <v>21</v>
      </c>
      <c r="E1326" t="s">
        <v>92</v>
      </c>
      <c r="F1326" t="s">
        <v>32</v>
      </c>
      <c r="G1326" t="s">
        <v>53</v>
      </c>
      <c r="H1326" s="7">
        <v>3</v>
      </c>
      <c r="I1326" s="4">
        <v>8546.01</v>
      </c>
      <c r="J1326" s="23">
        <v>0</v>
      </c>
      <c r="K1326" s="4">
        <v>8546.01</v>
      </c>
      <c r="L1326" s="4">
        <v>6402.66</v>
      </c>
      <c r="M1326" s="4">
        <v>2143.35</v>
      </c>
      <c r="N1326" t="s">
        <v>98</v>
      </c>
      <c r="O1326" s="7">
        <v>22</v>
      </c>
      <c r="P1326" s="2">
        <v>45858.916666666664</v>
      </c>
      <c r="Q1326" t="s">
        <v>60</v>
      </c>
      <c r="R1326">
        <v>7</v>
      </c>
      <c r="S1326" t="s">
        <v>42</v>
      </c>
      <c r="T1326">
        <f>IF(orders[[#This Row],[Status]]="Completed",1,0)</f>
        <v>0</v>
      </c>
      <c r="U1326">
        <f>IF(orders[[#This Row],[Status]]="Pending",1,0)</f>
        <v>1</v>
      </c>
      <c r="V1326">
        <f>IF(orders[[#This Row],[Status]]="Delayed",1,0)</f>
        <v>0</v>
      </c>
      <c r="W1326">
        <f>IF(orders[[#This Row],[Status]]="Cancelled",1,0)</f>
        <v>0</v>
      </c>
    </row>
    <row r="1327" spans="1:23" x14ac:dyDescent="0.35">
      <c r="A1327" t="s">
        <v>1708</v>
      </c>
      <c r="B1327" s="1">
        <v>45903</v>
      </c>
      <c r="C1327" t="s">
        <v>286</v>
      </c>
      <c r="D1327" t="s">
        <v>77</v>
      </c>
      <c r="E1327" t="s">
        <v>113</v>
      </c>
      <c r="F1327" t="s">
        <v>39</v>
      </c>
      <c r="G1327" t="s">
        <v>47</v>
      </c>
      <c r="H1327" s="7">
        <v>6</v>
      </c>
      <c r="I1327" s="4">
        <v>47751.42</v>
      </c>
      <c r="J1327" s="23">
        <v>0.1</v>
      </c>
      <c r="K1327" s="4">
        <v>42976.28</v>
      </c>
      <c r="L1327" s="4">
        <v>36633.81</v>
      </c>
      <c r="M1327" s="4">
        <v>6342.47</v>
      </c>
      <c r="N1327" t="s">
        <v>85</v>
      </c>
      <c r="O1327" s="7">
        <v>67</v>
      </c>
      <c r="P1327" s="2">
        <v>45905.791666666664</v>
      </c>
      <c r="Q1327" t="s">
        <v>41</v>
      </c>
      <c r="R1327">
        <v>9</v>
      </c>
      <c r="S1327" t="s">
        <v>42</v>
      </c>
      <c r="T1327">
        <f>IF(orders[[#This Row],[Status]]="Completed",1,0)</f>
        <v>0</v>
      </c>
      <c r="U1327">
        <f>IF(orders[[#This Row],[Status]]="Pending",1,0)</f>
        <v>0</v>
      </c>
      <c r="V1327">
        <f>IF(orders[[#This Row],[Status]]="Delayed",1,0)</f>
        <v>1</v>
      </c>
      <c r="W1327">
        <f>IF(orders[[#This Row],[Status]]="Cancelled",1,0)</f>
        <v>0</v>
      </c>
    </row>
    <row r="1328" spans="1:23" x14ac:dyDescent="0.35">
      <c r="A1328" t="s">
        <v>1709</v>
      </c>
      <c r="B1328" s="1">
        <v>45935</v>
      </c>
      <c r="C1328" t="s">
        <v>351</v>
      </c>
      <c r="D1328" t="s">
        <v>45</v>
      </c>
      <c r="E1328" t="s">
        <v>31</v>
      </c>
      <c r="F1328" t="s">
        <v>32</v>
      </c>
      <c r="G1328" t="s">
        <v>89</v>
      </c>
      <c r="H1328" s="7">
        <v>6</v>
      </c>
      <c r="I1328" s="4">
        <v>19102.439999999999</v>
      </c>
      <c r="J1328" s="23">
        <v>0.05</v>
      </c>
      <c r="K1328" s="4">
        <v>18147.32</v>
      </c>
      <c r="L1328" s="4">
        <v>10280.59</v>
      </c>
      <c r="M1328" s="4">
        <v>7866.73</v>
      </c>
      <c r="N1328" t="s">
        <v>25</v>
      </c>
      <c r="O1328" s="7">
        <v>26</v>
      </c>
      <c r="P1328" s="2">
        <v>45936.083333333336</v>
      </c>
      <c r="Q1328" t="s">
        <v>116</v>
      </c>
      <c r="R1328">
        <v>10</v>
      </c>
      <c r="S1328" t="s">
        <v>35</v>
      </c>
      <c r="T1328">
        <f>IF(orders[[#This Row],[Status]]="Completed",1,0)</f>
        <v>1</v>
      </c>
      <c r="U1328">
        <f>IF(orders[[#This Row],[Status]]="Pending",1,0)</f>
        <v>0</v>
      </c>
      <c r="V1328">
        <f>IF(orders[[#This Row],[Status]]="Delayed",1,0)</f>
        <v>0</v>
      </c>
      <c r="W1328">
        <f>IF(orders[[#This Row],[Status]]="Cancelled",1,0)</f>
        <v>0</v>
      </c>
    </row>
    <row r="1329" spans="1:23" x14ac:dyDescent="0.35">
      <c r="A1329" t="s">
        <v>1710</v>
      </c>
      <c r="B1329" s="1">
        <v>45892</v>
      </c>
      <c r="C1329" t="s">
        <v>244</v>
      </c>
      <c r="D1329" t="s">
        <v>149</v>
      </c>
      <c r="E1329" t="s">
        <v>113</v>
      </c>
      <c r="F1329" t="s">
        <v>32</v>
      </c>
      <c r="G1329" t="s">
        <v>33</v>
      </c>
      <c r="H1329" s="7">
        <v>7</v>
      </c>
      <c r="I1329" s="4">
        <v>23862.3</v>
      </c>
      <c r="J1329" s="23">
        <v>0.05</v>
      </c>
      <c r="K1329" s="4">
        <v>22669.18</v>
      </c>
      <c r="L1329" s="4">
        <v>13629.65</v>
      </c>
      <c r="M1329" s="4">
        <v>9039.5300000000007</v>
      </c>
      <c r="N1329" t="s">
        <v>25</v>
      </c>
      <c r="O1329" s="7">
        <v>42</v>
      </c>
      <c r="P1329" s="2">
        <v>45893.75</v>
      </c>
      <c r="Q1329" t="s">
        <v>80</v>
      </c>
      <c r="R1329">
        <v>8</v>
      </c>
      <c r="S1329" t="s">
        <v>42</v>
      </c>
      <c r="T1329">
        <f>IF(orders[[#This Row],[Status]]="Completed",1,0)</f>
        <v>1</v>
      </c>
      <c r="U1329">
        <f>IF(orders[[#This Row],[Status]]="Pending",1,0)</f>
        <v>0</v>
      </c>
      <c r="V1329">
        <f>IF(orders[[#This Row],[Status]]="Delayed",1,0)</f>
        <v>0</v>
      </c>
      <c r="W1329">
        <f>IF(orders[[#This Row],[Status]]="Cancelled",1,0)</f>
        <v>0</v>
      </c>
    </row>
    <row r="1330" spans="1:23" x14ac:dyDescent="0.35">
      <c r="A1330" t="s">
        <v>1711</v>
      </c>
      <c r="B1330" s="1">
        <v>45661</v>
      </c>
      <c r="C1330" t="s">
        <v>205</v>
      </c>
      <c r="D1330" t="s">
        <v>21</v>
      </c>
      <c r="E1330" t="s">
        <v>52</v>
      </c>
      <c r="F1330" t="s">
        <v>72</v>
      </c>
      <c r="G1330" t="s">
        <v>73</v>
      </c>
      <c r="H1330" s="7">
        <v>7</v>
      </c>
      <c r="I1330" s="4">
        <v>7251.09</v>
      </c>
      <c r="J1330" s="23">
        <v>0</v>
      </c>
      <c r="K1330" s="4">
        <v>7251.09</v>
      </c>
      <c r="L1330" s="4">
        <v>5876.65</v>
      </c>
      <c r="M1330" s="4">
        <v>1374.44</v>
      </c>
      <c r="N1330" t="s">
        <v>48</v>
      </c>
      <c r="O1330" s="7">
        <v>17</v>
      </c>
      <c r="P1330" s="2">
        <v>45661.708333333336</v>
      </c>
      <c r="Q1330" t="s">
        <v>65</v>
      </c>
      <c r="R1330">
        <v>1</v>
      </c>
      <c r="S1330" t="s">
        <v>55</v>
      </c>
      <c r="T1330">
        <f>IF(orders[[#This Row],[Status]]="Completed",1,0)</f>
        <v>0</v>
      </c>
      <c r="U1330">
        <f>IF(orders[[#This Row],[Status]]="Pending",1,0)</f>
        <v>0</v>
      </c>
      <c r="V1330">
        <f>IF(orders[[#This Row],[Status]]="Delayed",1,0)</f>
        <v>0</v>
      </c>
      <c r="W1330">
        <f>IF(orders[[#This Row],[Status]]="Cancelled",1,0)</f>
        <v>1</v>
      </c>
    </row>
    <row r="1331" spans="1:23" x14ac:dyDescent="0.35">
      <c r="A1331" t="s">
        <v>1712</v>
      </c>
      <c r="B1331" s="1">
        <v>45811</v>
      </c>
      <c r="C1331" t="s">
        <v>478</v>
      </c>
      <c r="D1331" t="s">
        <v>38</v>
      </c>
      <c r="E1331" t="s">
        <v>59</v>
      </c>
      <c r="F1331" t="s">
        <v>23</v>
      </c>
      <c r="G1331" t="s">
        <v>69</v>
      </c>
      <c r="H1331" s="7">
        <v>4</v>
      </c>
      <c r="I1331" s="4">
        <v>22992.92</v>
      </c>
      <c r="J1331" s="23">
        <v>0.05</v>
      </c>
      <c r="K1331" s="4">
        <v>21843.27</v>
      </c>
      <c r="L1331" s="4">
        <v>14598.02</v>
      </c>
      <c r="M1331" s="4">
        <v>7245.25</v>
      </c>
      <c r="N1331" t="s">
        <v>48</v>
      </c>
      <c r="O1331" s="7">
        <v>19</v>
      </c>
      <c r="P1331" s="2">
        <v>45811.791666666664</v>
      </c>
      <c r="Q1331" t="s">
        <v>99</v>
      </c>
      <c r="R1331">
        <v>6</v>
      </c>
      <c r="S1331" t="s">
        <v>27</v>
      </c>
      <c r="T1331">
        <f>IF(orders[[#This Row],[Status]]="Completed",1,0)</f>
        <v>0</v>
      </c>
      <c r="U1331">
        <f>IF(orders[[#This Row],[Status]]="Pending",1,0)</f>
        <v>0</v>
      </c>
      <c r="V1331">
        <f>IF(orders[[#This Row],[Status]]="Delayed",1,0)</f>
        <v>0</v>
      </c>
      <c r="W1331">
        <f>IF(orders[[#This Row],[Status]]="Cancelled",1,0)</f>
        <v>1</v>
      </c>
    </row>
    <row r="1332" spans="1:23" x14ac:dyDescent="0.35">
      <c r="A1332" t="s">
        <v>1713</v>
      </c>
      <c r="B1332" s="1">
        <v>45686</v>
      </c>
      <c r="C1332" t="s">
        <v>91</v>
      </c>
      <c r="D1332" t="s">
        <v>30</v>
      </c>
      <c r="E1332" t="s">
        <v>78</v>
      </c>
      <c r="F1332" t="s">
        <v>72</v>
      </c>
      <c r="G1332" t="s">
        <v>104</v>
      </c>
      <c r="H1332" s="7">
        <v>5</v>
      </c>
      <c r="I1332" s="4">
        <v>12809.05</v>
      </c>
      <c r="J1332" s="23">
        <v>0.1</v>
      </c>
      <c r="K1332" s="4">
        <v>11528.14</v>
      </c>
      <c r="L1332" s="4">
        <v>6790.7</v>
      </c>
      <c r="M1332" s="4">
        <v>4737.4399999999996</v>
      </c>
      <c r="N1332" t="s">
        <v>85</v>
      </c>
      <c r="O1332" s="7">
        <v>76</v>
      </c>
      <c r="P1332" s="2">
        <v>45689.166666666664</v>
      </c>
      <c r="Q1332" t="s">
        <v>65</v>
      </c>
      <c r="R1332">
        <v>1</v>
      </c>
      <c r="S1332" t="s">
        <v>55</v>
      </c>
      <c r="T1332">
        <f>IF(orders[[#This Row],[Status]]="Completed",1,0)</f>
        <v>0</v>
      </c>
      <c r="U1332">
        <f>IF(orders[[#This Row],[Status]]="Pending",1,0)</f>
        <v>0</v>
      </c>
      <c r="V1332">
        <f>IF(orders[[#This Row],[Status]]="Delayed",1,0)</f>
        <v>1</v>
      </c>
      <c r="W1332">
        <f>IF(orders[[#This Row],[Status]]="Cancelled",1,0)</f>
        <v>0</v>
      </c>
    </row>
    <row r="1333" spans="1:23" x14ac:dyDescent="0.35">
      <c r="A1333" t="s">
        <v>1714</v>
      </c>
      <c r="B1333" s="1">
        <v>45766</v>
      </c>
      <c r="C1333" t="s">
        <v>44</v>
      </c>
      <c r="D1333" t="s">
        <v>30</v>
      </c>
      <c r="E1333" t="s">
        <v>52</v>
      </c>
      <c r="F1333" t="s">
        <v>32</v>
      </c>
      <c r="G1333" t="s">
        <v>89</v>
      </c>
      <c r="H1333" s="7">
        <v>6</v>
      </c>
      <c r="I1333" s="4">
        <v>30238.74</v>
      </c>
      <c r="J1333" s="23">
        <v>0.1</v>
      </c>
      <c r="K1333" s="4">
        <v>27214.87</v>
      </c>
      <c r="L1333" s="4">
        <v>23917.21</v>
      </c>
      <c r="M1333" s="4">
        <v>3297.66</v>
      </c>
      <c r="N1333" t="s">
        <v>85</v>
      </c>
      <c r="O1333" s="7">
        <v>51</v>
      </c>
      <c r="P1333" s="2">
        <v>45768.125</v>
      </c>
      <c r="Q1333" t="s">
        <v>26</v>
      </c>
      <c r="R1333">
        <v>4</v>
      </c>
      <c r="S1333" t="s">
        <v>27</v>
      </c>
      <c r="T1333">
        <f>IF(orders[[#This Row],[Status]]="Completed",1,0)</f>
        <v>0</v>
      </c>
      <c r="U1333">
        <f>IF(orders[[#This Row],[Status]]="Pending",1,0)</f>
        <v>0</v>
      </c>
      <c r="V1333">
        <f>IF(orders[[#This Row],[Status]]="Delayed",1,0)</f>
        <v>1</v>
      </c>
      <c r="W1333">
        <f>IF(orders[[#This Row],[Status]]="Cancelled",1,0)</f>
        <v>0</v>
      </c>
    </row>
    <row r="1334" spans="1:23" x14ac:dyDescent="0.35">
      <c r="A1334" t="s">
        <v>1715</v>
      </c>
      <c r="B1334" s="1">
        <v>45755</v>
      </c>
      <c r="C1334" t="s">
        <v>1087</v>
      </c>
      <c r="D1334" t="s">
        <v>21</v>
      </c>
      <c r="E1334" t="s">
        <v>92</v>
      </c>
      <c r="F1334" t="s">
        <v>39</v>
      </c>
      <c r="G1334" t="s">
        <v>93</v>
      </c>
      <c r="H1334" s="7">
        <v>7</v>
      </c>
      <c r="I1334" s="4">
        <v>35614.53</v>
      </c>
      <c r="J1334" s="23">
        <v>0</v>
      </c>
      <c r="K1334" s="4">
        <v>35614.53</v>
      </c>
      <c r="L1334" s="4">
        <v>28840.38</v>
      </c>
      <c r="M1334" s="4">
        <v>6774.15</v>
      </c>
      <c r="N1334" t="s">
        <v>98</v>
      </c>
      <c r="O1334" s="7">
        <v>17</v>
      </c>
      <c r="P1334" s="2">
        <v>45755.708333333336</v>
      </c>
      <c r="Q1334" t="s">
        <v>26</v>
      </c>
      <c r="R1334">
        <v>4</v>
      </c>
      <c r="S1334" t="s">
        <v>27</v>
      </c>
      <c r="T1334">
        <f>IF(orders[[#This Row],[Status]]="Completed",1,0)</f>
        <v>0</v>
      </c>
      <c r="U1334">
        <f>IF(orders[[#This Row],[Status]]="Pending",1,0)</f>
        <v>1</v>
      </c>
      <c r="V1334">
        <f>IF(orders[[#This Row],[Status]]="Delayed",1,0)</f>
        <v>0</v>
      </c>
      <c r="W1334">
        <f>IF(orders[[#This Row],[Status]]="Cancelled",1,0)</f>
        <v>0</v>
      </c>
    </row>
    <row r="1335" spans="1:23" x14ac:dyDescent="0.35">
      <c r="A1335" t="s">
        <v>1716</v>
      </c>
      <c r="B1335" s="1">
        <v>45872</v>
      </c>
      <c r="C1335" t="s">
        <v>1425</v>
      </c>
      <c r="D1335" t="s">
        <v>68</v>
      </c>
      <c r="E1335" t="s">
        <v>22</v>
      </c>
      <c r="F1335" t="s">
        <v>72</v>
      </c>
      <c r="G1335" t="s">
        <v>119</v>
      </c>
      <c r="H1335" s="7">
        <v>4</v>
      </c>
      <c r="I1335" s="4">
        <v>24621.279999999999</v>
      </c>
      <c r="J1335" s="23">
        <v>0</v>
      </c>
      <c r="K1335" s="4">
        <v>24621.279999999999</v>
      </c>
      <c r="L1335" s="4">
        <v>16862.73</v>
      </c>
      <c r="M1335" s="4">
        <v>7758.55</v>
      </c>
      <c r="N1335" t="s">
        <v>25</v>
      </c>
      <c r="O1335" s="7">
        <v>24</v>
      </c>
      <c r="P1335" s="2">
        <v>45873</v>
      </c>
      <c r="Q1335" t="s">
        <v>80</v>
      </c>
      <c r="R1335">
        <v>8</v>
      </c>
      <c r="S1335" t="s">
        <v>42</v>
      </c>
      <c r="T1335">
        <f>IF(orders[[#This Row],[Status]]="Completed",1,0)</f>
        <v>1</v>
      </c>
      <c r="U1335">
        <f>IF(orders[[#This Row],[Status]]="Pending",1,0)</f>
        <v>0</v>
      </c>
      <c r="V1335">
        <f>IF(orders[[#This Row],[Status]]="Delayed",1,0)</f>
        <v>0</v>
      </c>
      <c r="W1335">
        <f>IF(orders[[#This Row],[Status]]="Cancelled",1,0)</f>
        <v>0</v>
      </c>
    </row>
    <row r="1336" spans="1:23" x14ac:dyDescent="0.35">
      <c r="A1336" t="s">
        <v>1717</v>
      </c>
      <c r="B1336" s="1">
        <v>45950</v>
      </c>
      <c r="C1336" t="s">
        <v>513</v>
      </c>
      <c r="D1336" t="s">
        <v>149</v>
      </c>
      <c r="E1336" t="s">
        <v>31</v>
      </c>
      <c r="F1336" t="s">
        <v>72</v>
      </c>
      <c r="G1336" t="s">
        <v>73</v>
      </c>
      <c r="H1336" s="7">
        <v>7</v>
      </c>
      <c r="I1336" s="4">
        <v>44609.39</v>
      </c>
      <c r="J1336" s="23">
        <v>0</v>
      </c>
      <c r="K1336" s="4">
        <v>44609.39</v>
      </c>
      <c r="L1336" s="4">
        <v>36655.74</v>
      </c>
      <c r="M1336" s="4">
        <v>7953.65</v>
      </c>
      <c r="N1336" t="s">
        <v>98</v>
      </c>
      <c r="O1336" s="7">
        <v>1</v>
      </c>
      <c r="P1336" s="2">
        <v>45950.041666666664</v>
      </c>
      <c r="Q1336" t="s">
        <v>116</v>
      </c>
      <c r="R1336">
        <v>10</v>
      </c>
      <c r="S1336" t="s">
        <v>35</v>
      </c>
      <c r="T1336">
        <f>IF(orders[[#This Row],[Status]]="Completed",1,0)</f>
        <v>0</v>
      </c>
      <c r="U1336">
        <f>IF(orders[[#This Row],[Status]]="Pending",1,0)</f>
        <v>1</v>
      </c>
      <c r="V1336">
        <f>IF(orders[[#This Row],[Status]]="Delayed",1,0)</f>
        <v>0</v>
      </c>
      <c r="W1336">
        <f>IF(orders[[#This Row],[Status]]="Cancelled",1,0)</f>
        <v>0</v>
      </c>
    </row>
    <row r="1337" spans="1:23" x14ac:dyDescent="0.35">
      <c r="A1337" t="s">
        <v>1718</v>
      </c>
      <c r="B1337" s="1">
        <v>45732</v>
      </c>
      <c r="C1337" t="s">
        <v>1383</v>
      </c>
      <c r="D1337" t="s">
        <v>51</v>
      </c>
      <c r="E1337" t="s">
        <v>59</v>
      </c>
      <c r="F1337" t="s">
        <v>83</v>
      </c>
      <c r="G1337" t="s">
        <v>155</v>
      </c>
      <c r="H1337" s="7">
        <v>1</v>
      </c>
      <c r="I1337" s="4">
        <v>4445.68</v>
      </c>
      <c r="J1337" s="23">
        <v>0</v>
      </c>
      <c r="K1337" s="4">
        <v>4445.68</v>
      </c>
      <c r="L1337" s="4">
        <v>3443.62</v>
      </c>
      <c r="M1337" s="4">
        <v>1002.06</v>
      </c>
      <c r="N1337" t="s">
        <v>25</v>
      </c>
      <c r="O1337" s="7">
        <v>39</v>
      </c>
      <c r="P1337" s="2">
        <v>45733.625</v>
      </c>
      <c r="Q1337" t="s">
        <v>54</v>
      </c>
      <c r="R1337">
        <v>3</v>
      </c>
      <c r="S1337" t="s">
        <v>55</v>
      </c>
      <c r="T1337">
        <f>IF(orders[[#This Row],[Status]]="Completed",1,0)</f>
        <v>1</v>
      </c>
      <c r="U1337">
        <f>IF(orders[[#This Row],[Status]]="Pending",1,0)</f>
        <v>0</v>
      </c>
      <c r="V1337">
        <f>IF(orders[[#This Row],[Status]]="Delayed",1,0)</f>
        <v>0</v>
      </c>
      <c r="W1337">
        <f>IF(orders[[#This Row],[Status]]="Cancelled",1,0)</f>
        <v>0</v>
      </c>
    </row>
    <row r="1338" spans="1:23" x14ac:dyDescent="0.35">
      <c r="A1338" t="s">
        <v>1719</v>
      </c>
      <c r="B1338" s="1">
        <v>45983</v>
      </c>
      <c r="C1338" t="s">
        <v>882</v>
      </c>
      <c r="D1338" t="s">
        <v>51</v>
      </c>
      <c r="E1338" t="s">
        <v>113</v>
      </c>
      <c r="F1338" t="s">
        <v>32</v>
      </c>
      <c r="G1338" t="s">
        <v>33</v>
      </c>
      <c r="H1338" s="7">
        <v>1</v>
      </c>
      <c r="I1338" s="4">
        <v>2913.78</v>
      </c>
      <c r="J1338" s="23">
        <v>0.2</v>
      </c>
      <c r="K1338" s="4">
        <v>2331.02</v>
      </c>
      <c r="L1338" s="4">
        <v>1889.74</v>
      </c>
      <c r="M1338" s="4">
        <v>441.28</v>
      </c>
      <c r="N1338" t="s">
        <v>25</v>
      </c>
      <c r="O1338" s="7">
        <v>41</v>
      </c>
      <c r="P1338" s="2">
        <v>45984.708333333336</v>
      </c>
      <c r="Q1338" t="s">
        <v>86</v>
      </c>
      <c r="R1338">
        <v>11</v>
      </c>
      <c r="S1338" t="s">
        <v>35</v>
      </c>
      <c r="T1338">
        <f>IF(orders[[#This Row],[Status]]="Completed",1,0)</f>
        <v>1</v>
      </c>
      <c r="U1338">
        <f>IF(orders[[#This Row],[Status]]="Pending",1,0)</f>
        <v>0</v>
      </c>
      <c r="V1338">
        <f>IF(orders[[#This Row],[Status]]="Delayed",1,0)</f>
        <v>0</v>
      </c>
      <c r="W1338">
        <f>IF(orders[[#This Row],[Status]]="Cancelled",1,0)</f>
        <v>0</v>
      </c>
    </row>
    <row r="1339" spans="1:23" x14ac:dyDescent="0.35">
      <c r="A1339" t="s">
        <v>1720</v>
      </c>
      <c r="B1339" s="1">
        <v>45803</v>
      </c>
      <c r="C1339" t="s">
        <v>361</v>
      </c>
      <c r="D1339" t="s">
        <v>38</v>
      </c>
      <c r="E1339" t="s">
        <v>31</v>
      </c>
      <c r="F1339" t="s">
        <v>39</v>
      </c>
      <c r="G1339" t="s">
        <v>40</v>
      </c>
      <c r="H1339" s="7">
        <v>7</v>
      </c>
      <c r="I1339" s="4">
        <v>49998.97</v>
      </c>
      <c r="J1339" s="23">
        <v>0</v>
      </c>
      <c r="K1339" s="4">
        <v>49998.97</v>
      </c>
      <c r="L1339" s="4">
        <v>40950.06</v>
      </c>
      <c r="M1339" s="4">
        <v>9048.91</v>
      </c>
      <c r="N1339" t="s">
        <v>48</v>
      </c>
      <c r="O1339" s="7">
        <v>24</v>
      </c>
      <c r="P1339" s="2">
        <v>45804</v>
      </c>
      <c r="Q1339" t="s">
        <v>74</v>
      </c>
      <c r="R1339">
        <v>5</v>
      </c>
      <c r="S1339" t="s">
        <v>27</v>
      </c>
      <c r="T1339">
        <f>IF(orders[[#This Row],[Status]]="Completed",1,0)</f>
        <v>0</v>
      </c>
      <c r="U1339">
        <f>IF(orders[[#This Row],[Status]]="Pending",1,0)</f>
        <v>0</v>
      </c>
      <c r="V1339">
        <f>IF(orders[[#This Row],[Status]]="Delayed",1,0)</f>
        <v>0</v>
      </c>
      <c r="W1339">
        <f>IF(orders[[#This Row],[Status]]="Cancelled",1,0)</f>
        <v>1</v>
      </c>
    </row>
    <row r="1340" spans="1:23" x14ac:dyDescent="0.35">
      <c r="A1340" t="s">
        <v>1721</v>
      </c>
      <c r="B1340" s="1">
        <v>45785</v>
      </c>
      <c r="C1340" t="s">
        <v>261</v>
      </c>
      <c r="D1340" t="s">
        <v>68</v>
      </c>
      <c r="E1340" t="s">
        <v>113</v>
      </c>
      <c r="F1340" t="s">
        <v>72</v>
      </c>
      <c r="G1340" t="s">
        <v>129</v>
      </c>
      <c r="H1340" s="7">
        <v>1</v>
      </c>
      <c r="I1340" s="4">
        <v>2737.38</v>
      </c>
      <c r="J1340" s="23">
        <v>0.15</v>
      </c>
      <c r="K1340" s="4">
        <v>2326.77</v>
      </c>
      <c r="L1340" s="4">
        <v>1344.78</v>
      </c>
      <c r="M1340" s="4">
        <v>981.99</v>
      </c>
      <c r="N1340" t="s">
        <v>85</v>
      </c>
      <c r="O1340" s="7">
        <v>57</v>
      </c>
      <c r="P1340" s="2">
        <v>45787.375</v>
      </c>
      <c r="Q1340" t="s">
        <v>74</v>
      </c>
      <c r="R1340">
        <v>5</v>
      </c>
      <c r="S1340" t="s">
        <v>27</v>
      </c>
      <c r="T1340">
        <f>IF(orders[[#This Row],[Status]]="Completed",1,0)</f>
        <v>0</v>
      </c>
      <c r="U1340">
        <f>IF(orders[[#This Row],[Status]]="Pending",1,0)</f>
        <v>0</v>
      </c>
      <c r="V1340">
        <f>IF(orders[[#This Row],[Status]]="Delayed",1,0)</f>
        <v>1</v>
      </c>
      <c r="W1340">
        <f>IF(orders[[#This Row],[Status]]="Cancelled",1,0)</f>
        <v>0</v>
      </c>
    </row>
    <row r="1341" spans="1:23" x14ac:dyDescent="0.35">
      <c r="A1341" t="s">
        <v>1722</v>
      </c>
      <c r="B1341" s="1">
        <v>45998</v>
      </c>
      <c r="C1341" t="s">
        <v>590</v>
      </c>
      <c r="D1341" t="s">
        <v>58</v>
      </c>
      <c r="E1341" t="s">
        <v>92</v>
      </c>
      <c r="F1341" t="s">
        <v>72</v>
      </c>
      <c r="G1341" t="s">
        <v>119</v>
      </c>
      <c r="H1341" s="7">
        <v>7</v>
      </c>
      <c r="I1341" s="4">
        <v>30713.9</v>
      </c>
      <c r="J1341" s="23">
        <v>0.2</v>
      </c>
      <c r="K1341" s="4">
        <v>24571.119999999999</v>
      </c>
      <c r="L1341" s="4">
        <v>18565.47</v>
      </c>
      <c r="M1341" s="4">
        <v>6005.65</v>
      </c>
      <c r="N1341" t="s">
        <v>25</v>
      </c>
      <c r="O1341" s="7">
        <v>26</v>
      </c>
      <c r="P1341" s="2">
        <v>45999.083333333336</v>
      </c>
      <c r="Q1341" t="s">
        <v>34</v>
      </c>
      <c r="R1341">
        <v>12</v>
      </c>
      <c r="S1341" t="s">
        <v>35</v>
      </c>
      <c r="T1341">
        <f>IF(orders[[#This Row],[Status]]="Completed",1,0)</f>
        <v>1</v>
      </c>
      <c r="U1341">
        <f>IF(orders[[#This Row],[Status]]="Pending",1,0)</f>
        <v>0</v>
      </c>
      <c r="V1341">
        <f>IF(orders[[#This Row],[Status]]="Delayed",1,0)</f>
        <v>0</v>
      </c>
      <c r="W1341">
        <f>IF(orders[[#This Row],[Status]]="Cancelled",1,0)</f>
        <v>0</v>
      </c>
    </row>
    <row r="1342" spans="1:23" x14ac:dyDescent="0.35">
      <c r="A1342" t="s">
        <v>1723</v>
      </c>
      <c r="B1342" s="1">
        <v>45699</v>
      </c>
      <c r="C1342" t="s">
        <v>343</v>
      </c>
      <c r="D1342" t="s">
        <v>58</v>
      </c>
      <c r="E1342" t="s">
        <v>22</v>
      </c>
      <c r="F1342" t="s">
        <v>39</v>
      </c>
      <c r="G1342" t="s">
        <v>47</v>
      </c>
      <c r="H1342" s="7">
        <v>4</v>
      </c>
      <c r="I1342" s="4">
        <v>14001.84</v>
      </c>
      <c r="J1342" s="23">
        <v>0</v>
      </c>
      <c r="K1342" s="4">
        <v>14001.84</v>
      </c>
      <c r="L1342" s="4">
        <v>7732.37</v>
      </c>
      <c r="M1342" s="4">
        <v>6269.47</v>
      </c>
      <c r="N1342" t="s">
        <v>98</v>
      </c>
      <c r="O1342" s="7">
        <v>14</v>
      </c>
      <c r="P1342" s="2">
        <v>45699.583333333336</v>
      </c>
      <c r="Q1342" t="s">
        <v>139</v>
      </c>
      <c r="R1342">
        <v>2</v>
      </c>
      <c r="S1342" t="s">
        <v>55</v>
      </c>
      <c r="T1342">
        <f>IF(orders[[#This Row],[Status]]="Completed",1,0)</f>
        <v>0</v>
      </c>
      <c r="U1342">
        <f>IF(orders[[#This Row],[Status]]="Pending",1,0)</f>
        <v>1</v>
      </c>
      <c r="V1342">
        <f>IF(orders[[#This Row],[Status]]="Delayed",1,0)</f>
        <v>0</v>
      </c>
      <c r="W1342">
        <f>IF(orders[[#This Row],[Status]]="Cancelled",1,0)</f>
        <v>0</v>
      </c>
    </row>
    <row r="1343" spans="1:23" x14ac:dyDescent="0.35">
      <c r="A1343" t="s">
        <v>1724</v>
      </c>
      <c r="B1343" s="1">
        <v>46013</v>
      </c>
      <c r="C1343" t="s">
        <v>698</v>
      </c>
      <c r="D1343" t="s">
        <v>45</v>
      </c>
      <c r="E1343" t="s">
        <v>78</v>
      </c>
      <c r="F1343" t="s">
        <v>32</v>
      </c>
      <c r="G1343" t="s">
        <v>64</v>
      </c>
      <c r="H1343" s="7">
        <v>2</v>
      </c>
      <c r="I1343" s="4">
        <v>14579.8</v>
      </c>
      <c r="J1343" s="23">
        <v>0.05</v>
      </c>
      <c r="K1343" s="4">
        <v>13850.81</v>
      </c>
      <c r="L1343" s="4">
        <v>7816.57</v>
      </c>
      <c r="M1343" s="4">
        <v>6034.24</v>
      </c>
      <c r="N1343" t="s">
        <v>25</v>
      </c>
      <c r="O1343" s="7">
        <v>16</v>
      </c>
      <c r="P1343" s="2">
        <v>46013.666666666664</v>
      </c>
      <c r="Q1343" t="s">
        <v>34</v>
      </c>
      <c r="R1343">
        <v>12</v>
      </c>
      <c r="S1343" t="s">
        <v>35</v>
      </c>
      <c r="T1343">
        <f>IF(orders[[#This Row],[Status]]="Completed",1,0)</f>
        <v>1</v>
      </c>
      <c r="U1343">
        <f>IF(orders[[#This Row],[Status]]="Pending",1,0)</f>
        <v>0</v>
      </c>
      <c r="V1343">
        <f>IF(orders[[#This Row],[Status]]="Delayed",1,0)</f>
        <v>0</v>
      </c>
      <c r="W1343">
        <f>IF(orders[[#This Row],[Status]]="Cancelled",1,0)</f>
        <v>0</v>
      </c>
    </row>
    <row r="1344" spans="1:23" x14ac:dyDescent="0.35">
      <c r="A1344" t="s">
        <v>1725</v>
      </c>
      <c r="B1344" s="1">
        <v>45698</v>
      </c>
      <c r="C1344" t="s">
        <v>1410</v>
      </c>
      <c r="D1344" t="s">
        <v>149</v>
      </c>
      <c r="E1344" t="s">
        <v>78</v>
      </c>
      <c r="F1344" t="s">
        <v>83</v>
      </c>
      <c r="G1344" t="s">
        <v>84</v>
      </c>
      <c r="H1344" s="7">
        <v>5</v>
      </c>
      <c r="I1344" s="4">
        <v>18782.599999999999</v>
      </c>
      <c r="J1344" s="23">
        <v>0.25</v>
      </c>
      <c r="K1344" s="4">
        <v>14086.95</v>
      </c>
      <c r="L1344" s="4">
        <v>11950.15</v>
      </c>
      <c r="M1344" s="4">
        <v>2136.8000000000002</v>
      </c>
      <c r="N1344" t="s">
        <v>25</v>
      </c>
      <c r="O1344" s="7">
        <v>40</v>
      </c>
      <c r="P1344" s="2">
        <v>45699.666666666664</v>
      </c>
      <c r="Q1344" t="s">
        <v>139</v>
      </c>
      <c r="R1344">
        <v>2</v>
      </c>
      <c r="S1344" t="s">
        <v>55</v>
      </c>
      <c r="T1344">
        <f>IF(orders[[#This Row],[Status]]="Completed",1,0)</f>
        <v>1</v>
      </c>
      <c r="U1344">
        <f>IF(orders[[#This Row],[Status]]="Pending",1,0)</f>
        <v>0</v>
      </c>
      <c r="V1344">
        <f>IF(orders[[#This Row],[Status]]="Delayed",1,0)</f>
        <v>0</v>
      </c>
      <c r="W1344">
        <f>IF(orders[[#This Row],[Status]]="Cancelled",1,0)</f>
        <v>0</v>
      </c>
    </row>
    <row r="1345" spans="1:23" x14ac:dyDescent="0.35">
      <c r="A1345" t="s">
        <v>1726</v>
      </c>
      <c r="B1345" s="1">
        <v>45691</v>
      </c>
      <c r="C1345" t="s">
        <v>665</v>
      </c>
      <c r="D1345" t="s">
        <v>149</v>
      </c>
      <c r="E1345" t="s">
        <v>59</v>
      </c>
      <c r="F1345" t="s">
        <v>72</v>
      </c>
      <c r="G1345" t="s">
        <v>104</v>
      </c>
      <c r="H1345" s="7">
        <v>4</v>
      </c>
      <c r="I1345" s="4">
        <v>13495.72</v>
      </c>
      <c r="J1345" s="23">
        <v>0.15</v>
      </c>
      <c r="K1345" s="4">
        <v>11471.36</v>
      </c>
      <c r="L1345" s="4">
        <v>8306.3700000000008</v>
      </c>
      <c r="M1345" s="4">
        <v>3164.99</v>
      </c>
      <c r="N1345" t="s">
        <v>25</v>
      </c>
      <c r="O1345" s="7">
        <v>29</v>
      </c>
      <c r="P1345" s="2">
        <v>45692.208333333336</v>
      </c>
      <c r="Q1345" t="s">
        <v>139</v>
      </c>
      <c r="R1345">
        <v>2</v>
      </c>
      <c r="S1345" t="s">
        <v>55</v>
      </c>
      <c r="T1345">
        <f>IF(orders[[#This Row],[Status]]="Completed",1,0)</f>
        <v>1</v>
      </c>
      <c r="U1345">
        <f>IF(orders[[#This Row],[Status]]="Pending",1,0)</f>
        <v>0</v>
      </c>
      <c r="V1345">
        <f>IF(orders[[#This Row],[Status]]="Delayed",1,0)</f>
        <v>0</v>
      </c>
      <c r="W1345">
        <f>IF(orders[[#This Row],[Status]]="Cancelled",1,0)</f>
        <v>0</v>
      </c>
    </row>
    <row r="1346" spans="1:23" x14ac:dyDescent="0.35">
      <c r="A1346" t="s">
        <v>1727</v>
      </c>
      <c r="B1346" s="1">
        <v>45674</v>
      </c>
      <c r="C1346" t="s">
        <v>286</v>
      </c>
      <c r="D1346" t="s">
        <v>30</v>
      </c>
      <c r="E1346" t="s">
        <v>92</v>
      </c>
      <c r="F1346" t="s">
        <v>83</v>
      </c>
      <c r="G1346" t="s">
        <v>155</v>
      </c>
      <c r="H1346" s="7">
        <v>2</v>
      </c>
      <c r="I1346" s="4">
        <v>11820.06</v>
      </c>
      <c r="J1346" s="23">
        <v>0.1</v>
      </c>
      <c r="K1346" s="4">
        <v>10638.05</v>
      </c>
      <c r="L1346" s="4">
        <v>8434.35</v>
      </c>
      <c r="M1346" s="4">
        <v>2203.6999999999998</v>
      </c>
      <c r="N1346" t="s">
        <v>25</v>
      </c>
      <c r="O1346" s="7">
        <v>43</v>
      </c>
      <c r="P1346" s="2">
        <v>45675.791666666664</v>
      </c>
      <c r="Q1346" t="s">
        <v>65</v>
      </c>
      <c r="R1346">
        <v>1</v>
      </c>
      <c r="S1346" t="s">
        <v>55</v>
      </c>
      <c r="T1346">
        <f>IF(orders[[#This Row],[Status]]="Completed",1,0)</f>
        <v>1</v>
      </c>
      <c r="U1346">
        <f>IF(orders[[#This Row],[Status]]="Pending",1,0)</f>
        <v>0</v>
      </c>
      <c r="V1346">
        <f>IF(orders[[#This Row],[Status]]="Delayed",1,0)</f>
        <v>0</v>
      </c>
      <c r="W1346">
        <f>IF(orders[[#This Row],[Status]]="Cancelled",1,0)</f>
        <v>0</v>
      </c>
    </row>
    <row r="1347" spans="1:23" x14ac:dyDescent="0.35">
      <c r="A1347" t="s">
        <v>1728</v>
      </c>
      <c r="B1347" s="1">
        <v>45822</v>
      </c>
      <c r="C1347" t="s">
        <v>279</v>
      </c>
      <c r="D1347" t="s">
        <v>63</v>
      </c>
      <c r="E1347" t="s">
        <v>92</v>
      </c>
      <c r="F1347" t="s">
        <v>23</v>
      </c>
      <c r="G1347" t="s">
        <v>136</v>
      </c>
      <c r="H1347" s="7">
        <v>2</v>
      </c>
      <c r="I1347" s="4">
        <v>10360.76</v>
      </c>
      <c r="J1347" s="23">
        <v>0.15</v>
      </c>
      <c r="K1347" s="4">
        <v>8806.65</v>
      </c>
      <c r="L1347" s="4">
        <v>7280.5</v>
      </c>
      <c r="M1347" s="4">
        <v>1526.15</v>
      </c>
      <c r="N1347" t="s">
        <v>25</v>
      </c>
      <c r="O1347" s="7">
        <v>10</v>
      </c>
      <c r="P1347" s="2">
        <v>45822.416666666664</v>
      </c>
      <c r="Q1347" t="s">
        <v>99</v>
      </c>
      <c r="R1347">
        <v>6</v>
      </c>
      <c r="S1347" t="s">
        <v>27</v>
      </c>
      <c r="T1347">
        <f>IF(orders[[#This Row],[Status]]="Completed",1,0)</f>
        <v>1</v>
      </c>
      <c r="U1347">
        <f>IF(orders[[#This Row],[Status]]="Pending",1,0)</f>
        <v>0</v>
      </c>
      <c r="V1347">
        <f>IF(orders[[#This Row],[Status]]="Delayed",1,0)</f>
        <v>0</v>
      </c>
      <c r="W1347">
        <f>IF(orders[[#This Row],[Status]]="Cancelled",1,0)</f>
        <v>0</v>
      </c>
    </row>
    <row r="1348" spans="1:23" x14ac:dyDescent="0.35">
      <c r="A1348" t="s">
        <v>1729</v>
      </c>
      <c r="B1348" s="1">
        <v>45810</v>
      </c>
      <c r="C1348" t="s">
        <v>873</v>
      </c>
      <c r="D1348" t="s">
        <v>38</v>
      </c>
      <c r="E1348" t="s">
        <v>22</v>
      </c>
      <c r="F1348" t="s">
        <v>32</v>
      </c>
      <c r="G1348" t="s">
        <v>89</v>
      </c>
      <c r="H1348" s="7">
        <v>6</v>
      </c>
      <c r="I1348" s="4">
        <v>6273.06</v>
      </c>
      <c r="J1348" s="23">
        <v>0.15</v>
      </c>
      <c r="K1348" s="4">
        <v>5332.1</v>
      </c>
      <c r="L1348" s="4">
        <v>4603.54</v>
      </c>
      <c r="M1348" s="4">
        <v>728.56</v>
      </c>
      <c r="N1348" t="s">
        <v>48</v>
      </c>
      <c r="O1348" s="7">
        <v>10</v>
      </c>
      <c r="P1348" s="2">
        <v>45810.416666666664</v>
      </c>
      <c r="Q1348" t="s">
        <v>99</v>
      </c>
      <c r="R1348">
        <v>6</v>
      </c>
      <c r="S1348" t="s">
        <v>27</v>
      </c>
      <c r="T1348">
        <f>IF(orders[[#This Row],[Status]]="Completed",1,0)</f>
        <v>0</v>
      </c>
      <c r="U1348">
        <f>IF(orders[[#This Row],[Status]]="Pending",1,0)</f>
        <v>0</v>
      </c>
      <c r="V1348">
        <f>IF(orders[[#This Row],[Status]]="Delayed",1,0)</f>
        <v>0</v>
      </c>
      <c r="W1348">
        <f>IF(orders[[#This Row],[Status]]="Cancelled",1,0)</f>
        <v>1</v>
      </c>
    </row>
    <row r="1349" spans="1:23" x14ac:dyDescent="0.35">
      <c r="A1349" t="s">
        <v>1730</v>
      </c>
      <c r="B1349" s="1">
        <v>45733</v>
      </c>
      <c r="C1349" t="s">
        <v>774</v>
      </c>
      <c r="D1349" t="s">
        <v>51</v>
      </c>
      <c r="E1349" t="s">
        <v>92</v>
      </c>
      <c r="F1349" t="s">
        <v>23</v>
      </c>
      <c r="G1349" t="s">
        <v>24</v>
      </c>
      <c r="H1349" s="7">
        <v>4</v>
      </c>
      <c r="I1349" s="4">
        <v>17572.84</v>
      </c>
      <c r="J1349" s="23">
        <v>0.05</v>
      </c>
      <c r="K1349" s="4">
        <v>16694.2</v>
      </c>
      <c r="L1349" s="4">
        <v>13971.15</v>
      </c>
      <c r="M1349" s="4">
        <v>2723.05</v>
      </c>
      <c r="N1349" t="s">
        <v>25</v>
      </c>
      <c r="O1349" s="7">
        <v>25</v>
      </c>
      <c r="P1349" s="2">
        <v>45734.041666666664</v>
      </c>
      <c r="Q1349" t="s">
        <v>54</v>
      </c>
      <c r="R1349">
        <v>3</v>
      </c>
      <c r="S1349" t="s">
        <v>55</v>
      </c>
      <c r="T1349">
        <f>IF(orders[[#This Row],[Status]]="Completed",1,0)</f>
        <v>1</v>
      </c>
      <c r="U1349">
        <f>IF(orders[[#This Row],[Status]]="Pending",1,0)</f>
        <v>0</v>
      </c>
      <c r="V1349">
        <f>IF(orders[[#This Row],[Status]]="Delayed",1,0)</f>
        <v>0</v>
      </c>
      <c r="W1349">
        <f>IF(orders[[#This Row],[Status]]="Cancelled",1,0)</f>
        <v>0</v>
      </c>
    </row>
    <row r="1350" spans="1:23" x14ac:dyDescent="0.35">
      <c r="A1350" t="s">
        <v>1731</v>
      </c>
      <c r="B1350" s="1">
        <v>45744</v>
      </c>
      <c r="C1350" t="s">
        <v>701</v>
      </c>
      <c r="D1350" t="s">
        <v>38</v>
      </c>
      <c r="E1350" t="s">
        <v>92</v>
      </c>
      <c r="F1350" t="s">
        <v>23</v>
      </c>
      <c r="G1350" t="s">
        <v>110</v>
      </c>
      <c r="H1350" s="7">
        <v>4</v>
      </c>
      <c r="I1350" s="4">
        <v>25164.959999999999</v>
      </c>
      <c r="J1350" s="23">
        <v>0.2</v>
      </c>
      <c r="K1350" s="4">
        <v>20131.97</v>
      </c>
      <c r="L1350" s="4">
        <v>14283.49</v>
      </c>
      <c r="M1350" s="4">
        <v>5848.48</v>
      </c>
      <c r="N1350" t="s">
        <v>25</v>
      </c>
      <c r="O1350" s="7">
        <v>42</v>
      </c>
      <c r="P1350" s="2">
        <v>45745.75</v>
      </c>
      <c r="Q1350" t="s">
        <v>54</v>
      </c>
      <c r="R1350">
        <v>3</v>
      </c>
      <c r="S1350" t="s">
        <v>55</v>
      </c>
      <c r="T1350">
        <f>IF(orders[[#This Row],[Status]]="Completed",1,0)</f>
        <v>1</v>
      </c>
      <c r="U1350">
        <f>IF(orders[[#This Row],[Status]]="Pending",1,0)</f>
        <v>0</v>
      </c>
      <c r="V1350">
        <f>IF(orders[[#This Row],[Status]]="Delayed",1,0)</f>
        <v>0</v>
      </c>
      <c r="W1350">
        <f>IF(orders[[#This Row],[Status]]="Cancelled",1,0)</f>
        <v>0</v>
      </c>
    </row>
    <row r="1351" spans="1:23" x14ac:dyDescent="0.35">
      <c r="A1351" t="s">
        <v>1732</v>
      </c>
      <c r="B1351" s="1">
        <v>45774</v>
      </c>
      <c r="C1351" t="s">
        <v>277</v>
      </c>
      <c r="D1351" t="s">
        <v>58</v>
      </c>
      <c r="E1351" t="s">
        <v>113</v>
      </c>
      <c r="F1351" t="s">
        <v>23</v>
      </c>
      <c r="G1351" t="s">
        <v>136</v>
      </c>
      <c r="H1351" s="7">
        <v>7</v>
      </c>
      <c r="I1351" s="4">
        <v>59036.74</v>
      </c>
      <c r="J1351" s="23">
        <v>0.1</v>
      </c>
      <c r="K1351" s="4">
        <v>53133.07</v>
      </c>
      <c r="L1351" s="4">
        <v>35114.06</v>
      </c>
      <c r="M1351" s="4">
        <v>18019.009999999998</v>
      </c>
      <c r="N1351" t="s">
        <v>48</v>
      </c>
      <c r="O1351" s="7">
        <v>7</v>
      </c>
      <c r="P1351" s="2">
        <v>45774.291666666664</v>
      </c>
      <c r="Q1351" t="s">
        <v>26</v>
      </c>
      <c r="R1351">
        <v>4</v>
      </c>
      <c r="S1351" t="s">
        <v>27</v>
      </c>
      <c r="T1351">
        <f>IF(orders[[#This Row],[Status]]="Completed",1,0)</f>
        <v>0</v>
      </c>
      <c r="U1351">
        <f>IF(orders[[#This Row],[Status]]="Pending",1,0)</f>
        <v>0</v>
      </c>
      <c r="V1351">
        <f>IF(orders[[#This Row],[Status]]="Delayed",1,0)</f>
        <v>0</v>
      </c>
      <c r="W1351">
        <f>IF(orders[[#This Row],[Status]]="Cancelled",1,0)</f>
        <v>1</v>
      </c>
    </row>
    <row r="1352" spans="1:23" x14ac:dyDescent="0.35">
      <c r="A1352" t="s">
        <v>1733</v>
      </c>
      <c r="B1352" s="1">
        <v>46019</v>
      </c>
      <c r="C1352" t="s">
        <v>1016</v>
      </c>
      <c r="D1352" t="s">
        <v>58</v>
      </c>
      <c r="E1352" t="s">
        <v>46</v>
      </c>
      <c r="F1352" t="s">
        <v>32</v>
      </c>
      <c r="G1352" t="s">
        <v>89</v>
      </c>
      <c r="H1352" s="7">
        <v>2</v>
      </c>
      <c r="I1352" s="4">
        <v>10806.76</v>
      </c>
      <c r="J1352" s="23">
        <v>0.1</v>
      </c>
      <c r="K1352" s="4">
        <v>9726.08</v>
      </c>
      <c r="L1352" s="4">
        <v>5845.21</v>
      </c>
      <c r="M1352" s="4">
        <v>3880.87</v>
      </c>
      <c r="N1352" t="s">
        <v>25</v>
      </c>
      <c r="O1352" s="7">
        <v>33</v>
      </c>
      <c r="P1352" s="2">
        <v>46020.375</v>
      </c>
      <c r="Q1352" t="s">
        <v>34</v>
      </c>
      <c r="R1352">
        <v>12</v>
      </c>
      <c r="S1352" t="s">
        <v>35</v>
      </c>
      <c r="T1352">
        <f>IF(orders[[#This Row],[Status]]="Completed",1,0)</f>
        <v>1</v>
      </c>
      <c r="U1352">
        <f>IF(orders[[#This Row],[Status]]="Pending",1,0)</f>
        <v>0</v>
      </c>
      <c r="V1352">
        <f>IF(orders[[#This Row],[Status]]="Delayed",1,0)</f>
        <v>0</v>
      </c>
      <c r="W1352">
        <f>IF(orders[[#This Row],[Status]]="Cancelled",1,0)</f>
        <v>0</v>
      </c>
    </row>
    <row r="1353" spans="1:23" x14ac:dyDescent="0.35">
      <c r="A1353" t="s">
        <v>1734</v>
      </c>
      <c r="B1353" s="1">
        <v>45999</v>
      </c>
      <c r="C1353" t="s">
        <v>361</v>
      </c>
      <c r="D1353" t="s">
        <v>21</v>
      </c>
      <c r="E1353" t="s">
        <v>52</v>
      </c>
      <c r="F1353" t="s">
        <v>32</v>
      </c>
      <c r="G1353" t="s">
        <v>79</v>
      </c>
      <c r="H1353" s="7">
        <v>2</v>
      </c>
      <c r="I1353" s="4">
        <v>6483.9</v>
      </c>
      <c r="J1353" s="23">
        <v>0.25</v>
      </c>
      <c r="K1353" s="4">
        <v>4862.92</v>
      </c>
      <c r="L1353" s="4">
        <v>3317.03</v>
      </c>
      <c r="M1353" s="4">
        <v>1545.89</v>
      </c>
      <c r="N1353" t="s">
        <v>25</v>
      </c>
      <c r="O1353" s="7">
        <v>21</v>
      </c>
      <c r="P1353" s="2">
        <v>45999.875</v>
      </c>
      <c r="Q1353" t="s">
        <v>34</v>
      </c>
      <c r="R1353">
        <v>12</v>
      </c>
      <c r="S1353" t="s">
        <v>35</v>
      </c>
      <c r="T1353">
        <f>IF(orders[[#This Row],[Status]]="Completed",1,0)</f>
        <v>1</v>
      </c>
      <c r="U1353">
        <f>IF(orders[[#This Row],[Status]]="Pending",1,0)</f>
        <v>0</v>
      </c>
      <c r="V1353">
        <f>IF(orders[[#This Row],[Status]]="Delayed",1,0)</f>
        <v>0</v>
      </c>
      <c r="W1353">
        <f>IF(orders[[#This Row],[Status]]="Cancelled",1,0)</f>
        <v>0</v>
      </c>
    </row>
    <row r="1354" spans="1:23" x14ac:dyDescent="0.35">
      <c r="A1354" t="s">
        <v>1735</v>
      </c>
      <c r="B1354" s="1">
        <v>45684</v>
      </c>
      <c r="C1354" t="s">
        <v>163</v>
      </c>
      <c r="D1354" t="s">
        <v>45</v>
      </c>
      <c r="E1354" t="s">
        <v>113</v>
      </c>
      <c r="F1354" t="s">
        <v>39</v>
      </c>
      <c r="G1354" t="s">
        <v>93</v>
      </c>
      <c r="H1354" s="7">
        <v>2</v>
      </c>
      <c r="I1354" s="4">
        <v>4076.74</v>
      </c>
      <c r="J1354" s="23">
        <v>0.15</v>
      </c>
      <c r="K1354" s="4">
        <v>3465.23</v>
      </c>
      <c r="L1354" s="4">
        <v>2324.9699999999998</v>
      </c>
      <c r="M1354" s="4">
        <v>1140.26</v>
      </c>
      <c r="N1354" t="s">
        <v>25</v>
      </c>
      <c r="O1354" s="7">
        <v>45</v>
      </c>
      <c r="P1354" s="2">
        <v>45685.875</v>
      </c>
      <c r="Q1354" t="s">
        <v>65</v>
      </c>
      <c r="R1354">
        <v>1</v>
      </c>
      <c r="S1354" t="s">
        <v>55</v>
      </c>
      <c r="T1354">
        <f>IF(orders[[#This Row],[Status]]="Completed",1,0)</f>
        <v>1</v>
      </c>
      <c r="U1354">
        <f>IF(orders[[#This Row],[Status]]="Pending",1,0)</f>
        <v>0</v>
      </c>
      <c r="V1354">
        <f>IF(orders[[#This Row],[Status]]="Delayed",1,0)</f>
        <v>0</v>
      </c>
      <c r="W1354">
        <f>IF(orders[[#This Row],[Status]]="Cancelled",1,0)</f>
        <v>0</v>
      </c>
    </row>
    <row r="1355" spans="1:23" x14ac:dyDescent="0.35">
      <c r="A1355" t="s">
        <v>1736</v>
      </c>
      <c r="B1355" s="1">
        <v>45970</v>
      </c>
      <c r="C1355" t="s">
        <v>722</v>
      </c>
      <c r="D1355" t="s">
        <v>149</v>
      </c>
      <c r="E1355" t="s">
        <v>78</v>
      </c>
      <c r="F1355" t="s">
        <v>83</v>
      </c>
      <c r="G1355" t="s">
        <v>107</v>
      </c>
      <c r="H1355" s="7">
        <v>7</v>
      </c>
      <c r="I1355" s="4">
        <v>52066.91</v>
      </c>
      <c r="J1355" s="23">
        <v>0.05</v>
      </c>
      <c r="K1355" s="4">
        <v>49463.56</v>
      </c>
      <c r="L1355" s="4">
        <v>36338.879999999997</v>
      </c>
      <c r="M1355" s="4">
        <v>13124.68</v>
      </c>
      <c r="N1355" t="s">
        <v>98</v>
      </c>
      <c r="O1355" s="7">
        <v>15</v>
      </c>
      <c r="P1355" s="2">
        <v>45970.625</v>
      </c>
      <c r="Q1355" t="s">
        <v>86</v>
      </c>
      <c r="R1355">
        <v>11</v>
      </c>
      <c r="S1355" t="s">
        <v>35</v>
      </c>
      <c r="T1355">
        <f>IF(orders[[#This Row],[Status]]="Completed",1,0)</f>
        <v>0</v>
      </c>
      <c r="U1355">
        <f>IF(orders[[#This Row],[Status]]="Pending",1,0)</f>
        <v>1</v>
      </c>
      <c r="V1355">
        <f>IF(orders[[#This Row],[Status]]="Delayed",1,0)</f>
        <v>0</v>
      </c>
      <c r="W1355">
        <f>IF(orders[[#This Row],[Status]]="Cancelled",1,0)</f>
        <v>0</v>
      </c>
    </row>
    <row r="1356" spans="1:23" x14ac:dyDescent="0.35">
      <c r="A1356" t="s">
        <v>1737</v>
      </c>
      <c r="B1356" s="1">
        <v>45944</v>
      </c>
      <c r="C1356" t="s">
        <v>422</v>
      </c>
      <c r="D1356" t="s">
        <v>77</v>
      </c>
      <c r="E1356" t="s">
        <v>22</v>
      </c>
      <c r="F1356" t="s">
        <v>83</v>
      </c>
      <c r="G1356" t="s">
        <v>107</v>
      </c>
      <c r="H1356" s="7">
        <v>6</v>
      </c>
      <c r="I1356" s="4">
        <v>41709.72</v>
      </c>
      <c r="J1356" s="23">
        <v>0</v>
      </c>
      <c r="K1356" s="4">
        <v>41709.72</v>
      </c>
      <c r="L1356" s="4">
        <v>32100.560000000001</v>
      </c>
      <c r="M1356" s="4">
        <v>9609.16</v>
      </c>
      <c r="N1356" t="s">
        <v>25</v>
      </c>
      <c r="O1356" s="7">
        <v>13</v>
      </c>
      <c r="P1356" s="2">
        <v>45944.541666666664</v>
      </c>
      <c r="Q1356" t="s">
        <v>116</v>
      </c>
      <c r="R1356">
        <v>10</v>
      </c>
      <c r="S1356" t="s">
        <v>35</v>
      </c>
      <c r="T1356">
        <f>IF(orders[[#This Row],[Status]]="Completed",1,0)</f>
        <v>1</v>
      </c>
      <c r="U1356">
        <f>IF(orders[[#This Row],[Status]]="Pending",1,0)</f>
        <v>0</v>
      </c>
      <c r="V1356">
        <f>IF(orders[[#This Row],[Status]]="Delayed",1,0)</f>
        <v>0</v>
      </c>
      <c r="W1356">
        <f>IF(orders[[#This Row],[Status]]="Cancelled",1,0)</f>
        <v>0</v>
      </c>
    </row>
    <row r="1357" spans="1:23" x14ac:dyDescent="0.35">
      <c r="A1357" t="s">
        <v>1738</v>
      </c>
      <c r="B1357" s="1">
        <v>45791</v>
      </c>
      <c r="C1357" t="s">
        <v>169</v>
      </c>
      <c r="D1357" t="s">
        <v>38</v>
      </c>
      <c r="E1357" t="s">
        <v>31</v>
      </c>
      <c r="F1357" t="s">
        <v>39</v>
      </c>
      <c r="G1357" t="s">
        <v>188</v>
      </c>
      <c r="H1357" s="7">
        <v>4</v>
      </c>
      <c r="I1357" s="4">
        <v>8413.0400000000009</v>
      </c>
      <c r="J1357" s="23">
        <v>0.1</v>
      </c>
      <c r="K1357" s="4">
        <v>7571.74</v>
      </c>
      <c r="L1357" s="4">
        <v>6608.97</v>
      </c>
      <c r="M1357" s="4">
        <v>962.77</v>
      </c>
      <c r="N1357" t="s">
        <v>48</v>
      </c>
      <c r="O1357" s="7">
        <v>8</v>
      </c>
      <c r="P1357" s="2">
        <v>45791.333333333336</v>
      </c>
      <c r="Q1357" t="s">
        <v>74</v>
      </c>
      <c r="R1357">
        <v>5</v>
      </c>
      <c r="S1357" t="s">
        <v>27</v>
      </c>
      <c r="T1357">
        <f>IF(orders[[#This Row],[Status]]="Completed",1,0)</f>
        <v>0</v>
      </c>
      <c r="U1357">
        <f>IF(orders[[#This Row],[Status]]="Pending",1,0)</f>
        <v>0</v>
      </c>
      <c r="V1357">
        <f>IF(orders[[#This Row],[Status]]="Delayed",1,0)</f>
        <v>0</v>
      </c>
      <c r="W1357">
        <f>IF(orders[[#This Row],[Status]]="Cancelled",1,0)</f>
        <v>1</v>
      </c>
    </row>
    <row r="1358" spans="1:23" x14ac:dyDescent="0.35">
      <c r="A1358" t="s">
        <v>1739</v>
      </c>
      <c r="B1358" s="1">
        <v>45876</v>
      </c>
      <c r="C1358" t="s">
        <v>272</v>
      </c>
      <c r="D1358" t="s">
        <v>58</v>
      </c>
      <c r="E1358" t="s">
        <v>22</v>
      </c>
      <c r="F1358" t="s">
        <v>39</v>
      </c>
      <c r="G1358" t="s">
        <v>114</v>
      </c>
      <c r="H1358" s="7">
        <v>2</v>
      </c>
      <c r="I1358" s="4">
        <v>3650.56</v>
      </c>
      <c r="J1358" s="23">
        <v>0.15</v>
      </c>
      <c r="K1358" s="4">
        <v>3102.98</v>
      </c>
      <c r="L1358" s="4">
        <v>2452.4899999999998</v>
      </c>
      <c r="M1358" s="4">
        <v>650.49</v>
      </c>
      <c r="N1358" t="s">
        <v>98</v>
      </c>
      <c r="O1358" s="7">
        <v>15</v>
      </c>
      <c r="P1358" s="2">
        <v>45876.625</v>
      </c>
      <c r="Q1358" t="s">
        <v>80</v>
      </c>
      <c r="R1358">
        <v>8</v>
      </c>
      <c r="S1358" t="s">
        <v>42</v>
      </c>
      <c r="T1358">
        <f>IF(orders[[#This Row],[Status]]="Completed",1,0)</f>
        <v>0</v>
      </c>
      <c r="U1358">
        <f>IF(orders[[#This Row],[Status]]="Pending",1,0)</f>
        <v>1</v>
      </c>
      <c r="V1358">
        <f>IF(orders[[#This Row],[Status]]="Delayed",1,0)</f>
        <v>0</v>
      </c>
      <c r="W1358">
        <f>IF(orders[[#This Row],[Status]]="Cancelled",1,0)</f>
        <v>0</v>
      </c>
    </row>
    <row r="1359" spans="1:23" x14ac:dyDescent="0.35">
      <c r="A1359" t="s">
        <v>1740</v>
      </c>
      <c r="B1359" s="1">
        <v>45825</v>
      </c>
      <c r="C1359" t="s">
        <v>171</v>
      </c>
      <c r="D1359" t="s">
        <v>63</v>
      </c>
      <c r="E1359" t="s">
        <v>22</v>
      </c>
      <c r="F1359" t="s">
        <v>23</v>
      </c>
      <c r="G1359" t="s">
        <v>69</v>
      </c>
      <c r="H1359" s="7">
        <v>1</v>
      </c>
      <c r="I1359" s="4">
        <v>6121.39</v>
      </c>
      <c r="J1359" s="23">
        <v>0.1</v>
      </c>
      <c r="K1359" s="4">
        <v>5509.25</v>
      </c>
      <c r="L1359" s="4">
        <v>4200.46</v>
      </c>
      <c r="M1359" s="4">
        <v>1308.79</v>
      </c>
      <c r="N1359" t="s">
        <v>85</v>
      </c>
      <c r="O1359" s="7">
        <v>79</v>
      </c>
      <c r="P1359" s="2">
        <v>45828.291666666664</v>
      </c>
      <c r="Q1359" t="s">
        <v>99</v>
      </c>
      <c r="R1359">
        <v>6</v>
      </c>
      <c r="S1359" t="s">
        <v>27</v>
      </c>
      <c r="T1359">
        <f>IF(orders[[#This Row],[Status]]="Completed",1,0)</f>
        <v>0</v>
      </c>
      <c r="U1359">
        <f>IF(orders[[#This Row],[Status]]="Pending",1,0)</f>
        <v>0</v>
      </c>
      <c r="V1359">
        <f>IF(orders[[#This Row],[Status]]="Delayed",1,0)</f>
        <v>1</v>
      </c>
      <c r="W1359">
        <f>IF(orders[[#This Row],[Status]]="Cancelled",1,0)</f>
        <v>0</v>
      </c>
    </row>
    <row r="1360" spans="1:23" x14ac:dyDescent="0.35">
      <c r="A1360" t="s">
        <v>1741</v>
      </c>
      <c r="B1360" s="1">
        <v>45755</v>
      </c>
      <c r="C1360" t="s">
        <v>229</v>
      </c>
      <c r="D1360" t="s">
        <v>30</v>
      </c>
      <c r="E1360" t="s">
        <v>22</v>
      </c>
      <c r="F1360" t="s">
        <v>39</v>
      </c>
      <c r="G1360" t="s">
        <v>114</v>
      </c>
      <c r="H1360" s="7">
        <v>4</v>
      </c>
      <c r="I1360" s="4">
        <v>11119.4</v>
      </c>
      <c r="J1360" s="23">
        <v>0.25</v>
      </c>
      <c r="K1360" s="4">
        <v>8339.5499999999993</v>
      </c>
      <c r="L1360" s="4">
        <v>5508.94</v>
      </c>
      <c r="M1360" s="4">
        <v>2830.61</v>
      </c>
      <c r="N1360" t="s">
        <v>25</v>
      </c>
      <c r="O1360" s="7">
        <v>10</v>
      </c>
      <c r="P1360" s="2">
        <v>45755.416666666664</v>
      </c>
      <c r="Q1360" t="s">
        <v>26</v>
      </c>
      <c r="R1360">
        <v>4</v>
      </c>
      <c r="S1360" t="s">
        <v>27</v>
      </c>
      <c r="T1360">
        <f>IF(orders[[#This Row],[Status]]="Completed",1,0)</f>
        <v>1</v>
      </c>
      <c r="U1360">
        <f>IF(orders[[#This Row],[Status]]="Pending",1,0)</f>
        <v>0</v>
      </c>
      <c r="V1360">
        <f>IF(orders[[#This Row],[Status]]="Delayed",1,0)</f>
        <v>0</v>
      </c>
      <c r="W1360">
        <f>IF(orders[[#This Row],[Status]]="Cancelled",1,0)</f>
        <v>0</v>
      </c>
    </row>
    <row r="1361" spans="1:23" x14ac:dyDescent="0.35">
      <c r="A1361" t="s">
        <v>1742</v>
      </c>
      <c r="B1361" s="1">
        <v>45925</v>
      </c>
      <c r="C1361" t="s">
        <v>418</v>
      </c>
      <c r="D1361" t="s">
        <v>51</v>
      </c>
      <c r="E1361" t="s">
        <v>22</v>
      </c>
      <c r="F1361" t="s">
        <v>72</v>
      </c>
      <c r="G1361" t="s">
        <v>129</v>
      </c>
      <c r="H1361" s="7">
        <v>7</v>
      </c>
      <c r="I1361" s="4">
        <v>18959.009999999998</v>
      </c>
      <c r="J1361" s="23">
        <v>0.2</v>
      </c>
      <c r="K1361" s="4">
        <v>15167.21</v>
      </c>
      <c r="L1361" s="4">
        <v>8514.66</v>
      </c>
      <c r="M1361" s="4">
        <v>6652.55</v>
      </c>
      <c r="N1361" t="s">
        <v>98</v>
      </c>
      <c r="O1361" s="7">
        <v>9</v>
      </c>
      <c r="P1361" s="2">
        <v>45925.375</v>
      </c>
      <c r="Q1361" t="s">
        <v>41</v>
      </c>
      <c r="R1361">
        <v>9</v>
      </c>
      <c r="S1361" t="s">
        <v>42</v>
      </c>
      <c r="T1361">
        <f>IF(orders[[#This Row],[Status]]="Completed",1,0)</f>
        <v>0</v>
      </c>
      <c r="U1361">
        <f>IF(orders[[#This Row],[Status]]="Pending",1,0)</f>
        <v>1</v>
      </c>
      <c r="V1361">
        <f>IF(orders[[#This Row],[Status]]="Delayed",1,0)</f>
        <v>0</v>
      </c>
      <c r="W1361">
        <f>IF(orders[[#This Row],[Status]]="Cancelled",1,0)</f>
        <v>0</v>
      </c>
    </row>
    <row r="1362" spans="1:23" x14ac:dyDescent="0.35">
      <c r="A1362" t="s">
        <v>1743</v>
      </c>
      <c r="B1362" s="1">
        <v>45894</v>
      </c>
      <c r="C1362" t="s">
        <v>194</v>
      </c>
      <c r="D1362" t="s">
        <v>45</v>
      </c>
      <c r="E1362" t="s">
        <v>92</v>
      </c>
      <c r="F1362" t="s">
        <v>83</v>
      </c>
      <c r="G1362" t="s">
        <v>155</v>
      </c>
      <c r="H1362" s="7">
        <v>6</v>
      </c>
      <c r="I1362" s="4">
        <v>8529.7199999999993</v>
      </c>
      <c r="J1362" s="23">
        <v>0.05</v>
      </c>
      <c r="K1362" s="4">
        <v>8103.23</v>
      </c>
      <c r="L1362" s="4">
        <v>5227.24</v>
      </c>
      <c r="M1362" s="4">
        <v>2875.99</v>
      </c>
      <c r="N1362" t="s">
        <v>98</v>
      </c>
      <c r="O1362" s="7">
        <v>18</v>
      </c>
      <c r="P1362" s="2">
        <v>45894.75</v>
      </c>
      <c r="Q1362" t="s">
        <v>80</v>
      </c>
      <c r="R1362">
        <v>8</v>
      </c>
      <c r="S1362" t="s">
        <v>42</v>
      </c>
      <c r="T1362">
        <f>IF(orders[[#This Row],[Status]]="Completed",1,0)</f>
        <v>0</v>
      </c>
      <c r="U1362">
        <f>IF(orders[[#This Row],[Status]]="Pending",1,0)</f>
        <v>1</v>
      </c>
      <c r="V1362">
        <f>IF(orders[[#This Row],[Status]]="Delayed",1,0)</f>
        <v>0</v>
      </c>
      <c r="W1362">
        <f>IF(orders[[#This Row],[Status]]="Cancelled",1,0)</f>
        <v>0</v>
      </c>
    </row>
    <row r="1363" spans="1:23" x14ac:dyDescent="0.35">
      <c r="A1363" t="s">
        <v>1744</v>
      </c>
      <c r="B1363" s="1">
        <v>45966</v>
      </c>
      <c r="C1363" t="s">
        <v>375</v>
      </c>
      <c r="D1363" t="s">
        <v>63</v>
      </c>
      <c r="E1363" t="s">
        <v>22</v>
      </c>
      <c r="F1363" t="s">
        <v>39</v>
      </c>
      <c r="G1363" t="s">
        <v>40</v>
      </c>
      <c r="H1363" s="7">
        <v>1</v>
      </c>
      <c r="I1363" s="4">
        <v>2354.1999999999998</v>
      </c>
      <c r="J1363" s="23">
        <v>0</v>
      </c>
      <c r="K1363" s="4">
        <v>2354.1999999999998</v>
      </c>
      <c r="L1363" s="4">
        <v>1891.81</v>
      </c>
      <c r="M1363" s="4">
        <v>462.39</v>
      </c>
      <c r="N1363" t="s">
        <v>25</v>
      </c>
      <c r="O1363" s="7">
        <v>4</v>
      </c>
      <c r="P1363" s="2">
        <v>45966.166666666664</v>
      </c>
      <c r="Q1363" t="s">
        <v>86</v>
      </c>
      <c r="R1363">
        <v>11</v>
      </c>
      <c r="S1363" t="s">
        <v>35</v>
      </c>
      <c r="T1363">
        <f>IF(orders[[#This Row],[Status]]="Completed",1,0)</f>
        <v>1</v>
      </c>
      <c r="U1363">
        <f>IF(orders[[#This Row],[Status]]="Pending",1,0)</f>
        <v>0</v>
      </c>
      <c r="V1363">
        <f>IF(orders[[#This Row],[Status]]="Delayed",1,0)</f>
        <v>0</v>
      </c>
      <c r="W1363">
        <f>IF(orders[[#This Row],[Status]]="Cancelled",1,0)</f>
        <v>0</v>
      </c>
    </row>
    <row r="1364" spans="1:23" x14ac:dyDescent="0.35">
      <c r="A1364" t="s">
        <v>1745</v>
      </c>
      <c r="B1364" s="1">
        <v>45830</v>
      </c>
      <c r="C1364" t="s">
        <v>231</v>
      </c>
      <c r="D1364" t="s">
        <v>45</v>
      </c>
      <c r="E1364" t="s">
        <v>31</v>
      </c>
      <c r="F1364" t="s">
        <v>72</v>
      </c>
      <c r="G1364" t="s">
        <v>129</v>
      </c>
      <c r="H1364" s="7">
        <v>7</v>
      </c>
      <c r="I1364" s="4">
        <v>26037.83</v>
      </c>
      <c r="J1364" s="23">
        <v>0.1</v>
      </c>
      <c r="K1364" s="4">
        <v>23434.05</v>
      </c>
      <c r="L1364" s="4">
        <v>14476.14</v>
      </c>
      <c r="M1364" s="4">
        <v>8957.91</v>
      </c>
      <c r="N1364" t="s">
        <v>25</v>
      </c>
      <c r="O1364" s="7">
        <v>21</v>
      </c>
      <c r="P1364" s="2">
        <v>45830.875</v>
      </c>
      <c r="Q1364" t="s">
        <v>99</v>
      </c>
      <c r="R1364">
        <v>6</v>
      </c>
      <c r="S1364" t="s">
        <v>27</v>
      </c>
      <c r="T1364">
        <f>IF(orders[[#This Row],[Status]]="Completed",1,0)</f>
        <v>1</v>
      </c>
      <c r="U1364">
        <f>IF(orders[[#This Row],[Status]]="Pending",1,0)</f>
        <v>0</v>
      </c>
      <c r="V1364">
        <f>IF(orders[[#This Row],[Status]]="Delayed",1,0)</f>
        <v>0</v>
      </c>
      <c r="W1364">
        <f>IF(orders[[#This Row],[Status]]="Cancelled",1,0)</f>
        <v>0</v>
      </c>
    </row>
    <row r="1365" spans="1:23" x14ac:dyDescent="0.35">
      <c r="A1365" t="s">
        <v>1746</v>
      </c>
      <c r="B1365" s="1">
        <v>45847</v>
      </c>
      <c r="C1365" t="s">
        <v>112</v>
      </c>
      <c r="D1365" t="s">
        <v>21</v>
      </c>
      <c r="E1365" t="s">
        <v>22</v>
      </c>
      <c r="F1365" t="s">
        <v>72</v>
      </c>
      <c r="G1365" t="s">
        <v>129</v>
      </c>
      <c r="H1365" s="7">
        <v>3</v>
      </c>
      <c r="I1365" s="4">
        <v>18807.599999999999</v>
      </c>
      <c r="J1365" s="23">
        <v>0.1</v>
      </c>
      <c r="K1365" s="4">
        <v>16926.84</v>
      </c>
      <c r="L1365" s="4">
        <v>13287.94</v>
      </c>
      <c r="M1365" s="4">
        <v>3638.9</v>
      </c>
      <c r="N1365" t="s">
        <v>98</v>
      </c>
      <c r="O1365" s="7">
        <v>14</v>
      </c>
      <c r="P1365" s="2">
        <v>45847.583333333336</v>
      </c>
      <c r="Q1365" t="s">
        <v>60</v>
      </c>
      <c r="R1365">
        <v>7</v>
      </c>
      <c r="S1365" t="s">
        <v>42</v>
      </c>
      <c r="T1365">
        <f>IF(orders[[#This Row],[Status]]="Completed",1,0)</f>
        <v>0</v>
      </c>
      <c r="U1365">
        <f>IF(orders[[#This Row],[Status]]="Pending",1,0)</f>
        <v>1</v>
      </c>
      <c r="V1365">
        <f>IF(orders[[#This Row],[Status]]="Delayed",1,0)</f>
        <v>0</v>
      </c>
      <c r="W1365">
        <f>IF(orders[[#This Row],[Status]]="Cancelled",1,0)</f>
        <v>0</v>
      </c>
    </row>
    <row r="1366" spans="1:23" x14ac:dyDescent="0.35">
      <c r="A1366" t="s">
        <v>1747</v>
      </c>
      <c r="B1366" s="1">
        <v>45779</v>
      </c>
      <c r="C1366" t="s">
        <v>304</v>
      </c>
      <c r="D1366" t="s">
        <v>77</v>
      </c>
      <c r="E1366" t="s">
        <v>113</v>
      </c>
      <c r="F1366" t="s">
        <v>72</v>
      </c>
      <c r="G1366" t="s">
        <v>119</v>
      </c>
      <c r="H1366" s="7">
        <v>4</v>
      </c>
      <c r="I1366" s="4">
        <v>11832.68</v>
      </c>
      <c r="J1366" s="23">
        <v>0.1</v>
      </c>
      <c r="K1366" s="4">
        <v>10649.41</v>
      </c>
      <c r="L1366" s="4">
        <v>7894.7</v>
      </c>
      <c r="M1366" s="4">
        <v>2754.71</v>
      </c>
      <c r="N1366" t="s">
        <v>25</v>
      </c>
      <c r="O1366" s="7">
        <v>28</v>
      </c>
      <c r="P1366" s="2">
        <v>45780.166666666664</v>
      </c>
      <c r="Q1366" t="s">
        <v>74</v>
      </c>
      <c r="R1366">
        <v>5</v>
      </c>
      <c r="S1366" t="s">
        <v>27</v>
      </c>
      <c r="T1366">
        <f>IF(orders[[#This Row],[Status]]="Completed",1,0)</f>
        <v>1</v>
      </c>
      <c r="U1366">
        <f>IF(orders[[#This Row],[Status]]="Pending",1,0)</f>
        <v>0</v>
      </c>
      <c r="V1366">
        <f>IF(orders[[#This Row],[Status]]="Delayed",1,0)</f>
        <v>0</v>
      </c>
      <c r="W1366">
        <f>IF(orders[[#This Row],[Status]]="Cancelled",1,0)</f>
        <v>0</v>
      </c>
    </row>
    <row r="1367" spans="1:23" x14ac:dyDescent="0.35">
      <c r="A1367" t="s">
        <v>1748</v>
      </c>
      <c r="B1367" s="1">
        <v>45703</v>
      </c>
      <c r="C1367" t="s">
        <v>770</v>
      </c>
      <c r="D1367" t="s">
        <v>58</v>
      </c>
      <c r="E1367" t="s">
        <v>92</v>
      </c>
      <c r="F1367" t="s">
        <v>72</v>
      </c>
      <c r="G1367" t="s">
        <v>146</v>
      </c>
      <c r="H1367" s="7">
        <v>3</v>
      </c>
      <c r="I1367" s="4">
        <v>8681.5499999999993</v>
      </c>
      <c r="J1367" s="23">
        <v>0.1</v>
      </c>
      <c r="K1367" s="4">
        <v>7813.4</v>
      </c>
      <c r="L1367" s="4">
        <v>4740.49</v>
      </c>
      <c r="M1367" s="4">
        <v>3072.91</v>
      </c>
      <c r="N1367" t="s">
        <v>25</v>
      </c>
      <c r="O1367" s="7">
        <v>43</v>
      </c>
      <c r="P1367" s="2">
        <v>45704.791666666664</v>
      </c>
      <c r="Q1367" t="s">
        <v>139</v>
      </c>
      <c r="R1367">
        <v>2</v>
      </c>
      <c r="S1367" t="s">
        <v>55</v>
      </c>
      <c r="T1367">
        <f>IF(orders[[#This Row],[Status]]="Completed",1,0)</f>
        <v>1</v>
      </c>
      <c r="U1367">
        <f>IF(orders[[#This Row],[Status]]="Pending",1,0)</f>
        <v>0</v>
      </c>
      <c r="V1367">
        <f>IF(orders[[#This Row],[Status]]="Delayed",1,0)</f>
        <v>0</v>
      </c>
      <c r="W1367">
        <f>IF(orders[[#This Row],[Status]]="Cancelled",1,0)</f>
        <v>0</v>
      </c>
    </row>
    <row r="1368" spans="1:23" x14ac:dyDescent="0.35">
      <c r="A1368" t="s">
        <v>1749</v>
      </c>
      <c r="B1368" s="1">
        <v>45721</v>
      </c>
      <c r="C1368" t="s">
        <v>1074</v>
      </c>
      <c r="D1368" t="s">
        <v>30</v>
      </c>
      <c r="E1368" t="s">
        <v>78</v>
      </c>
      <c r="F1368" t="s">
        <v>23</v>
      </c>
      <c r="G1368" t="s">
        <v>110</v>
      </c>
      <c r="H1368" s="7">
        <v>7</v>
      </c>
      <c r="I1368" s="4">
        <v>17703.21</v>
      </c>
      <c r="J1368" s="23">
        <v>0.1</v>
      </c>
      <c r="K1368" s="4">
        <v>15932.89</v>
      </c>
      <c r="L1368" s="4">
        <v>10138.67</v>
      </c>
      <c r="M1368" s="4">
        <v>5794.22</v>
      </c>
      <c r="N1368" t="s">
        <v>25</v>
      </c>
      <c r="O1368" s="7">
        <v>11</v>
      </c>
      <c r="P1368" s="2">
        <v>45721.458333333336</v>
      </c>
      <c r="Q1368" t="s">
        <v>54</v>
      </c>
      <c r="R1368">
        <v>3</v>
      </c>
      <c r="S1368" t="s">
        <v>55</v>
      </c>
      <c r="T1368">
        <f>IF(orders[[#This Row],[Status]]="Completed",1,0)</f>
        <v>1</v>
      </c>
      <c r="U1368">
        <f>IF(orders[[#This Row],[Status]]="Pending",1,0)</f>
        <v>0</v>
      </c>
      <c r="V1368">
        <f>IF(orders[[#This Row],[Status]]="Delayed",1,0)</f>
        <v>0</v>
      </c>
      <c r="W1368">
        <f>IF(orders[[#This Row],[Status]]="Cancelled",1,0)</f>
        <v>0</v>
      </c>
    </row>
    <row r="1369" spans="1:23" x14ac:dyDescent="0.35">
      <c r="A1369" t="s">
        <v>1750</v>
      </c>
      <c r="B1369" s="1">
        <v>45787</v>
      </c>
      <c r="C1369" t="s">
        <v>101</v>
      </c>
      <c r="D1369" t="s">
        <v>63</v>
      </c>
      <c r="E1369" t="s">
        <v>113</v>
      </c>
      <c r="F1369" t="s">
        <v>72</v>
      </c>
      <c r="G1369" t="s">
        <v>146</v>
      </c>
      <c r="H1369" s="7">
        <v>7</v>
      </c>
      <c r="I1369" s="4">
        <v>29005.69</v>
      </c>
      <c r="J1369" s="23">
        <v>0.05</v>
      </c>
      <c r="K1369" s="4">
        <v>27555.41</v>
      </c>
      <c r="L1369" s="4">
        <v>19668.509999999998</v>
      </c>
      <c r="M1369" s="4">
        <v>7886.9</v>
      </c>
      <c r="N1369" t="s">
        <v>48</v>
      </c>
      <c r="O1369" s="7">
        <v>15</v>
      </c>
      <c r="P1369" s="2">
        <v>45787.625</v>
      </c>
      <c r="Q1369" t="s">
        <v>74</v>
      </c>
      <c r="R1369">
        <v>5</v>
      </c>
      <c r="S1369" t="s">
        <v>27</v>
      </c>
      <c r="T1369">
        <f>IF(orders[[#This Row],[Status]]="Completed",1,0)</f>
        <v>0</v>
      </c>
      <c r="U1369">
        <f>IF(orders[[#This Row],[Status]]="Pending",1,0)</f>
        <v>0</v>
      </c>
      <c r="V1369">
        <f>IF(orders[[#This Row],[Status]]="Delayed",1,0)</f>
        <v>0</v>
      </c>
      <c r="W1369">
        <f>IF(orders[[#This Row],[Status]]="Cancelled",1,0)</f>
        <v>1</v>
      </c>
    </row>
    <row r="1370" spans="1:23" x14ac:dyDescent="0.35">
      <c r="A1370" t="s">
        <v>1751</v>
      </c>
      <c r="B1370" s="1">
        <v>45967</v>
      </c>
      <c r="C1370" t="s">
        <v>490</v>
      </c>
      <c r="D1370" t="s">
        <v>45</v>
      </c>
      <c r="E1370" t="s">
        <v>78</v>
      </c>
      <c r="F1370" t="s">
        <v>23</v>
      </c>
      <c r="G1370" t="s">
        <v>122</v>
      </c>
      <c r="H1370" s="7">
        <v>7</v>
      </c>
      <c r="I1370" s="4">
        <v>11608.24</v>
      </c>
      <c r="J1370" s="23">
        <v>0.05</v>
      </c>
      <c r="K1370" s="4">
        <v>11027.83</v>
      </c>
      <c r="L1370" s="4">
        <v>7587.85</v>
      </c>
      <c r="M1370" s="4">
        <v>3439.98</v>
      </c>
      <c r="N1370" t="s">
        <v>48</v>
      </c>
      <c r="O1370" s="7">
        <v>20</v>
      </c>
      <c r="P1370" s="2">
        <v>45967.833333333336</v>
      </c>
      <c r="Q1370" t="s">
        <v>86</v>
      </c>
      <c r="R1370">
        <v>11</v>
      </c>
      <c r="S1370" t="s">
        <v>35</v>
      </c>
      <c r="T1370">
        <f>IF(orders[[#This Row],[Status]]="Completed",1,0)</f>
        <v>0</v>
      </c>
      <c r="U1370">
        <f>IF(orders[[#This Row],[Status]]="Pending",1,0)</f>
        <v>0</v>
      </c>
      <c r="V1370">
        <f>IF(orders[[#This Row],[Status]]="Delayed",1,0)</f>
        <v>0</v>
      </c>
      <c r="W1370">
        <f>IF(orders[[#This Row],[Status]]="Cancelled",1,0)</f>
        <v>1</v>
      </c>
    </row>
    <row r="1371" spans="1:23" x14ac:dyDescent="0.35">
      <c r="A1371" t="s">
        <v>1752</v>
      </c>
      <c r="B1371" s="1">
        <v>46020</v>
      </c>
      <c r="C1371" t="s">
        <v>627</v>
      </c>
      <c r="D1371" t="s">
        <v>149</v>
      </c>
      <c r="E1371" t="s">
        <v>92</v>
      </c>
      <c r="F1371" t="s">
        <v>23</v>
      </c>
      <c r="G1371" t="s">
        <v>69</v>
      </c>
      <c r="H1371" s="7">
        <v>2</v>
      </c>
      <c r="I1371" s="4">
        <v>8410.0400000000009</v>
      </c>
      <c r="J1371" s="23">
        <v>0.1</v>
      </c>
      <c r="K1371" s="4">
        <v>7569.04</v>
      </c>
      <c r="L1371" s="4">
        <v>6107.66</v>
      </c>
      <c r="M1371" s="4">
        <v>1461.38</v>
      </c>
      <c r="N1371" t="s">
        <v>85</v>
      </c>
      <c r="O1371" s="7">
        <v>88</v>
      </c>
      <c r="P1371" s="2">
        <v>46023.666666666664</v>
      </c>
      <c r="Q1371" t="s">
        <v>34</v>
      </c>
      <c r="R1371">
        <v>12</v>
      </c>
      <c r="S1371" t="s">
        <v>35</v>
      </c>
      <c r="T1371">
        <f>IF(orders[[#This Row],[Status]]="Completed",1,0)</f>
        <v>0</v>
      </c>
      <c r="U1371">
        <f>IF(orders[[#This Row],[Status]]="Pending",1,0)</f>
        <v>0</v>
      </c>
      <c r="V1371">
        <f>IF(orders[[#This Row],[Status]]="Delayed",1,0)</f>
        <v>1</v>
      </c>
      <c r="W1371">
        <f>IF(orders[[#This Row],[Status]]="Cancelled",1,0)</f>
        <v>0</v>
      </c>
    </row>
    <row r="1372" spans="1:23" x14ac:dyDescent="0.35">
      <c r="A1372" t="s">
        <v>1753</v>
      </c>
      <c r="B1372" s="1">
        <v>45850</v>
      </c>
      <c r="C1372" t="s">
        <v>673</v>
      </c>
      <c r="D1372" t="s">
        <v>21</v>
      </c>
      <c r="E1372" t="s">
        <v>113</v>
      </c>
      <c r="F1372" t="s">
        <v>72</v>
      </c>
      <c r="G1372" t="s">
        <v>119</v>
      </c>
      <c r="H1372" s="7">
        <v>6</v>
      </c>
      <c r="I1372" s="4">
        <v>36179.22</v>
      </c>
      <c r="J1372" s="23">
        <v>0</v>
      </c>
      <c r="K1372" s="4">
        <v>36179.22</v>
      </c>
      <c r="L1372" s="4">
        <v>28666.73</v>
      </c>
      <c r="M1372" s="4">
        <v>7512.49</v>
      </c>
      <c r="N1372" t="s">
        <v>25</v>
      </c>
      <c r="O1372" s="7">
        <v>41</v>
      </c>
      <c r="P1372" s="2">
        <v>45851.708333333336</v>
      </c>
      <c r="Q1372" t="s">
        <v>60</v>
      </c>
      <c r="R1372">
        <v>7</v>
      </c>
      <c r="S1372" t="s">
        <v>42</v>
      </c>
      <c r="T1372">
        <f>IF(orders[[#This Row],[Status]]="Completed",1,0)</f>
        <v>1</v>
      </c>
      <c r="U1372">
        <f>IF(orders[[#This Row],[Status]]="Pending",1,0)</f>
        <v>0</v>
      </c>
      <c r="V1372">
        <f>IF(orders[[#This Row],[Status]]="Delayed",1,0)</f>
        <v>0</v>
      </c>
      <c r="W1372">
        <f>IF(orders[[#This Row],[Status]]="Cancelled",1,0)</f>
        <v>0</v>
      </c>
    </row>
    <row r="1373" spans="1:23" x14ac:dyDescent="0.35">
      <c r="A1373" t="s">
        <v>1754</v>
      </c>
      <c r="B1373" s="1">
        <v>45964</v>
      </c>
      <c r="C1373" t="s">
        <v>422</v>
      </c>
      <c r="D1373" t="s">
        <v>149</v>
      </c>
      <c r="E1373" t="s">
        <v>78</v>
      </c>
      <c r="F1373" t="s">
        <v>83</v>
      </c>
      <c r="G1373" t="s">
        <v>152</v>
      </c>
      <c r="H1373" s="7">
        <v>2</v>
      </c>
      <c r="I1373" s="4">
        <v>797.5</v>
      </c>
      <c r="J1373" s="23">
        <v>0.05</v>
      </c>
      <c r="K1373" s="4">
        <v>757.62</v>
      </c>
      <c r="L1373" s="4">
        <v>560.34</v>
      </c>
      <c r="M1373" s="4">
        <v>197.28</v>
      </c>
      <c r="N1373" t="s">
        <v>48</v>
      </c>
      <c r="O1373" s="7">
        <v>1</v>
      </c>
      <c r="P1373" s="2">
        <v>45964.041666666664</v>
      </c>
      <c r="Q1373" t="s">
        <v>86</v>
      </c>
      <c r="R1373">
        <v>11</v>
      </c>
      <c r="S1373" t="s">
        <v>35</v>
      </c>
      <c r="T1373">
        <f>IF(orders[[#This Row],[Status]]="Completed",1,0)</f>
        <v>0</v>
      </c>
      <c r="U1373">
        <f>IF(orders[[#This Row],[Status]]="Pending",1,0)</f>
        <v>0</v>
      </c>
      <c r="V1373">
        <f>IF(orders[[#This Row],[Status]]="Delayed",1,0)</f>
        <v>0</v>
      </c>
      <c r="W1373">
        <f>IF(orders[[#This Row],[Status]]="Cancelled",1,0)</f>
        <v>1</v>
      </c>
    </row>
    <row r="1374" spans="1:23" x14ac:dyDescent="0.35">
      <c r="A1374" t="s">
        <v>1755</v>
      </c>
      <c r="B1374" s="1">
        <v>45838</v>
      </c>
      <c r="C1374" t="s">
        <v>242</v>
      </c>
      <c r="D1374" t="s">
        <v>30</v>
      </c>
      <c r="E1374" t="s">
        <v>59</v>
      </c>
      <c r="F1374" t="s">
        <v>72</v>
      </c>
      <c r="G1374" t="s">
        <v>119</v>
      </c>
      <c r="H1374" s="7">
        <v>6</v>
      </c>
      <c r="I1374" s="4">
        <v>1389.96</v>
      </c>
      <c r="J1374" s="23">
        <v>0.05</v>
      </c>
      <c r="K1374" s="4">
        <v>1320.46</v>
      </c>
      <c r="L1374" s="4">
        <v>1084.56</v>
      </c>
      <c r="M1374" s="4">
        <v>235.9</v>
      </c>
      <c r="N1374" t="s">
        <v>98</v>
      </c>
      <c r="O1374" s="7">
        <v>13</v>
      </c>
      <c r="P1374" s="2">
        <v>45838.541666666664</v>
      </c>
      <c r="Q1374" t="s">
        <v>99</v>
      </c>
      <c r="R1374">
        <v>6</v>
      </c>
      <c r="S1374" t="s">
        <v>27</v>
      </c>
      <c r="T1374">
        <f>IF(orders[[#This Row],[Status]]="Completed",1,0)</f>
        <v>0</v>
      </c>
      <c r="U1374">
        <f>IF(orders[[#This Row],[Status]]="Pending",1,0)</f>
        <v>1</v>
      </c>
      <c r="V1374">
        <f>IF(orders[[#This Row],[Status]]="Delayed",1,0)</f>
        <v>0</v>
      </c>
      <c r="W1374">
        <f>IF(orders[[#This Row],[Status]]="Cancelled",1,0)</f>
        <v>0</v>
      </c>
    </row>
    <row r="1375" spans="1:23" x14ac:dyDescent="0.35">
      <c r="A1375" t="s">
        <v>1756</v>
      </c>
      <c r="B1375" s="1">
        <v>45949</v>
      </c>
      <c r="C1375" t="s">
        <v>1427</v>
      </c>
      <c r="D1375" t="s">
        <v>63</v>
      </c>
      <c r="E1375" t="s">
        <v>52</v>
      </c>
      <c r="F1375" t="s">
        <v>72</v>
      </c>
      <c r="G1375" t="s">
        <v>73</v>
      </c>
      <c r="H1375" s="7">
        <v>5</v>
      </c>
      <c r="I1375" s="4">
        <v>3886.4</v>
      </c>
      <c r="J1375" s="23">
        <v>0.1</v>
      </c>
      <c r="K1375" s="4">
        <v>3497.76</v>
      </c>
      <c r="L1375" s="4">
        <v>2573.2399999999998</v>
      </c>
      <c r="M1375" s="4">
        <v>924.52</v>
      </c>
      <c r="N1375" t="s">
        <v>25</v>
      </c>
      <c r="O1375" s="7">
        <v>43</v>
      </c>
      <c r="P1375" s="2">
        <v>45950.791666666664</v>
      </c>
      <c r="Q1375" t="s">
        <v>116</v>
      </c>
      <c r="R1375">
        <v>10</v>
      </c>
      <c r="S1375" t="s">
        <v>35</v>
      </c>
      <c r="T1375">
        <f>IF(orders[[#This Row],[Status]]="Completed",1,0)</f>
        <v>1</v>
      </c>
      <c r="U1375">
        <f>IF(orders[[#This Row],[Status]]="Pending",1,0)</f>
        <v>0</v>
      </c>
      <c r="V1375">
        <f>IF(orders[[#This Row],[Status]]="Delayed",1,0)</f>
        <v>0</v>
      </c>
      <c r="W1375">
        <f>IF(orders[[#This Row],[Status]]="Cancelled",1,0)</f>
        <v>0</v>
      </c>
    </row>
    <row r="1376" spans="1:23" x14ac:dyDescent="0.35">
      <c r="A1376" t="s">
        <v>1757</v>
      </c>
      <c r="B1376" s="1">
        <v>45939</v>
      </c>
      <c r="C1376" t="s">
        <v>244</v>
      </c>
      <c r="D1376" t="s">
        <v>21</v>
      </c>
      <c r="E1376" t="s">
        <v>52</v>
      </c>
      <c r="F1376" t="s">
        <v>72</v>
      </c>
      <c r="G1376" t="s">
        <v>119</v>
      </c>
      <c r="H1376" s="7">
        <v>2</v>
      </c>
      <c r="I1376" s="4">
        <v>9245.52</v>
      </c>
      <c r="J1376" s="23">
        <v>0</v>
      </c>
      <c r="K1376" s="4">
        <v>9245.52</v>
      </c>
      <c r="L1376" s="4">
        <v>8027.41</v>
      </c>
      <c r="M1376" s="4">
        <v>1218.1099999999999</v>
      </c>
      <c r="N1376" t="s">
        <v>48</v>
      </c>
      <c r="O1376" s="7">
        <v>21</v>
      </c>
      <c r="P1376" s="2">
        <v>45939.875</v>
      </c>
      <c r="Q1376" t="s">
        <v>116</v>
      </c>
      <c r="R1376">
        <v>10</v>
      </c>
      <c r="S1376" t="s">
        <v>35</v>
      </c>
      <c r="T1376">
        <f>IF(orders[[#This Row],[Status]]="Completed",1,0)</f>
        <v>0</v>
      </c>
      <c r="U1376">
        <f>IF(orders[[#This Row],[Status]]="Pending",1,0)</f>
        <v>0</v>
      </c>
      <c r="V1376">
        <f>IF(orders[[#This Row],[Status]]="Delayed",1,0)</f>
        <v>0</v>
      </c>
      <c r="W1376">
        <f>IF(orders[[#This Row],[Status]]="Cancelled",1,0)</f>
        <v>1</v>
      </c>
    </row>
    <row r="1377" spans="1:23" x14ac:dyDescent="0.35">
      <c r="A1377" t="s">
        <v>1758</v>
      </c>
      <c r="B1377" s="1">
        <v>45686</v>
      </c>
      <c r="C1377" t="s">
        <v>203</v>
      </c>
      <c r="D1377" t="s">
        <v>63</v>
      </c>
      <c r="E1377" t="s">
        <v>92</v>
      </c>
      <c r="F1377" t="s">
        <v>83</v>
      </c>
      <c r="G1377" t="s">
        <v>107</v>
      </c>
      <c r="H1377" s="7">
        <v>3</v>
      </c>
      <c r="I1377" s="4">
        <v>21854.1</v>
      </c>
      <c r="J1377" s="23">
        <v>0.15</v>
      </c>
      <c r="K1377" s="4">
        <v>18575.98</v>
      </c>
      <c r="L1377" s="4">
        <v>11548.39</v>
      </c>
      <c r="M1377" s="4">
        <v>7027.59</v>
      </c>
      <c r="N1377" t="s">
        <v>25</v>
      </c>
      <c r="O1377" s="7">
        <v>18</v>
      </c>
      <c r="P1377" s="2">
        <v>45686.75</v>
      </c>
      <c r="Q1377" t="s">
        <v>65</v>
      </c>
      <c r="R1377">
        <v>1</v>
      </c>
      <c r="S1377" t="s">
        <v>55</v>
      </c>
      <c r="T1377">
        <f>IF(orders[[#This Row],[Status]]="Completed",1,0)</f>
        <v>1</v>
      </c>
      <c r="U1377">
        <f>IF(orders[[#This Row],[Status]]="Pending",1,0)</f>
        <v>0</v>
      </c>
      <c r="V1377">
        <f>IF(orders[[#This Row],[Status]]="Delayed",1,0)</f>
        <v>0</v>
      </c>
      <c r="W1377">
        <f>IF(orders[[#This Row],[Status]]="Cancelled",1,0)</f>
        <v>0</v>
      </c>
    </row>
    <row r="1378" spans="1:23" x14ac:dyDescent="0.35">
      <c r="A1378" t="s">
        <v>1759</v>
      </c>
      <c r="B1378" s="1">
        <v>45806</v>
      </c>
      <c r="C1378" t="s">
        <v>397</v>
      </c>
      <c r="D1378" t="s">
        <v>58</v>
      </c>
      <c r="E1378" t="s">
        <v>59</v>
      </c>
      <c r="F1378" t="s">
        <v>32</v>
      </c>
      <c r="G1378" t="s">
        <v>33</v>
      </c>
      <c r="H1378" s="7">
        <v>6</v>
      </c>
      <c r="I1378" s="4">
        <v>1144.74</v>
      </c>
      <c r="J1378" s="23">
        <v>0.1</v>
      </c>
      <c r="K1378" s="4">
        <v>1030.27</v>
      </c>
      <c r="L1378" s="4">
        <v>809.45</v>
      </c>
      <c r="M1378" s="4">
        <v>220.82</v>
      </c>
      <c r="N1378" t="s">
        <v>98</v>
      </c>
      <c r="O1378" s="7">
        <v>3</v>
      </c>
      <c r="P1378" s="2">
        <v>45806.125</v>
      </c>
      <c r="Q1378" t="s">
        <v>74</v>
      </c>
      <c r="R1378">
        <v>5</v>
      </c>
      <c r="S1378" t="s">
        <v>27</v>
      </c>
      <c r="T1378">
        <f>IF(orders[[#This Row],[Status]]="Completed",1,0)</f>
        <v>0</v>
      </c>
      <c r="U1378">
        <f>IF(orders[[#This Row],[Status]]="Pending",1,0)</f>
        <v>1</v>
      </c>
      <c r="V1378">
        <f>IF(orders[[#This Row],[Status]]="Delayed",1,0)</f>
        <v>0</v>
      </c>
      <c r="W1378">
        <f>IF(orders[[#This Row],[Status]]="Cancelled",1,0)</f>
        <v>0</v>
      </c>
    </row>
    <row r="1379" spans="1:23" x14ac:dyDescent="0.35">
      <c r="A1379" t="s">
        <v>1760</v>
      </c>
      <c r="B1379" s="1">
        <v>45924</v>
      </c>
      <c r="C1379" t="s">
        <v>708</v>
      </c>
      <c r="D1379" t="s">
        <v>68</v>
      </c>
      <c r="E1379" t="s">
        <v>31</v>
      </c>
      <c r="F1379" t="s">
        <v>32</v>
      </c>
      <c r="G1379" t="s">
        <v>89</v>
      </c>
      <c r="H1379" s="7">
        <v>2</v>
      </c>
      <c r="I1379" s="4">
        <v>15942.24</v>
      </c>
      <c r="J1379" s="23">
        <v>0.1</v>
      </c>
      <c r="K1379" s="4">
        <v>14348.02</v>
      </c>
      <c r="L1379" s="4">
        <v>9643.0400000000009</v>
      </c>
      <c r="M1379" s="4">
        <v>4704.9799999999996</v>
      </c>
      <c r="N1379" t="s">
        <v>48</v>
      </c>
      <c r="O1379" s="7">
        <v>0</v>
      </c>
      <c r="P1379" s="2">
        <v>45924</v>
      </c>
      <c r="Q1379" t="s">
        <v>41</v>
      </c>
      <c r="R1379">
        <v>9</v>
      </c>
      <c r="S1379" t="s">
        <v>42</v>
      </c>
      <c r="T1379">
        <f>IF(orders[[#This Row],[Status]]="Completed",1,0)</f>
        <v>0</v>
      </c>
      <c r="U1379">
        <f>IF(orders[[#This Row],[Status]]="Pending",1,0)</f>
        <v>0</v>
      </c>
      <c r="V1379">
        <f>IF(orders[[#This Row],[Status]]="Delayed",1,0)</f>
        <v>0</v>
      </c>
      <c r="W1379">
        <f>IF(orders[[#This Row],[Status]]="Cancelled",1,0)</f>
        <v>1</v>
      </c>
    </row>
    <row r="1380" spans="1:23" x14ac:dyDescent="0.35">
      <c r="A1380" t="s">
        <v>1761</v>
      </c>
      <c r="B1380" s="1">
        <v>45953</v>
      </c>
      <c r="C1380" t="s">
        <v>57</v>
      </c>
      <c r="D1380" t="s">
        <v>21</v>
      </c>
      <c r="E1380" t="s">
        <v>59</v>
      </c>
      <c r="F1380" t="s">
        <v>23</v>
      </c>
      <c r="G1380" t="s">
        <v>136</v>
      </c>
      <c r="H1380" s="7">
        <v>4</v>
      </c>
      <c r="I1380" s="4">
        <v>4149.72</v>
      </c>
      <c r="J1380" s="23">
        <v>0.15</v>
      </c>
      <c r="K1380" s="4">
        <v>3527.26</v>
      </c>
      <c r="L1380" s="4">
        <v>2264.71</v>
      </c>
      <c r="M1380" s="4">
        <v>1262.55</v>
      </c>
      <c r="N1380" t="s">
        <v>25</v>
      </c>
      <c r="O1380" s="7">
        <v>33</v>
      </c>
      <c r="P1380" s="2">
        <v>45954.375</v>
      </c>
      <c r="Q1380" t="s">
        <v>116</v>
      </c>
      <c r="R1380">
        <v>10</v>
      </c>
      <c r="S1380" t="s">
        <v>35</v>
      </c>
      <c r="T1380">
        <f>IF(orders[[#This Row],[Status]]="Completed",1,0)</f>
        <v>1</v>
      </c>
      <c r="U1380">
        <f>IF(orders[[#This Row],[Status]]="Pending",1,0)</f>
        <v>0</v>
      </c>
      <c r="V1380">
        <f>IF(orders[[#This Row],[Status]]="Delayed",1,0)</f>
        <v>0</v>
      </c>
      <c r="W1380">
        <f>IF(orders[[#This Row],[Status]]="Cancelled",1,0)</f>
        <v>0</v>
      </c>
    </row>
    <row r="1381" spans="1:23" x14ac:dyDescent="0.35">
      <c r="A1381" t="s">
        <v>1762</v>
      </c>
      <c r="B1381" s="1">
        <v>45668</v>
      </c>
      <c r="C1381" t="s">
        <v>472</v>
      </c>
      <c r="D1381" t="s">
        <v>149</v>
      </c>
      <c r="E1381" t="s">
        <v>46</v>
      </c>
      <c r="F1381" t="s">
        <v>23</v>
      </c>
      <c r="G1381" t="s">
        <v>24</v>
      </c>
      <c r="H1381" s="7">
        <v>7</v>
      </c>
      <c r="I1381" s="4">
        <v>50263.92</v>
      </c>
      <c r="J1381" s="23">
        <v>0.05</v>
      </c>
      <c r="K1381" s="4">
        <v>47750.720000000001</v>
      </c>
      <c r="L1381" s="4">
        <v>29105.39</v>
      </c>
      <c r="M1381" s="4">
        <v>18645.330000000002</v>
      </c>
      <c r="N1381" t="s">
        <v>25</v>
      </c>
      <c r="O1381" s="7">
        <v>11</v>
      </c>
      <c r="P1381" s="2">
        <v>45668.458333333336</v>
      </c>
      <c r="Q1381" t="s">
        <v>65</v>
      </c>
      <c r="R1381">
        <v>1</v>
      </c>
      <c r="S1381" t="s">
        <v>55</v>
      </c>
      <c r="T1381">
        <f>IF(orders[[#This Row],[Status]]="Completed",1,0)</f>
        <v>1</v>
      </c>
      <c r="U1381">
        <f>IF(orders[[#This Row],[Status]]="Pending",1,0)</f>
        <v>0</v>
      </c>
      <c r="V1381">
        <f>IF(orders[[#This Row],[Status]]="Delayed",1,0)</f>
        <v>0</v>
      </c>
      <c r="W1381">
        <f>IF(orders[[#This Row],[Status]]="Cancelled",1,0)</f>
        <v>0</v>
      </c>
    </row>
    <row r="1382" spans="1:23" x14ac:dyDescent="0.35">
      <c r="A1382" t="s">
        <v>1763</v>
      </c>
      <c r="B1382" s="1">
        <v>45821</v>
      </c>
      <c r="C1382" t="s">
        <v>583</v>
      </c>
      <c r="D1382" t="s">
        <v>30</v>
      </c>
      <c r="E1382" t="s">
        <v>92</v>
      </c>
      <c r="F1382" t="s">
        <v>83</v>
      </c>
      <c r="G1382" t="s">
        <v>152</v>
      </c>
      <c r="H1382" s="7">
        <v>6</v>
      </c>
      <c r="I1382" s="4">
        <v>25091.040000000001</v>
      </c>
      <c r="J1382" s="23">
        <v>0.1</v>
      </c>
      <c r="K1382" s="4">
        <v>22581.94</v>
      </c>
      <c r="L1382" s="4">
        <v>16537.349999999999</v>
      </c>
      <c r="M1382" s="4">
        <v>6044.59</v>
      </c>
      <c r="N1382" t="s">
        <v>85</v>
      </c>
      <c r="O1382" s="7">
        <v>75</v>
      </c>
      <c r="P1382" s="2">
        <v>45824.125</v>
      </c>
      <c r="Q1382" t="s">
        <v>99</v>
      </c>
      <c r="R1382">
        <v>6</v>
      </c>
      <c r="S1382" t="s">
        <v>27</v>
      </c>
      <c r="T1382">
        <f>IF(orders[[#This Row],[Status]]="Completed",1,0)</f>
        <v>0</v>
      </c>
      <c r="U1382">
        <f>IF(orders[[#This Row],[Status]]="Pending",1,0)</f>
        <v>0</v>
      </c>
      <c r="V1382">
        <f>IF(orders[[#This Row],[Status]]="Delayed",1,0)</f>
        <v>1</v>
      </c>
      <c r="W1382">
        <f>IF(orders[[#This Row],[Status]]="Cancelled",1,0)</f>
        <v>0</v>
      </c>
    </row>
    <row r="1383" spans="1:23" x14ac:dyDescent="0.35">
      <c r="A1383" t="s">
        <v>1764</v>
      </c>
      <c r="B1383" s="1">
        <v>45770</v>
      </c>
      <c r="C1383" t="s">
        <v>536</v>
      </c>
      <c r="D1383" t="s">
        <v>77</v>
      </c>
      <c r="E1383" t="s">
        <v>59</v>
      </c>
      <c r="F1383" t="s">
        <v>39</v>
      </c>
      <c r="G1383" t="s">
        <v>114</v>
      </c>
      <c r="H1383" s="7">
        <v>6</v>
      </c>
      <c r="I1383" s="4">
        <v>33933.78</v>
      </c>
      <c r="J1383" s="23">
        <v>0.25</v>
      </c>
      <c r="K1383" s="4">
        <v>25450.34</v>
      </c>
      <c r="L1383" s="4">
        <v>15807.33</v>
      </c>
      <c r="M1383" s="4">
        <v>9643.01</v>
      </c>
      <c r="N1383" t="s">
        <v>85</v>
      </c>
      <c r="O1383" s="7">
        <v>57</v>
      </c>
      <c r="P1383" s="2">
        <v>45772.375</v>
      </c>
      <c r="Q1383" t="s">
        <v>26</v>
      </c>
      <c r="R1383">
        <v>4</v>
      </c>
      <c r="S1383" t="s">
        <v>27</v>
      </c>
      <c r="T1383">
        <f>IF(orders[[#This Row],[Status]]="Completed",1,0)</f>
        <v>0</v>
      </c>
      <c r="U1383">
        <f>IF(orders[[#This Row],[Status]]="Pending",1,0)</f>
        <v>0</v>
      </c>
      <c r="V1383">
        <f>IF(orders[[#This Row],[Status]]="Delayed",1,0)</f>
        <v>1</v>
      </c>
      <c r="W1383">
        <f>IF(orders[[#This Row],[Status]]="Cancelled",1,0)</f>
        <v>0</v>
      </c>
    </row>
    <row r="1384" spans="1:23" x14ac:dyDescent="0.35">
      <c r="A1384" t="s">
        <v>1765</v>
      </c>
      <c r="B1384" s="1">
        <v>45844</v>
      </c>
      <c r="C1384" t="s">
        <v>780</v>
      </c>
      <c r="D1384" t="s">
        <v>58</v>
      </c>
      <c r="E1384" t="s">
        <v>31</v>
      </c>
      <c r="F1384" t="s">
        <v>32</v>
      </c>
      <c r="G1384" t="s">
        <v>64</v>
      </c>
      <c r="H1384" s="7">
        <v>2</v>
      </c>
      <c r="I1384" s="4">
        <v>8828.4</v>
      </c>
      <c r="J1384" s="23">
        <v>0.15</v>
      </c>
      <c r="K1384" s="4">
        <v>7504.14</v>
      </c>
      <c r="L1384" s="4">
        <v>4623.42</v>
      </c>
      <c r="M1384" s="4">
        <v>2880.72</v>
      </c>
      <c r="N1384" t="s">
        <v>85</v>
      </c>
      <c r="O1384" s="7">
        <v>81</v>
      </c>
      <c r="P1384" s="2">
        <v>45847.375</v>
      </c>
      <c r="Q1384" t="s">
        <v>60</v>
      </c>
      <c r="R1384">
        <v>7</v>
      </c>
      <c r="S1384" t="s">
        <v>42</v>
      </c>
      <c r="T1384">
        <f>IF(orders[[#This Row],[Status]]="Completed",1,0)</f>
        <v>0</v>
      </c>
      <c r="U1384">
        <f>IF(orders[[#This Row],[Status]]="Pending",1,0)</f>
        <v>0</v>
      </c>
      <c r="V1384">
        <f>IF(orders[[#This Row],[Status]]="Delayed",1,0)</f>
        <v>1</v>
      </c>
      <c r="W1384">
        <f>IF(orders[[#This Row],[Status]]="Cancelled",1,0)</f>
        <v>0</v>
      </c>
    </row>
    <row r="1385" spans="1:23" x14ac:dyDescent="0.35">
      <c r="A1385" t="s">
        <v>1766</v>
      </c>
      <c r="B1385" s="1">
        <v>45952</v>
      </c>
      <c r="C1385" t="s">
        <v>551</v>
      </c>
      <c r="D1385" t="s">
        <v>68</v>
      </c>
      <c r="E1385" t="s">
        <v>92</v>
      </c>
      <c r="F1385" t="s">
        <v>23</v>
      </c>
      <c r="G1385" t="s">
        <v>122</v>
      </c>
      <c r="H1385" s="7">
        <v>5</v>
      </c>
      <c r="I1385" s="4">
        <v>20666.75</v>
      </c>
      <c r="J1385" s="23">
        <v>0.25</v>
      </c>
      <c r="K1385" s="4">
        <v>15500.06</v>
      </c>
      <c r="L1385" s="4">
        <v>13591.62</v>
      </c>
      <c r="M1385" s="4">
        <v>1908.44</v>
      </c>
      <c r="N1385" t="s">
        <v>25</v>
      </c>
      <c r="O1385" s="7">
        <v>18</v>
      </c>
      <c r="P1385" s="2">
        <v>45952.75</v>
      </c>
      <c r="Q1385" t="s">
        <v>116</v>
      </c>
      <c r="R1385">
        <v>10</v>
      </c>
      <c r="S1385" t="s">
        <v>35</v>
      </c>
      <c r="T1385">
        <f>IF(orders[[#This Row],[Status]]="Completed",1,0)</f>
        <v>1</v>
      </c>
      <c r="U1385">
        <f>IF(orders[[#This Row],[Status]]="Pending",1,0)</f>
        <v>0</v>
      </c>
      <c r="V1385">
        <f>IF(orders[[#This Row],[Status]]="Delayed",1,0)</f>
        <v>0</v>
      </c>
      <c r="W1385">
        <f>IF(orders[[#This Row],[Status]]="Cancelled",1,0)</f>
        <v>0</v>
      </c>
    </row>
    <row r="1386" spans="1:23" x14ac:dyDescent="0.35">
      <c r="A1386" t="s">
        <v>1767</v>
      </c>
      <c r="B1386" s="1">
        <v>45889</v>
      </c>
      <c r="C1386" t="s">
        <v>1395</v>
      </c>
      <c r="D1386" t="s">
        <v>77</v>
      </c>
      <c r="E1386" t="s">
        <v>52</v>
      </c>
      <c r="F1386" t="s">
        <v>32</v>
      </c>
      <c r="G1386" t="s">
        <v>79</v>
      </c>
      <c r="H1386" s="7">
        <v>2</v>
      </c>
      <c r="I1386" s="4">
        <v>14242.82</v>
      </c>
      <c r="J1386" s="23">
        <v>0.15</v>
      </c>
      <c r="K1386" s="4">
        <v>12106.4</v>
      </c>
      <c r="L1386" s="4">
        <v>9861.59</v>
      </c>
      <c r="M1386" s="4">
        <v>2244.81</v>
      </c>
      <c r="N1386" t="s">
        <v>85</v>
      </c>
      <c r="O1386" s="7">
        <v>74</v>
      </c>
      <c r="P1386" s="2">
        <v>45892.083333333336</v>
      </c>
      <c r="Q1386" t="s">
        <v>80</v>
      </c>
      <c r="R1386">
        <v>8</v>
      </c>
      <c r="S1386" t="s">
        <v>42</v>
      </c>
      <c r="T1386">
        <f>IF(orders[[#This Row],[Status]]="Completed",1,0)</f>
        <v>0</v>
      </c>
      <c r="U1386">
        <f>IF(orders[[#This Row],[Status]]="Pending",1,0)</f>
        <v>0</v>
      </c>
      <c r="V1386">
        <f>IF(orders[[#This Row],[Status]]="Delayed",1,0)</f>
        <v>1</v>
      </c>
      <c r="W1386">
        <f>IF(orders[[#This Row],[Status]]="Cancelled",1,0)</f>
        <v>0</v>
      </c>
    </row>
    <row r="1387" spans="1:23" x14ac:dyDescent="0.35">
      <c r="A1387" t="s">
        <v>1768</v>
      </c>
      <c r="B1387" s="1">
        <v>45884</v>
      </c>
      <c r="C1387" t="s">
        <v>290</v>
      </c>
      <c r="D1387" t="s">
        <v>51</v>
      </c>
      <c r="E1387" t="s">
        <v>22</v>
      </c>
      <c r="F1387" t="s">
        <v>83</v>
      </c>
      <c r="G1387" t="s">
        <v>107</v>
      </c>
      <c r="H1387" s="7">
        <v>3</v>
      </c>
      <c r="I1387" s="4">
        <v>19384.95</v>
      </c>
      <c r="J1387" s="23">
        <v>0</v>
      </c>
      <c r="K1387" s="4">
        <v>19384.95</v>
      </c>
      <c r="L1387" s="4">
        <v>15448.47</v>
      </c>
      <c r="M1387" s="4">
        <v>3936.48</v>
      </c>
      <c r="N1387" t="s">
        <v>25</v>
      </c>
      <c r="O1387" s="7">
        <v>16</v>
      </c>
      <c r="P1387" s="2">
        <v>45884.666666666664</v>
      </c>
      <c r="Q1387" t="s">
        <v>80</v>
      </c>
      <c r="R1387">
        <v>8</v>
      </c>
      <c r="S1387" t="s">
        <v>42</v>
      </c>
      <c r="T1387">
        <f>IF(orders[[#This Row],[Status]]="Completed",1,0)</f>
        <v>1</v>
      </c>
      <c r="U1387">
        <f>IF(orders[[#This Row],[Status]]="Pending",1,0)</f>
        <v>0</v>
      </c>
      <c r="V1387">
        <f>IF(orders[[#This Row],[Status]]="Delayed",1,0)</f>
        <v>0</v>
      </c>
      <c r="W1387">
        <f>IF(orders[[#This Row],[Status]]="Cancelled",1,0)</f>
        <v>0</v>
      </c>
    </row>
    <row r="1388" spans="1:23" x14ac:dyDescent="0.35">
      <c r="A1388" t="s">
        <v>1769</v>
      </c>
      <c r="B1388" s="1">
        <v>45967</v>
      </c>
      <c r="C1388" t="s">
        <v>541</v>
      </c>
      <c r="D1388" t="s">
        <v>58</v>
      </c>
      <c r="E1388" t="s">
        <v>59</v>
      </c>
      <c r="F1388" t="s">
        <v>83</v>
      </c>
      <c r="G1388" t="s">
        <v>182</v>
      </c>
      <c r="H1388" s="7">
        <v>3</v>
      </c>
      <c r="I1388" s="4">
        <v>12559.23</v>
      </c>
      <c r="J1388" s="23">
        <v>0</v>
      </c>
      <c r="K1388" s="4">
        <v>12559.23</v>
      </c>
      <c r="L1388" s="4">
        <v>10198.6</v>
      </c>
      <c r="M1388" s="4">
        <v>2360.63</v>
      </c>
      <c r="N1388" t="s">
        <v>25</v>
      </c>
      <c r="O1388" s="7">
        <v>27</v>
      </c>
      <c r="P1388" s="2">
        <v>45968.125</v>
      </c>
      <c r="Q1388" t="s">
        <v>86</v>
      </c>
      <c r="R1388">
        <v>11</v>
      </c>
      <c r="S1388" t="s">
        <v>35</v>
      </c>
      <c r="T1388">
        <f>IF(orders[[#This Row],[Status]]="Completed",1,0)</f>
        <v>1</v>
      </c>
      <c r="U1388">
        <f>IF(orders[[#This Row],[Status]]="Pending",1,0)</f>
        <v>0</v>
      </c>
      <c r="V1388">
        <f>IF(orders[[#This Row],[Status]]="Delayed",1,0)</f>
        <v>0</v>
      </c>
      <c r="W1388">
        <f>IF(orders[[#This Row],[Status]]="Cancelled",1,0)</f>
        <v>0</v>
      </c>
    </row>
    <row r="1389" spans="1:23" x14ac:dyDescent="0.35">
      <c r="A1389" t="s">
        <v>1770</v>
      </c>
      <c r="B1389" s="1">
        <v>45755</v>
      </c>
      <c r="C1389" t="s">
        <v>377</v>
      </c>
      <c r="D1389" t="s">
        <v>30</v>
      </c>
      <c r="E1389" t="s">
        <v>52</v>
      </c>
      <c r="F1389" t="s">
        <v>39</v>
      </c>
      <c r="G1389" t="s">
        <v>114</v>
      </c>
      <c r="H1389" s="7">
        <v>6</v>
      </c>
      <c r="I1389" s="4">
        <v>6492.96</v>
      </c>
      <c r="J1389" s="23">
        <v>0.1</v>
      </c>
      <c r="K1389" s="4">
        <v>5843.66</v>
      </c>
      <c r="L1389" s="4">
        <v>5082.49</v>
      </c>
      <c r="M1389" s="4">
        <v>761.17</v>
      </c>
      <c r="N1389" t="s">
        <v>25</v>
      </c>
      <c r="O1389" s="7">
        <v>43</v>
      </c>
      <c r="P1389" s="2">
        <v>45756.791666666664</v>
      </c>
      <c r="Q1389" t="s">
        <v>26</v>
      </c>
      <c r="R1389">
        <v>4</v>
      </c>
      <c r="S1389" t="s">
        <v>27</v>
      </c>
      <c r="T1389">
        <f>IF(orders[[#This Row],[Status]]="Completed",1,0)</f>
        <v>1</v>
      </c>
      <c r="U1389">
        <f>IF(orders[[#This Row],[Status]]="Pending",1,0)</f>
        <v>0</v>
      </c>
      <c r="V1389">
        <f>IF(orders[[#This Row],[Status]]="Delayed",1,0)</f>
        <v>0</v>
      </c>
      <c r="W1389">
        <f>IF(orders[[#This Row],[Status]]="Cancelled",1,0)</f>
        <v>0</v>
      </c>
    </row>
    <row r="1390" spans="1:23" x14ac:dyDescent="0.35">
      <c r="A1390" t="s">
        <v>1771</v>
      </c>
      <c r="B1390" s="1">
        <v>45712</v>
      </c>
      <c r="C1390" t="s">
        <v>62</v>
      </c>
      <c r="D1390" t="s">
        <v>45</v>
      </c>
      <c r="E1390" t="s">
        <v>52</v>
      </c>
      <c r="F1390" t="s">
        <v>39</v>
      </c>
      <c r="G1390" t="s">
        <v>93</v>
      </c>
      <c r="H1390" s="7">
        <v>6</v>
      </c>
      <c r="I1390" s="4">
        <v>6681.66</v>
      </c>
      <c r="J1390" s="23">
        <v>0.05</v>
      </c>
      <c r="K1390" s="4">
        <v>6347.58</v>
      </c>
      <c r="L1390" s="4">
        <v>4692.01</v>
      </c>
      <c r="M1390" s="4">
        <v>1655.57</v>
      </c>
      <c r="N1390" t="s">
        <v>48</v>
      </c>
      <c r="O1390" s="7">
        <v>18</v>
      </c>
      <c r="P1390" s="2">
        <v>45712.75</v>
      </c>
      <c r="Q1390" t="s">
        <v>139</v>
      </c>
      <c r="R1390">
        <v>2</v>
      </c>
      <c r="S1390" t="s">
        <v>55</v>
      </c>
      <c r="T1390">
        <f>IF(orders[[#This Row],[Status]]="Completed",1,0)</f>
        <v>0</v>
      </c>
      <c r="U1390">
        <f>IF(orders[[#This Row],[Status]]="Pending",1,0)</f>
        <v>0</v>
      </c>
      <c r="V1390">
        <f>IF(orders[[#This Row],[Status]]="Delayed",1,0)</f>
        <v>0</v>
      </c>
      <c r="W1390">
        <f>IF(orders[[#This Row],[Status]]="Cancelled",1,0)</f>
        <v>1</v>
      </c>
    </row>
    <row r="1391" spans="1:23" x14ac:dyDescent="0.35">
      <c r="A1391" t="s">
        <v>1772</v>
      </c>
      <c r="B1391" s="1">
        <v>45768</v>
      </c>
      <c r="C1391" t="s">
        <v>249</v>
      </c>
      <c r="D1391" t="s">
        <v>21</v>
      </c>
      <c r="E1391" t="s">
        <v>113</v>
      </c>
      <c r="F1391" t="s">
        <v>83</v>
      </c>
      <c r="G1391" t="s">
        <v>107</v>
      </c>
      <c r="H1391" s="7">
        <v>2</v>
      </c>
      <c r="I1391" s="4">
        <v>13685.7</v>
      </c>
      <c r="J1391" s="23">
        <v>0.05</v>
      </c>
      <c r="K1391" s="4">
        <v>13001.42</v>
      </c>
      <c r="L1391" s="4">
        <v>8095.73</v>
      </c>
      <c r="M1391" s="4">
        <v>4905.6899999999996</v>
      </c>
      <c r="N1391" t="s">
        <v>25</v>
      </c>
      <c r="O1391" s="7">
        <v>31</v>
      </c>
      <c r="P1391" s="2">
        <v>45769.291666666664</v>
      </c>
      <c r="Q1391" t="s">
        <v>26</v>
      </c>
      <c r="R1391">
        <v>4</v>
      </c>
      <c r="S1391" t="s">
        <v>27</v>
      </c>
      <c r="T1391">
        <f>IF(orders[[#This Row],[Status]]="Completed",1,0)</f>
        <v>1</v>
      </c>
      <c r="U1391">
        <f>IF(orders[[#This Row],[Status]]="Pending",1,0)</f>
        <v>0</v>
      </c>
      <c r="V1391">
        <f>IF(orders[[#This Row],[Status]]="Delayed",1,0)</f>
        <v>0</v>
      </c>
      <c r="W1391">
        <f>IF(orders[[#This Row],[Status]]="Cancelled",1,0)</f>
        <v>0</v>
      </c>
    </row>
    <row r="1392" spans="1:23" x14ac:dyDescent="0.35">
      <c r="A1392" t="s">
        <v>1773</v>
      </c>
      <c r="B1392" s="1">
        <v>45809</v>
      </c>
      <c r="C1392" t="s">
        <v>422</v>
      </c>
      <c r="D1392" t="s">
        <v>63</v>
      </c>
      <c r="E1392" t="s">
        <v>31</v>
      </c>
      <c r="F1392" t="s">
        <v>23</v>
      </c>
      <c r="G1392" t="s">
        <v>69</v>
      </c>
      <c r="H1392" s="7">
        <v>3</v>
      </c>
      <c r="I1392" s="4">
        <v>13711.23</v>
      </c>
      <c r="J1392" s="23">
        <v>0.15</v>
      </c>
      <c r="K1392" s="4">
        <v>11654.55</v>
      </c>
      <c r="L1392" s="4">
        <v>9726.06</v>
      </c>
      <c r="M1392" s="4">
        <v>1928.49</v>
      </c>
      <c r="N1392" t="s">
        <v>25</v>
      </c>
      <c r="O1392" s="7">
        <v>14</v>
      </c>
      <c r="P1392" s="2">
        <v>45809.583333333336</v>
      </c>
      <c r="Q1392" t="s">
        <v>99</v>
      </c>
      <c r="R1392">
        <v>6</v>
      </c>
      <c r="S1392" t="s">
        <v>27</v>
      </c>
      <c r="T1392">
        <f>IF(orders[[#This Row],[Status]]="Completed",1,0)</f>
        <v>1</v>
      </c>
      <c r="U1392">
        <f>IF(orders[[#This Row],[Status]]="Pending",1,0)</f>
        <v>0</v>
      </c>
      <c r="V1392">
        <f>IF(orders[[#This Row],[Status]]="Delayed",1,0)</f>
        <v>0</v>
      </c>
      <c r="W1392">
        <f>IF(orders[[#This Row],[Status]]="Cancelled",1,0)</f>
        <v>0</v>
      </c>
    </row>
    <row r="1393" spans="1:23" x14ac:dyDescent="0.35">
      <c r="A1393" t="s">
        <v>1774</v>
      </c>
      <c r="B1393" s="1">
        <v>45903</v>
      </c>
      <c r="C1393" t="s">
        <v>523</v>
      </c>
      <c r="D1393" t="s">
        <v>30</v>
      </c>
      <c r="E1393" t="s">
        <v>46</v>
      </c>
      <c r="F1393" t="s">
        <v>32</v>
      </c>
      <c r="G1393" t="s">
        <v>79</v>
      </c>
      <c r="H1393" s="7">
        <v>3</v>
      </c>
      <c r="I1393" s="4">
        <v>12513.81</v>
      </c>
      <c r="J1393" s="23">
        <v>0.05</v>
      </c>
      <c r="K1393" s="4">
        <v>11888.12</v>
      </c>
      <c r="L1393" s="4">
        <v>9452.26</v>
      </c>
      <c r="M1393" s="4">
        <v>2435.86</v>
      </c>
      <c r="N1393" t="s">
        <v>25</v>
      </c>
      <c r="O1393" s="7">
        <v>9</v>
      </c>
      <c r="P1393" s="2">
        <v>45903.375</v>
      </c>
      <c r="Q1393" t="s">
        <v>41</v>
      </c>
      <c r="R1393">
        <v>9</v>
      </c>
      <c r="S1393" t="s">
        <v>42</v>
      </c>
      <c r="T1393">
        <f>IF(orders[[#This Row],[Status]]="Completed",1,0)</f>
        <v>1</v>
      </c>
      <c r="U1393">
        <f>IF(orders[[#This Row],[Status]]="Pending",1,0)</f>
        <v>0</v>
      </c>
      <c r="V1393">
        <f>IF(orders[[#This Row],[Status]]="Delayed",1,0)</f>
        <v>0</v>
      </c>
      <c r="W1393">
        <f>IF(orders[[#This Row],[Status]]="Cancelled",1,0)</f>
        <v>0</v>
      </c>
    </row>
    <row r="1394" spans="1:23" x14ac:dyDescent="0.35">
      <c r="A1394" t="s">
        <v>1775</v>
      </c>
      <c r="B1394" s="1">
        <v>45726</v>
      </c>
      <c r="C1394" t="s">
        <v>880</v>
      </c>
      <c r="D1394" t="s">
        <v>21</v>
      </c>
      <c r="E1394" t="s">
        <v>22</v>
      </c>
      <c r="F1394" t="s">
        <v>72</v>
      </c>
      <c r="G1394" t="s">
        <v>73</v>
      </c>
      <c r="H1394" s="7">
        <v>5</v>
      </c>
      <c r="I1394" s="4">
        <v>29163.65</v>
      </c>
      <c r="J1394" s="23">
        <v>0.05</v>
      </c>
      <c r="K1394" s="4">
        <v>27705.47</v>
      </c>
      <c r="L1394" s="4">
        <v>19025.95</v>
      </c>
      <c r="M1394" s="4">
        <v>8679.52</v>
      </c>
      <c r="N1394" t="s">
        <v>98</v>
      </c>
      <c r="O1394" s="7">
        <v>11</v>
      </c>
      <c r="P1394" s="2">
        <v>45726.458333333336</v>
      </c>
      <c r="Q1394" t="s">
        <v>54</v>
      </c>
      <c r="R1394">
        <v>3</v>
      </c>
      <c r="S1394" t="s">
        <v>55</v>
      </c>
      <c r="T1394">
        <f>IF(orders[[#This Row],[Status]]="Completed",1,0)</f>
        <v>0</v>
      </c>
      <c r="U1394">
        <f>IF(orders[[#This Row],[Status]]="Pending",1,0)</f>
        <v>1</v>
      </c>
      <c r="V1394">
        <f>IF(orders[[#This Row],[Status]]="Delayed",1,0)</f>
        <v>0</v>
      </c>
      <c r="W1394">
        <f>IF(orders[[#This Row],[Status]]="Cancelled",1,0)</f>
        <v>0</v>
      </c>
    </row>
    <row r="1395" spans="1:23" x14ac:dyDescent="0.35">
      <c r="A1395" t="s">
        <v>1776</v>
      </c>
      <c r="B1395" s="1">
        <v>45969</v>
      </c>
      <c r="C1395" t="s">
        <v>337</v>
      </c>
      <c r="D1395" t="s">
        <v>77</v>
      </c>
      <c r="E1395" t="s">
        <v>59</v>
      </c>
      <c r="F1395" t="s">
        <v>39</v>
      </c>
      <c r="G1395" t="s">
        <v>188</v>
      </c>
      <c r="H1395" s="7">
        <v>4</v>
      </c>
      <c r="I1395" s="4">
        <v>29285.32</v>
      </c>
      <c r="J1395" s="23">
        <v>0.15</v>
      </c>
      <c r="K1395" s="4">
        <v>24892.52</v>
      </c>
      <c r="L1395" s="4">
        <v>17581.04</v>
      </c>
      <c r="M1395" s="4">
        <v>7311.48</v>
      </c>
      <c r="N1395" t="s">
        <v>25</v>
      </c>
      <c r="O1395" s="7">
        <v>4</v>
      </c>
      <c r="P1395" s="2">
        <v>45969.166666666664</v>
      </c>
      <c r="Q1395" t="s">
        <v>86</v>
      </c>
      <c r="R1395">
        <v>11</v>
      </c>
      <c r="S1395" t="s">
        <v>35</v>
      </c>
      <c r="T1395">
        <f>IF(orders[[#This Row],[Status]]="Completed",1,0)</f>
        <v>1</v>
      </c>
      <c r="U1395">
        <f>IF(orders[[#This Row],[Status]]="Pending",1,0)</f>
        <v>0</v>
      </c>
      <c r="V1395">
        <f>IF(orders[[#This Row],[Status]]="Delayed",1,0)</f>
        <v>0</v>
      </c>
      <c r="W1395">
        <f>IF(orders[[#This Row],[Status]]="Cancelled",1,0)</f>
        <v>0</v>
      </c>
    </row>
    <row r="1396" spans="1:23" x14ac:dyDescent="0.35">
      <c r="A1396" t="s">
        <v>1777</v>
      </c>
      <c r="B1396" s="1">
        <v>45946</v>
      </c>
      <c r="C1396" t="s">
        <v>745</v>
      </c>
      <c r="D1396" t="s">
        <v>63</v>
      </c>
      <c r="E1396" t="s">
        <v>52</v>
      </c>
      <c r="F1396" t="s">
        <v>72</v>
      </c>
      <c r="G1396" t="s">
        <v>104</v>
      </c>
      <c r="H1396" s="7">
        <v>5</v>
      </c>
      <c r="I1396" s="4">
        <v>27005.45</v>
      </c>
      <c r="J1396" s="23">
        <v>0.15</v>
      </c>
      <c r="K1396" s="4">
        <v>22954.63</v>
      </c>
      <c r="L1396" s="4">
        <v>15740.29</v>
      </c>
      <c r="M1396" s="4">
        <v>7214.34</v>
      </c>
      <c r="N1396" t="s">
        <v>25</v>
      </c>
      <c r="O1396" s="7">
        <v>28</v>
      </c>
      <c r="P1396" s="2">
        <v>45947.166666666664</v>
      </c>
      <c r="Q1396" t="s">
        <v>116</v>
      </c>
      <c r="R1396">
        <v>10</v>
      </c>
      <c r="S1396" t="s">
        <v>35</v>
      </c>
      <c r="T1396">
        <f>IF(orders[[#This Row],[Status]]="Completed",1,0)</f>
        <v>1</v>
      </c>
      <c r="U1396">
        <f>IF(orders[[#This Row],[Status]]="Pending",1,0)</f>
        <v>0</v>
      </c>
      <c r="V1396">
        <f>IF(orders[[#This Row],[Status]]="Delayed",1,0)</f>
        <v>0</v>
      </c>
      <c r="W1396">
        <f>IF(orders[[#This Row],[Status]]="Cancelled",1,0)</f>
        <v>0</v>
      </c>
    </row>
    <row r="1397" spans="1:23" x14ac:dyDescent="0.35">
      <c r="A1397" t="s">
        <v>1778</v>
      </c>
      <c r="B1397" s="1">
        <v>45907</v>
      </c>
      <c r="C1397" t="s">
        <v>701</v>
      </c>
      <c r="D1397" t="s">
        <v>38</v>
      </c>
      <c r="E1397" t="s">
        <v>52</v>
      </c>
      <c r="F1397" t="s">
        <v>23</v>
      </c>
      <c r="G1397" t="s">
        <v>24</v>
      </c>
      <c r="H1397" s="7">
        <v>1</v>
      </c>
      <c r="I1397" s="4">
        <v>6519.78</v>
      </c>
      <c r="J1397" s="23">
        <v>0.05</v>
      </c>
      <c r="K1397" s="4">
        <v>6193.79</v>
      </c>
      <c r="L1397" s="4">
        <v>5307.34</v>
      </c>
      <c r="M1397" s="4">
        <v>886.45</v>
      </c>
      <c r="N1397" t="s">
        <v>25</v>
      </c>
      <c r="O1397" s="7">
        <v>5</v>
      </c>
      <c r="P1397" s="2">
        <v>45907.208333333336</v>
      </c>
      <c r="Q1397" t="s">
        <v>41</v>
      </c>
      <c r="R1397">
        <v>9</v>
      </c>
      <c r="S1397" t="s">
        <v>42</v>
      </c>
      <c r="T1397">
        <f>IF(orders[[#This Row],[Status]]="Completed",1,0)</f>
        <v>1</v>
      </c>
      <c r="U1397">
        <f>IF(orders[[#This Row],[Status]]="Pending",1,0)</f>
        <v>0</v>
      </c>
      <c r="V1397">
        <f>IF(orders[[#This Row],[Status]]="Delayed",1,0)</f>
        <v>0</v>
      </c>
      <c r="W1397">
        <f>IF(orders[[#This Row],[Status]]="Cancelled",1,0)</f>
        <v>0</v>
      </c>
    </row>
    <row r="1398" spans="1:23" x14ac:dyDescent="0.35">
      <c r="A1398" t="s">
        <v>1779</v>
      </c>
      <c r="B1398" s="1">
        <v>45693</v>
      </c>
      <c r="C1398" t="s">
        <v>20</v>
      </c>
      <c r="D1398" t="s">
        <v>149</v>
      </c>
      <c r="E1398" t="s">
        <v>46</v>
      </c>
      <c r="F1398" t="s">
        <v>39</v>
      </c>
      <c r="G1398" t="s">
        <v>114</v>
      </c>
      <c r="H1398" s="7">
        <v>7</v>
      </c>
      <c r="I1398" s="4">
        <v>45780.07</v>
      </c>
      <c r="J1398" s="23">
        <v>0.15</v>
      </c>
      <c r="K1398" s="4">
        <v>38913.06</v>
      </c>
      <c r="L1398" s="4">
        <v>25813.58</v>
      </c>
      <c r="M1398" s="4">
        <v>13099.48</v>
      </c>
      <c r="N1398" t="s">
        <v>25</v>
      </c>
      <c r="O1398" s="7">
        <v>35</v>
      </c>
      <c r="P1398" s="2">
        <v>45694.458333333336</v>
      </c>
      <c r="Q1398" t="s">
        <v>139</v>
      </c>
      <c r="R1398">
        <v>2</v>
      </c>
      <c r="S1398" t="s">
        <v>55</v>
      </c>
      <c r="T1398">
        <f>IF(orders[[#This Row],[Status]]="Completed",1,0)</f>
        <v>1</v>
      </c>
      <c r="U1398">
        <f>IF(orders[[#This Row],[Status]]="Pending",1,0)</f>
        <v>0</v>
      </c>
      <c r="V1398">
        <f>IF(orders[[#This Row],[Status]]="Delayed",1,0)</f>
        <v>0</v>
      </c>
      <c r="W1398">
        <f>IF(orders[[#This Row],[Status]]="Cancelled",1,0)</f>
        <v>0</v>
      </c>
    </row>
    <row r="1399" spans="1:23" x14ac:dyDescent="0.35">
      <c r="A1399" t="s">
        <v>1780</v>
      </c>
      <c r="B1399" s="1">
        <v>45896</v>
      </c>
      <c r="C1399" t="s">
        <v>190</v>
      </c>
      <c r="D1399" t="s">
        <v>51</v>
      </c>
      <c r="E1399" t="s">
        <v>31</v>
      </c>
      <c r="F1399" t="s">
        <v>72</v>
      </c>
      <c r="G1399" t="s">
        <v>104</v>
      </c>
      <c r="H1399" s="7">
        <v>5</v>
      </c>
      <c r="I1399" s="4">
        <v>15623.9</v>
      </c>
      <c r="J1399" s="23">
        <v>0.2</v>
      </c>
      <c r="K1399" s="4">
        <v>12499.12</v>
      </c>
      <c r="L1399" s="4">
        <v>10848.61</v>
      </c>
      <c r="M1399" s="4">
        <v>1650.51</v>
      </c>
      <c r="N1399" t="s">
        <v>25</v>
      </c>
      <c r="O1399" s="7">
        <v>16</v>
      </c>
      <c r="P1399" s="2">
        <v>45896.666666666664</v>
      </c>
      <c r="Q1399" t="s">
        <v>80</v>
      </c>
      <c r="R1399">
        <v>8</v>
      </c>
      <c r="S1399" t="s">
        <v>42</v>
      </c>
      <c r="T1399">
        <f>IF(orders[[#This Row],[Status]]="Completed",1,0)</f>
        <v>1</v>
      </c>
      <c r="U1399">
        <f>IF(orders[[#This Row],[Status]]="Pending",1,0)</f>
        <v>0</v>
      </c>
      <c r="V1399">
        <f>IF(orders[[#This Row],[Status]]="Delayed",1,0)</f>
        <v>0</v>
      </c>
      <c r="W1399">
        <f>IF(orders[[#This Row],[Status]]="Cancelled",1,0)</f>
        <v>0</v>
      </c>
    </row>
    <row r="1400" spans="1:23" x14ac:dyDescent="0.35">
      <c r="A1400" t="s">
        <v>1781</v>
      </c>
      <c r="B1400" s="1">
        <v>45805</v>
      </c>
      <c r="C1400" t="s">
        <v>621</v>
      </c>
      <c r="D1400" t="s">
        <v>58</v>
      </c>
      <c r="E1400" t="s">
        <v>22</v>
      </c>
      <c r="F1400" t="s">
        <v>23</v>
      </c>
      <c r="G1400" t="s">
        <v>136</v>
      </c>
      <c r="H1400" s="7">
        <v>2</v>
      </c>
      <c r="I1400" s="4">
        <v>4877.18</v>
      </c>
      <c r="J1400" s="23">
        <v>0.05</v>
      </c>
      <c r="K1400" s="4">
        <v>4633.32</v>
      </c>
      <c r="L1400" s="4">
        <v>3940.13</v>
      </c>
      <c r="M1400" s="4">
        <v>693.19</v>
      </c>
      <c r="N1400" t="s">
        <v>48</v>
      </c>
      <c r="O1400" s="7">
        <v>18</v>
      </c>
      <c r="P1400" s="2">
        <v>45805.75</v>
      </c>
      <c r="Q1400" t="s">
        <v>74</v>
      </c>
      <c r="R1400">
        <v>5</v>
      </c>
      <c r="S1400" t="s">
        <v>27</v>
      </c>
      <c r="T1400">
        <f>IF(orders[[#This Row],[Status]]="Completed",1,0)</f>
        <v>0</v>
      </c>
      <c r="U1400">
        <f>IF(orders[[#This Row],[Status]]="Pending",1,0)</f>
        <v>0</v>
      </c>
      <c r="V1400">
        <f>IF(orders[[#This Row],[Status]]="Delayed",1,0)</f>
        <v>0</v>
      </c>
      <c r="W1400">
        <f>IF(orders[[#This Row],[Status]]="Cancelled",1,0)</f>
        <v>1</v>
      </c>
    </row>
    <row r="1401" spans="1:23" x14ac:dyDescent="0.35">
      <c r="A1401" t="s">
        <v>1782</v>
      </c>
      <c r="B1401" s="1">
        <v>45884</v>
      </c>
      <c r="C1401" t="s">
        <v>1395</v>
      </c>
      <c r="D1401" t="s">
        <v>30</v>
      </c>
      <c r="E1401" t="s">
        <v>78</v>
      </c>
      <c r="F1401" t="s">
        <v>32</v>
      </c>
      <c r="G1401" t="s">
        <v>64</v>
      </c>
      <c r="H1401" s="7">
        <v>4</v>
      </c>
      <c r="I1401" s="4">
        <v>27358.880000000001</v>
      </c>
      <c r="J1401" s="23">
        <v>0</v>
      </c>
      <c r="K1401" s="4">
        <v>27358.880000000001</v>
      </c>
      <c r="L1401" s="4">
        <v>20740</v>
      </c>
      <c r="M1401" s="4">
        <v>6618.88</v>
      </c>
      <c r="N1401" t="s">
        <v>98</v>
      </c>
      <c r="O1401" s="7">
        <v>6</v>
      </c>
      <c r="P1401" s="2">
        <v>45884.25</v>
      </c>
      <c r="Q1401" t="s">
        <v>80</v>
      </c>
      <c r="R1401">
        <v>8</v>
      </c>
      <c r="S1401" t="s">
        <v>42</v>
      </c>
      <c r="T1401">
        <f>IF(orders[[#This Row],[Status]]="Completed",1,0)</f>
        <v>0</v>
      </c>
      <c r="U1401">
        <f>IF(orders[[#This Row],[Status]]="Pending",1,0)</f>
        <v>1</v>
      </c>
      <c r="V1401">
        <f>IF(orders[[#This Row],[Status]]="Delayed",1,0)</f>
        <v>0</v>
      </c>
      <c r="W1401">
        <f>IF(orders[[#This Row],[Status]]="Cancelled",1,0)</f>
        <v>0</v>
      </c>
    </row>
    <row r="1402" spans="1:23" x14ac:dyDescent="0.35">
      <c r="A1402" t="s">
        <v>1783</v>
      </c>
      <c r="B1402" s="1">
        <v>45901</v>
      </c>
      <c r="C1402" t="s">
        <v>329</v>
      </c>
      <c r="D1402" t="s">
        <v>51</v>
      </c>
      <c r="E1402" t="s">
        <v>22</v>
      </c>
      <c r="F1402" t="s">
        <v>23</v>
      </c>
      <c r="G1402" t="s">
        <v>69</v>
      </c>
      <c r="H1402" s="7">
        <v>2</v>
      </c>
      <c r="I1402" s="4">
        <v>6598.88</v>
      </c>
      <c r="J1402" s="23">
        <v>0</v>
      </c>
      <c r="K1402" s="4">
        <v>6598.88</v>
      </c>
      <c r="L1402" s="4">
        <v>4892.0200000000004</v>
      </c>
      <c r="M1402" s="4">
        <v>1706.86</v>
      </c>
      <c r="N1402" t="s">
        <v>48</v>
      </c>
      <c r="O1402" s="7">
        <v>4</v>
      </c>
      <c r="P1402" s="2">
        <v>45901.166666666664</v>
      </c>
      <c r="Q1402" t="s">
        <v>41</v>
      </c>
      <c r="R1402">
        <v>9</v>
      </c>
      <c r="S1402" t="s">
        <v>42</v>
      </c>
      <c r="T1402">
        <f>IF(orders[[#This Row],[Status]]="Completed",1,0)</f>
        <v>0</v>
      </c>
      <c r="U1402">
        <f>IF(orders[[#This Row],[Status]]="Pending",1,0)</f>
        <v>0</v>
      </c>
      <c r="V1402">
        <f>IF(orders[[#This Row],[Status]]="Delayed",1,0)</f>
        <v>0</v>
      </c>
      <c r="W1402">
        <f>IF(orders[[#This Row],[Status]]="Cancelled",1,0)</f>
        <v>1</v>
      </c>
    </row>
    <row r="1403" spans="1:23" x14ac:dyDescent="0.35">
      <c r="A1403" t="s">
        <v>1784</v>
      </c>
      <c r="B1403" s="1">
        <v>45994</v>
      </c>
      <c r="C1403" t="s">
        <v>388</v>
      </c>
      <c r="D1403" t="s">
        <v>45</v>
      </c>
      <c r="E1403" t="s">
        <v>46</v>
      </c>
      <c r="F1403" t="s">
        <v>39</v>
      </c>
      <c r="G1403" t="s">
        <v>47</v>
      </c>
      <c r="H1403" s="7">
        <v>7</v>
      </c>
      <c r="I1403" s="4">
        <v>53850.02</v>
      </c>
      <c r="J1403" s="23">
        <v>0.1</v>
      </c>
      <c r="K1403" s="4">
        <v>48465.02</v>
      </c>
      <c r="L1403" s="4">
        <v>32574.77</v>
      </c>
      <c r="M1403" s="4">
        <v>15890.25</v>
      </c>
      <c r="N1403" t="s">
        <v>85</v>
      </c>
      <c r="O1403" s="7">
        <v>63</v>
      </c>
      <c r="P1403" s="2">
        <v>45996.625</v>
      </c>
      <c r="Q1403" t="s">
        <v>34</v>
      </c>
      <c r="R1403">
        <v>12</v>
      </c>
      <c r="S1403" t="s">
        <v>35</v>
      </c>
      <c r="T1403">
        <f>IF(orders[[#This Row],[Status]]="Completed",1,0)</f>
        <v>0</v>
      </c>
      <c r="U1403">
        <f>IF(orders[[#This Row],[Status]]="Pending",1,0)</f>
        <v>0</v>
      </c>
      <c r="V1403">
        <f>IF(orders[[#This Row],[Status]]="Delayed",1,0)</f>
        <v>1</v>
      </c>
      <c r="W1403">
        <f>IF(orders[[#This Row],[Status]]="Cancelled",1,0)</f>
        <v>0</v>
      </c>
    </row>
    <row r="1404" spans="1:23" x14ac:dyDescent="0.35">
      <c r="A1404" t="s">
        <v>1785</v>
      </c>
      <c r="B1404" s="1">
        <v>46022</v>
      </c>
      <c r="C1404" t="s">
        <v>175</v>
      </c>
      <c r="D1404" t="s">
        <v>21</v>
      </c>
      <c r="E1404" t="s">
        <v>52</v>
      </c>
      <c r="F1404" t="s">
        <v>83</v>
      </c>
      <c r="G1404" t="s">
        <v>182</v>
      </c>
      <c r="H1404" s="7">
        <v>1</v>
      </c>
      <c r="I1404" s="4">
        <v>731.92</v>
      </c>
      <c r="J1404" s="23">
        <v>0.05</v>
      </c>
      <c r="K1404" s="4">
        <v>695.32</v>
      </c>
      <c r="L1404" s="4">
        <v>386.63</v>
      </c>
      <c r="M1404" s="4">
        <v>308.69</v>
      </c>
      <c r="N1404" t="s">
        <v>25</v>
      </c>
      <c r="O1404" s="7">
        <v>7</v>
      </c>
      <c r="P1404" s="2">
        <v>46022.291666666664</v>
      </c>
      <c r="Q1404" t="s">
        <v>34</v>
      </c>
      <c r="R1404">
        <v>12</v>
      </c>
      <c r="S1404" t="s">
        <v>35</v>
      </c>
      <c r="T1404">
        <f>IF(orders[[#This Row],[Status]]="Completed",1,0)</f>
        <v>1</v>
      </c>
      <c r="U1404">
        <f>IF(orders[[#This Row],[Status]]="Pending",1,0)</f>
        <v>0</v>
      </c>
      <c r="V1404">
        <f>IF(orders[[#This Row],[Status]]="Delayed",1,0)</f>
        <v>0</v>
      </c>
      <c r="W1404">
        <f>IF(orders[[#This Row],[Status]]="Cancelled",1,0)</f>
        <v>0</v>
      </c>
    </row>
    <row r="1405" spans="1:23" x14ac:dyDescent="0.35">
      <c r="A1405" t="s">
        <v>1786</v>
      </c>
      <c r="B1405" s="1">
        <v>45858</v>
      </c>
      <c r="C1405" t="s">
        <v>1320</v>
      </c>
      <c r="D1405" t="s">
        <v>21</v>
      </c>
      <c r="E1405" t="s">
        <v>52</v>
      </c>
      <c r="F1405" t="s">
        <v>32</v>
      </c>
      <c r="G1405" t="s">
        <v>33</v>
      </c>
      <c r="H1405" s="7">
        <v>4</v>
      </c>
      <c r="I1405" s="4">
        <v>2544.48</v>
      </c>
      <c r="J1405" s="23">
        <v>0.25</v>
      </c>
      <c r="K1405" s="4">
        <v>1908.36</v>
      </c>
      <c r="L1405" s="4">
        <v>1129.97</v>
      </c>
      <c r="M1405" s="4">
        <v>778.39</v>
      </c>
      <c r="N1405" t="s">
        <v>25</v>
      </c>
      <c r="O1405" s="7">
        <v>27</v>
      </c>
      <c r="P1405" s="2">
        <v>45859.125</v>
      </c>
      <c r="Q1405" t="s">
        <v>60</v>
      </c>
      <c r="R1405">
        <v>7</v>
      </c>
      <c r="S1405" t="s">
        <v>42</v>
      </c>
      <c r="T1405">
        <f>IF(orders[[#This Row],[Status]]="Completed",1,0)</f>
        <v>1</v>
      </c>
      <c r="U1405">
        <f>IF(orders[[#This Row],[Status]]="Pending",1,0)</f>
        <v>0</v>
      </c>
      <c r="V1405">
        <f>IF(orders[[#This Row],[Status]]="Delayed",1,0)</f>
        <v>0</v>
      </c>
      <c r="W1405">
        <f>IF(orders[[#This Row],[Status]]="Cancelled",1,0)</f>
        <v>0</v>
      </c>
    </row>
    <row r="1406" spans="1:23" x14ac:dyDescent="0.35">
      <c r="A1406" t="s">
        <v>1787</v>
      </c>
      <c r="B1406" s="1">
        <v>45811</v>
      </c>
      <c r="C1406" t="s">
        <v>1442</v>
      </c>
      <c r="D1406" t="s">
        <v>30</v>
      </c>
      <c r="E1406" t="s">
        <v>52</v>
      </c>
      <c r="F1406" t="s">
        <v>72</v>
      </c>
      <c r="G1406" t="s">
        <v>73</v>
      </c>
      <c r="H1406" s="7">
        <v>6</v>
      </c>
      <c r="I1406" s="4">
        <v>47342.879999999997</v>
      </c>
      <c r="J1406" s="23">
        <v>0.15</v>
      </c>
      <c r="K1406" s="4">
        <v>40241.449999999997</v>
      </c>
      <c r="L1406" s="4">
        <v>32148.75</v>
      </c>
      <c r="M1406" s="4">
        <v>8092.7</v>
      </c>
      <c r="N1406" t="s">
        <v>85</v>
      </c>
      <c r="O1406" s="7">
        <v>50</v>
      </c>
      <c r="P1406" s="2">
        <v>45813.083333333336</v>
      </c>
      <c r="Q1406" t="s">
        <v>99</v>
      </c>
      <c r="R1406">
        <v>6</v>
      </c>
      <c r="S1406" t="s">
        <v>27</v>
      </c>
      <c r="T1406">
        <f>IF(orders[[#This Row],[Status]]="Completed",1,0)</f>
        <v>0</v>
      </c>
      <c r="U1406">
        <f>IF(orders[[#This Row],[Status]]="Pending",1,0)</f>
        <v>0</v>
      </c>
      <c r="V1406">
        <f>IF(orders[[#This Row],[Status]]="Delayed",1,0)</f>
        <v>1</v>
      </c>
      <c r="W1406">
        <f>IF(orders[[#This Row],[Status]]="Cancelled",1,0)</f>
        <v>0</v>
      </c>
    </row>
    <row r="1407" spans="1:23" x14ac:dyDescent="0.35">
      <c r="A1407" t="s">
        <v>1788</v>
      </c>
      <c r="B1407" s="1">
        <v>45730</v>
      </c>
      <c r="C1407" t="s">
        <v>95</v>
      </c>
      <c r="D1407" t="s">
        <v>68</v>
      </c>
      <c r="E1407" t="s">
        <v>52</v>
      </c>
      <c r="F1407" t="s">
        <v>39</v>
      </c>
      <c r="G1407" t="s">
        <v>93</v>
      </c>
      <c r="H1407" s="7">
        <v>3</v>
      </c>
      <c r="I1407" s="4">
        <v>16693.8</v>
      </c>
      <c r="J1407" s="23">
        <v>0.15</v>
      </c>
      <c r="K1407" s="4">
        <v>14189.73</v>
      </c>
      <c r="L1407" s="4">
        <v>10012.39</v>
      </c>
      <c r="M1407" s="4">
        <v>4177.34</v>
      </c>
      <c r="N1407" t="s">
        <v>98</v>
      </c>
      <c r="O1407" s="7">
        <v>18</v>
      </c>
      <c r="P1407" s="2">
        <v>45730.75</v>
      </c>
      <c r="Q1407" t="s">
        <v>54</v>
      </c>
      <c r="R1407">
        <v>3</v>
      </c>
      <c r="S1407" t="s">
        <v>55</v>
      </c>
      <c r="T1407">
        <f>IF(orders[[#This Row],[Status]]="Completed",1,0)</f>
        <v>0</v>
      </c>
      <c r="U1407">
        <f>IF(orders[[#This Row],[Status]]="Pending",1,0)</f>
        <v>1</v>
      </c>
      <c r="V1407">
        <f>IF(orders[[#This Row],[Status]]="Delayed",1,0)</f>
        <v>0</v>
      </c>
      <c r="W1407">
        <f>IF(orders[[#This Row],[Status]]="Cancelled",1,0)</f>
        <v>0</v>
      </c>
    </row>
    <row r="1408" spans="1:23" x14ac:dyDescent="0.35">
      <c r="A1408" t="s">
        <v>1789</v>
      </c>
      <c r="B1408" s="1">
        <v>45858</v>
      </c>
      <c r="C1408" t="s">
        <v>91</v>
      </c>
      <c r="D1408" t="s">
        <v>68</v>
      </c>
      <c r="E1408" t="s">
        <v>78</v>
      </c>
      <c r="F1408" t="s">
        <v>83</v>
      </c>
      <c r="G1408" t="s">
        <v>182</v>
      </c>
      <c r="H1408" s="7">
        <v>5</v>
      </c>
      <c r="I1408" s="4">
        <v>16598.25</v>
      </c>
      <c r="J1408" s="23">
        <v>0.25</v>
      </c>
      <c r="K1408" s="4">
        <v>12448.69</v>
      </c>
      <c r="L1408" s="4">
        <v>7462.32</v>
      </c>
      <c r="M1408" s="4">
        <v>4986.37</v>
      </c>
      <c r="N1408" t="s">
        <v>98</v>
      </c>
      <c r="O1408" s="7">
        <v>24</v>
      </c>
      <c r="P1408" s="2">
        <v>45859</v>
      </c>
      <c r="Q1408" t="s">
        <v>60</v>
      </c>
      <c r="R1408">
        <v>7</v>
      </c>
      <c r="S1408" t="s">
        <v>42</v>
      </c>
      <c r="T1408">
        <f>IF(orders[[#This Row],[Status]]="Completed",1,0)</f>
        <v>0</v>
      </c>
      <c r="U1408">
        <f>IF(orders[[#This Row],[Status]]="Pending",1,0)</f>
        <v>1</v>
      </c>
      <c r="V1408">
        <f>IF(orders[[#This Row],[Status]]="Delayed",1,0)</f>
        <v>0</v>
      </c>
      <c r="W1408">
        <f>IF(orders[[#This Row],[Status]]="Cancelled",1,0)</f>
        <v>0</v>
      </c>
    </row>
    <row r="1409" spans="1:23" x14ac:dyDescent="0.35">
      <c r="A1409" t="s">
        <v>1790</v>
      </c>
      <c r="B1409" s="1">
        <v>45953</v>
      </c>
      <c r="C1409" t="s">
        <v>437</v>
      </c>
      <c r="D1409" t="s">
        <v>38</v>
      </c>
      <c r="E1409" t="s">
        <v>113</v>
      </c>
      <c r="F1409" t="s">
        <v>23</v>
      </c>
      <c r="G1409" t="s">
        <v>110</v>
      </c>
      <c r="H1409" s="7">
        <v>2</v>
      </c>
      <c r="I1409" s="4">
        <v>12909.5</v>
      </c>
      <c r="J1409" s="23">
        <v>0.2</v>
      </c>
      <c r="K1409" s="4">
        <v>10327.6</v>
      </c>
      <c r="L1409" s="4">
        <v>6579.79</v>
      </c>
      <c r="M1409" s="4">
        <v>3747.81</v>
      </c>
      <c r="N1409" t="s">
        <v>25</v>
      </c>
      <c r="O1409" s="7">
        <v>24</v>
      </c>
      <c r="P1409" s="2">
        <v>45954</v>
      </c>
      <c r="Q1409" t="s">
        <v>116</v>
      </c>
      <c r="R1409">
        <v>10</v>
      </c>
      <c r="S1409" t="s">
        <v>35</v>
      </c>
      <c r="T1409">
        <f>IF(orders[[#This Row],[Status]]="Completed",1,0)</f>
        <v>1</v>
      </c>
      <c r="U1409">
        <f>IF(orders[[#This Row],[Status]]="Pending",1,0)</f>
        <v>0</v>
      </c>
      <c r="V1409">
        <f>IF(orders[[#This Row],[Status]]="Delayed",1,0)</f>
        <v>0</v>
      </c>
      <c r="W1409">
        <f>IF(orders[[#This Row],[Status]]="Cancelled",1,0)</f>
        <v>0</v>
      </c>
    </row>
    <row r="1410" spans="1:23" x14ac:dyDescent="0.35">
      <c r="A1410" t="s">
        <v>1791</v>
      </c>
      <c r="B1410" s="1">
        <v>45674</v>
      </c>
      <c r="C1410" t="s">
        <v>1425</v>
      </c>
      <c r="D1410" t="s">
        <v>149</v>
      </c>
      <c r="E1410" t="s">
        <v>113</v>
      </c>
      <c r="F1410" t="s">
        <v>83</v>
      </c>
      <c r="G1410" t="s">
        <v>152</v>
      </c>
      <c r="H1410" s="7">
        <v>1</v>
      </c>
      <c r="I1410" s="4">
        <v>5763.93</v>
      </c>
      <c r="J1410" s="23">
        <v>0.05</v>
      </c>
      <c r="K1410" s="4">
        <v>5475.73</v>
      </c>
      <c r="L1410" s="4">
        <v>4724.38</v>
      </c>
      <c r="M1410" s="4">
        <v>751.35</v>
      </c>
      <c r="N1410" t="s">
        <v>25</v>
      </c>
      <c r="O1410" s="7">
        <v>33</v>
      </c>
      <c r="P1410" s="2">
        <v>45675.375</v>
      </c>
      <c r="Q1410" t="s">
        <v>65</v>
      </c>
      <c r="R1410">
        <v>1</v>
      </c>
      <c r="S1410" t="s">
        <v>55</v>
      </c>
      <c r="T1410">
        <f>IF(orders[[#This Row],[Status]]="Completed",1,0)</f>
        <v>1</v>
      </c>
      <c r="U1410">
        <f>IF(orders[[#This Row],[Status]]="Pending",1,0)</f>
        <v>0</v>
      </c>
      <c r="V1410">
        <f>IF(orders[[#This Row],[Status]]="Delayed",1,0)</f>
        <v>0</v>
      </c>
      <c r="W1410">
        <f>IF(orders[[#This Row],[Status]]="Cancelled",1,0)</f>
        <v>0</v>
      </c>
    </row>
    <row r="1411" spans="1:23" x14ac:dyDescent="0.35">
      <c r="A1411" t="s">
        <v>1792</v>
      </c>
      <c r="B1411" s="1">
        <v>45786</v>
      </c>
      <c r="C1411" t="s">
        <v>1320</v>
      </c>
      <c r="D1411" t="s">
        <v>63</v>
      </c>
      <c r="E1411" t="s">
        <v>46</v>
      </c>
      <c r="F1411" t="s">
        <v>39</v>
      </c>
      <c r="G1411" t="s">
        <v>188</v>
      </c>
      <c r="H1411" s="7">
        <v>3</v>
      </c>
      <c r="I1411" s="4">
        <v>13756.59</v>
      </c>
      <c r="J1411" s="23">
        <v>0</v>
      </c>
      <c r="K1411" s="4">
        <v>13756.59</v>
      </c>
      <c r="L1411" s="4">
        <v>9232.7900000000009</v>
      </c>
      <c r="M1411" s="4">
        <v>4523.8</v>
      </c>
      <c r="N1411" t="s">
        <v>25</v>
      </c>
      <c r="O1411" s="7">
        <v>29</v>
      </c>
      <c r="P1411" s="2">
        <v>45787.208333333336</v>
      </c>
      <c r="Q1411" t="s">
        <v>74</v>
      </c>
      <c r="R1411">
        <v>5</v>
      </c>
      <c r="S1411" t="s">
        <v>27</v>
      </c>
      <c r="T1411">
        <f>IF(orders[[#This Row],[Status]]="Completed",1,0)</f>
        <v>1</v>
      </c>
      <c r="U1411">
        <f>IF(orders[[#This Row],[Status]]="Pending",1,0)</f>
        <v>0</v>
      </c>
      <c r="V1411">
        <f>IF(orders[[#This Row],[Status]]="Delayed",1,0)</f>
        <v>0</v>
      </c>
      <c r="W1411">
        <f>IF(orders[[#This Row],[Status]]="Cancelled",1,0)</f>
        <v>0</v>
      </c>
    </row>
    <row r="1412" spans="1:23" x14ac:dyDescent="0.35">
      <c r="A1412" t="s">
        <v>1793</v>
      </c>
      <c r="B1412" s="1">
        <v>45874</v>
      </c>
      <c r="C1412" t="s">
        <v>192</v>
      </c>
      <c r="D1412" t="s">
        <v>45</v>
      </c>
      <c r="E1412" t="s">
        <v>22</v>
      </c>
      <c r="F1412" t="s">
        <v>39</v>
      </c>
      <c r="G1412" t="s">
        <v>93</v>
      </c>
      <c r="H1412" s="7">
        <v>5</v>
      </c>
      <c r="I1412" s="4">
        <v>4877.95</v>
      </c>
      <c r="J1412" s="23">
        <v>0.15</v>
      </c>
      <c r="K1412" s="4">
        <v>4146.26</v>
      </c>
      <c r="L1412" s="4">
        <v>3522.39</v>
      </c>
      <c r="M1412" s="4">
        <v>623.87</v>
      </c>
      <c r="N1412" t="s">
        <v>25</v>
      </c>
      <c r="O1412" s="7">
        <v>23</v>
      </c>
      <c r="P1412" s="2">
        <v>45874.958333333336</v>
      </c>
      <c r="Q1412" t="s">
        <v>80</v>
      </c>
      <c r="R1412">
        <v>8</v>
      </c>
      <c r="S1412" t="s">
        <v>42</v>
      </c>
      <c r="T1412">
        <f>IF(orders[[#This Row],[Status]]="Completed",1,0)</f>
        <v>1</v>
      </c>
      <c r="U1412">
        <f>IF(orders[[#This Row],[Status]]="Pending",1,0)</f>
        <v>0</v>
      </c>
      <c r="V1412">
        <f>IF(orders[[#This Row],[Status]]="Delayed",1,0)</f>
        <v>0</v>
      </c>
      <c r="W1412">
        <f>IF(orders[[#This Row],[Status]]="Cancelled",1,0)</f>
        <v>0</v>
      </c>
    </row>
    <row r="1413" spans="1:23" x14ac:dyDescent="0.35">
      <c r="A1413" t="s">
        <v>1794</v>
      </c>
      <c r="B1413" s="1">
        <v>45718</v>
      </c>
      <c r="C1413" t="s">
        <v>1579</v>
      </c>
      <c r="D1413" t="s">
        <v>51</v>
      </c>
      <c r="E1413" t="s">
        <v>92</v>
      </c>
      <c r="F1413" t="s">
        <v>83</v>
      </c>
      <c r="G1413" t="s">
        <v>107</v>
      </c>
      <c r="H1413" s="7">
        <v>3</v>
      </c>
      <c r="I1413" s="4">
        <v>20795.099999999999</v>
      </c>
      <c r="J1413" s="23">
        <v>0.05</v>
      </c>
      <c r="K1413" s="4">
        <v>19755.34</v>
      </c>
      <c r="L1413" s="4">
        <v>12851.44</v>
      </c>
      <c r="M1413" s="4">
        <v>6903.9</v>
      </c>
      <c r="N1413" t="s">
        <v>25</v>
      </c>
      <c r="O1413" s="7">
        <v>19</v>
      </c>
      <c r="P1413" s="2">
        <v>45718.791666666664</v>
      </c>
      <c r="Q1413" t="s">
        <v>54</v>
      </c>
      <c r="R1413">
        <v>3</v>
      </c>
      <c r="S1413" t="s">
        <v>55</v>
      </c>
      <c r="T1413">
        <f>IF(orders[[#This Row],[Status]]="Completed",1,0)</f>
        <v>1</v>
      </c>
      <c r="U1413">
        <f>IF(orders[[#This Row],[Status]]="Pending",1,0)</f>
        <v>0</v>
      </c>
      <c r="V1413">
        <f>IF(orders[[#This Row],[Status]]="Delayed",1,0)</f>
        <v>0</v>
      </c>
      <c r="W1413">
        <f>IF(orders[[#This Row],[Status]]="Cancelled",1,0)</f>
        <v>0</v>
      </c>
    </row>
    <row r="1414" spans="1:23" x14ac:dyDescent="0.35">
      <c r="A1414" t="s">
        <v>1795</v>
      </c>
      <c r="B1414" s="1">
        <v>45761</v>
      </c>
      <c r="C1414" t="s">
        <v>1165</v>
      </c>
      <c r="D1414" t="s">
        <v>68</v>
      </c>
      <c r="E1414" t="s">
        <v>78</v>
      </c>
      <c r="F1414" t="s">
        <v>23</v>
      </c>
      <c r="G1414" t="s">
        <v>122</v>
      </c>
      <c r="H1414" s="7">
        <v>5</v>
      </c>
      <c r="I1414" s="4">
        <v>36906.449999999997</v>
      </c>
      <c r="J1414" s="23">
        <v>0.1</v>
      </c>
      <c r="K1414" s="4">
        <v>33215.800000000003</v>
      </c>
      <c r="L1414" s="4">
        <v>24223.040000000001</v>
      </c>
      <c r="M1414" s="4">
        <v>8992.76</v>
      </c>
      <c r="N1414" t="s">
        <v>25</v>
      </c>
      <c r="O1414" s="7">
        <v>6</v>
      </c>
      <c r="P1414" s="2">
        <v>45761.25</v>
      </c>
      <c r="Q1414" t="s">
        <v>26</v>
      </c>
      <c r="R1414">
        <v>4</v>
      </c>
      <c r="S1414" t="s">
        <v>27</v>
      </c>
      <c r="T1414">
        <f>IF(orders[[#This Row],[Status]]="Completed",1,0)</f>
        <v>1</v>
      </c>
      <c r="U1414">
        <f>IF(orders[[#This Row],[Status]]="Pending",1,0)</f>
        <v>0</v>
      </c>
      <c r="V1414">
        <f>IF(orders[[#This Row],[Status]]="Delayed",1,0)</f>
        <v>0</v>
      </c>
      <c r="W1414">
        <f>IF(orders[[#This Row],[Status]]="Cancelled",1,0)</f>
        <v>0</v>
      </c>
    </row>
    <row r="1415" spans="1:23" x14ac:dyDescent="0.35">
      <c r="A1415" t="s">
        <v>1796</v>
      </c>
      <c r="B1415" s="1">
        <v>45699</v>
      </c>
      <c r="C1415" t="s">
        <v>474</v>
      </c>
      <c r="D1415" t="s">
        <v>38</v>
      </c>
      <c r="E1415" t="s">
        <v>78</v>
      </c>
      <c r="F1415" t="s">
        <v>83</v>
      </c>
      <c r="G1415" t="s">
        <v>182</v>
      </c>
      <c r="H1415" s="7">
        <v>6</v>
      </c>
      <c r="I1415" s="4">
        <v>9525.66</v>
      </c>
      <c r="J1415" s="23">
        <v>0.1</v>
      </c>
      <c r="K1415" s="4">
        <v>8573.09</v>
      </c>
      <c r="L1415" s="4">
        <v>4773.13</v>
      </c>
      <c r="M1415" s="4">
        <v>3799.96</v>
      </c>
      <c r="N1415" t="s">
        <v>25</v>
      </c>
      <c r="O1415" s="7">
        <v>40</v>
      </c>
      <c r="P1415" s="2">
        <v>45700.666666666664</v>
      </c>
      <c r="Q1415" t="s">
        <v>139</v>
      </c>
      <c r="R1415">
        <v>2</v>
      </c>
      <c r="S1415" t="s">
        <v>55</v>
      </c>
      <c r="T1415">
        <f>IF(orders[[#This Row],[Status]]="Completed",1,0)</f>
        <v>1</v>
      </c>
      <c r="U1415">
        <f>IF(orders[[#This Row],[Status]]="Pending",1,0)</f>
        <v>0</v>
      </c>
      <c r="V1415">
        <f>IF(orders[[#This Row],[Status]]="Delayed",1,0)</f>
        <v>0</v>
      </c>
      <c r="W1415">
        <f>IF(orders[[#This Row],[Status]]="Cancelled",1,0)</f>
        <v>0</v>
      </c>
    </row>
    <row r="1416" spans="1:23" x14ac:dyDescent="0.35">
      <c r="A1416" t="s">
        <v>1797</v>
      </c>
      <c r="B1416" s="1">
        <v>45682</v>
      </c>
      <c r="C1416" t="s">
        <v>62</v>
      </c>
      <c r="D1416" t="s">
        <v>38</v>
      </c>
      <c r="E1416" t="s">
        <v>59</v>
      </c>
      <c r="F1416" t="s">
        <v>39</v>
      </c>
      <c r="G1416" t="s">
        <v>114</v>
      </c>
      <c r="H1416" s="7">
        <v>4</v>
      </c>
      <c r="I1416" s="4">
        <v>29007.08</v>
      </c>
      <c r="J1416" s="23">
        <v>0.2</v>
      </c>
      <c r="K1416" s="4">
        <v>23205.66</v>
      </c>
      <c r="L1416" s="4">
        <v>16759.560000000001</v>
      </c>
      <c r="M1416" s="4">
        <v>6446.1</v>
      </c>
      <c r="N1416" t="s">
        <v>25</v>
      </c>
      <c r="O1416" s="7">
        <v>43</v>
      </c>
      <c r="P1416" s="2">
        <v>45683.791666666664</v>
      </c>
      <c r="Q1416" t="s">
        <v>65</v>
      </c>
      <c r="R1416">
        <v>1</v>
      </c>
      <c r="S1416" t="s">
        <v>55</v>
      </c>
      <c r="T1416">
        <f>IF(orders[[#This Row],[Status]]="Completed",1,0)</f>
        <v>1</v>
      </c>
      <c r="U1416">
        <f>IF(orders[[#This Row],[Status]]="Pending",1,0)</f>
        <v>0</v>
      </c>
      <c r="V1416">
        <f>IF(orders[[#This Row],[Status]]="Delayed",1,0)</f>
        <v>0</v>
      </c>
      <c r="W1416">
        <f>IF(orders[[#This Row],[Status]]="Cancelled",1,0)</f>
        <v>0</v>
      </c>
    </row>
    <row r="1417" spans="1:23" x14ac:dyDescent="0.35">
      <c r="A1417" t="s">
        <v>1798</v>
      </c>
      <c r="B1417" s="1">
        <v>45696</v>
      </c>
      <c r="C1417" t="s">
        <v>284</v>
      </c>
      <c r="D1417" t="s">
        <v>30</v>
      </c>
      <c r="E1417" t="s">
        <v>31</v>
      </c>
      <c r="F1417" t="s">
        <v>39</v>
      </c>
      <c r="G1417" t="s">
        <v>47</v>
      </c>
      <c r="H1417" s="7">
        <v>3</v>
      </c>
      <c r="I1417" s="4">
        <v>22440.09</v>
      </c>
      <c r="J1417" s="23">
        <v>0.05</v>
      </c>
      <c r="K1417" s="4">
        <v>21318.09</v>
      </c>
      <c r="L1417" s="4">
        <v>16205.82</v>
      </c>
      <c r="M1417" s="4">
        <v>5112.2700000000004</v>
      </c>
      <c r="N1417" t="s">
        <v>25</v>
      </c>
      <c r="O1417" s="7">
        <v>47</v>
      </c>
      <c r="P1417" s="2">
        <v>45697.958333333336</v>
      </c>
      <c r="Q1417" t="s">
        <v>139</v>
      </c>
      <c r="R1417">
        <v>2</v>
      </c>
      <c r="S1417" t="s">
        <v>55</v>
      </c>
      <c r="T1417">
        <f>IF(orders[[#This Row],[Status]]="Completed",1,0)</f>
        <v>1</v>
      </c>
      <c r="U1417">
        <f>IF(orders[[#This Row],[Status]]="Pending",1,0)</f>
        <v>0</v>
      </c>
      <c r="V1417">
        <f>IF(orders[[#This Row],[Status]]="Delayed",1,0)</f>
        <v>0</v>
      </c>
      <c r="W1417">
        <f>IF(orders[[#This Row],[Status]]="Cancelled",1,0)</f>
        <v>0</v>
      </c>
    </row>
    <row r="1418" spans="1:23" x14ac:dyDescent="0.35">
      <c r="A1418" t="s">
        <v>1799</v>
      </c>
      <c r="B1418" s="1">
        <v>45948</v>
      </c>
      <c r="C1418" t="s">
        <v>424</v>
      </c>
      <c r="D1418" t="s">
        <v>45</v>
      </c>
      <c r="E1418" t="s">
        <v>92</v>
      </c>
      <c r="F1418" t="s">
        <v>72</v>
      </c>
      <c r="G1418" t="s">
        <v>104</v>
      </c>
      <c r="H1418" s="7">
        <v>3</v>
      </c>
      <c r="I1418" s="4">
        <v>14213.19</v>
      </c>
      <c r="J1418" s="23">
        <v>0.15</v>
      </c>
      <c r="K1418" s="4">
        <v>12081.21</v>
      </c>
      <c r="L1418" s="4">
        <v>7578.79</v>
      </c>
      <c r="M1418" s="4">
        <v>4502.42</v>
      </c>
      <c r="N1418" t="s">
        <v>25</v>
      </c>
      <c r="O1418" s="7">
        <v>28</v>
      </c>
      <c r="P1418" s="2">
        <v>45949.166666666664</v>
      </c>
      <c r="Q1418" t="s">
        <v>116</v>
      </c>
      <c r="R1418">
        <v>10</v>
      </c>
      <c r="S1418" t="s">
        <v>35</v>
      </c>
      <c r="T1418">
        <f>IF(orders[[#This Row],[Status]]="Completed",1,0)</f>
        <v>1</v>
      </c>
      <c r="U1418">
        <f>IF(orders[[#This Row],[Status]]="Pending",1,0)</f>
        <v>0</v>
      </c>
      <c r="V1418">
        <f>IF(orders[[#This Row],[Status]]="Delayed",1,0)</f>
        <v>0</v>
      </c>
      <c r="W1418">
        <f>IF(orders[[#This Row],[Status]]="Cancelled",1,0)</f>
        <v>0</v>
      </c>
    </row>
    <row r="1419" spans="1:23" x14ac:dyDescent="0.35">
      <c r="A1419" t="s">
        <v>1800</v>
      </c>
      <c r="B1419" s="1">
        <v>45788</v>
      </c>
      <c r="C1419" t="s">
        <v>231</v>
      </c>
      <c r="D1419" t="s">
        <v>77</v>
      </c>
      <c r="E1419" t="s">
        <v>113</v>
      </c>
      <c r="F1419" t="s">
        <v>72</v>
      </c>
      <c r="G1419" t="s">
        <v>73</v>
      </c>
      <c r="H1419" s="7">
        <v>3</v>
      </c>
      <c r="I1419" s="4">
        <v>16887.27</v>
      </c>
      <c r="J1419" s="23">
        <v>0.05</v>
      </c>
      <c r="K1419" s="4">
        <v>16042.91</v>
      </c>
      <c r="L1419" s="4">
        <v>11888.59</v>
      </c>
      <c r="M1419" s="4">
        <v>4154.32</v>
      </c>
      <c r="N1419" t="s">
        <v>25</v>
      </c>
      <c r="O1419" s="7">
        <v>26</v>
      </c>
      <c r="P1419" s="2">
        <v>45789.083333333336</v>
      </c>
      <c r="Q1419" t="s">
        <v>74</v>
      </c>
      <c r="R1419">
        <v>5</v>
      </c>
      <c r="S1419" t="s">
        <v>27</v>
      </c>
      <c r="T1419">
        <f>IF(orders[[#This Row],[Status]]="Completed",1,0)</f>
        <v>1</v>
      </c>
      <c r="U1419">
        <f>IF(orders[[#This Row],[Status]]="Pending",1,0)</f>
        <v>0</v>
      </c>
      <c r="V1419">
        <f>IF(orders[[#This Row],[Status]]="Delayed",1,0)</f>
        <v>0</v>
      </c>
      <c r="W1419">
        <f>IF(orders[[#This Row],[Status]]="Cancelled",1,0)</f>
        <v>0</v>
      </c>
    </row>
    <row r="1420" spans="1:23" x14ac:dyDescent="0.35">
      <c r="A1420" t="s">
        <v>1801</v>
      </c>
      <c r="B1420" s="1">
        <v>45886</v>
      </c>
      <c r="C1420" t="s">
        <v>556</v>
      </c>
      <c r="D1420" t="s">
        <v>63</v>
      </c>
      <c r="E1420" t="s">
        <v>113</v>
      </c>
      <c r="F1420" t="s">
        <v>32</v>
      </c>
      <c r="G1420" t="s">
        <v>89</v>
      </c>
      <c r="H1420" s="7">
        <v>4</v>
      </c>
      <c r="I1420" s="4">
        <v>13366.72</v>
      </c>
      <c r="J1420" s="23">
        <v>0.1</v>
      </c>
      <c r="K1420" s="4">
        <v>12030.05</v>
      </c>
      <c r="L1420" s="4">
        <v>9185.73</v>
      </c>
      <c r="M1420" s="4">
        <v>2844.32</v>
      </c>
      <c r="N1420" t="s">
        <v>48</v>
      </c>
      <c r="O1420" s="7">
        <v>19</v>
      </c>
      <c r="P1420" s="2">
        <v>45886.791666666664</v>
      </c>
      <c r="Q1420" t="s">
        <v>80</v>
      </c>
      <c r="R1420">
        <v>8</v>
      </c>
      <c r="S1420" t="s">
        <v>42</v>
      </c>
      <c r="T1420">
        <f>IF(orders[[#This Row],[Status]]="Completed",1,0)</f>
        <v>0</v>
      </c>
      <c r="U1420">
        <f>IF(orders[[#This Row],[Status]]="Pending",1,0)</f>
        <v>0</v>
      </c>
      <c r="V1420">
        <f>IF(orders[[#This Row],[Status]]="Delayed",1,0)</f>
        <v>0</v>
      </c>
      <c r="W1420">
        <f>IF(orders[[#This Row],[Status]]="Cancelled",1,0)</f>
        <v>1</v>
      </c>
    </row>
    <row r="1421" spans="1:23" x14ac:dyDescent="0.35">
      <c r="A1421" t="s">
        <v>1802</v>
      </c>
      <c r="B1421" s="1">
        <v>45765</v>
      </c>
      <c r="C1421" t="s">
        <v>20</v>
      </c>
      <c r="D1421" t="s">
        <v>149</v>
      </c>
      <c r="E1421" t="s">
        <v>113</v>
      </c>
      <c r="F1421" t="s">
        <v>39</v>
      </c>
      <c r="G1421" t="s">
        <v>47</v>
      </c>
      <c r="H1421" s="7">
        <v>1</v>
      </c>
      <c r="I1421" s="4">
        <v>2502.96</v>
      </c>
      <c r="J1421" s="23">
        <v>0</v>
      </c>
      <c r="K1421" s="4">
        <v>2502.96</v>
      </c>
      <c r="L1421" s="4">
        <v>1943.98</v>
      </c>
      <c r="M1421" s="4">
        <v>558.98</v>
      </c>
      <c r="N1421" t="s">
        <v>25</v>
      </c>
      <c r="O1421" s="7">
        <v>4</v>
      </c>
      <c r="P1421" s="2">
        <v>45765.166666666664</v>
      </c>
      <c r="Q1421" t="s">
        <v>26</v>
      </c>
      <c r="R1421">
        <v>4</v>
      </c>
      <c r="S1421" t="s">
        <v>27</v>
      </c>
      <c r="T1421">
        <f>IF(orders[[#This Row],[Status]]="Completed",1,0)</f>
        <v>1</v>
      </c>
      <c r="U1421">
        <f>IF(orders[[#This Row],[Status]]="Pending",1,0)</f>
        <v>0</v>
      </c>
      <c r="V1421">
        <f>IF(orders[[#This Row],[Status]]="Delayed",1,0)</f>
        <v>0</v>
      </c>
      <c r="W1421">
        <f>IF(orders[[#This Row],[Status]]="Cancelled",1,0)</f>
        <v>0</v>
      </c>
    </row>
    <row r="1422" spans="1:23" x14ac:dyDescent="0.35">
      <c r="A1422" t="s">
        <v>1803</v>
      </c>
      <c r="B1422" s="1">
        <v>45829</v>
      </c>
      <c r="C1422" t="s">
        <v>868</v>
      </c>
      <c r="D1422" t="s">
        <v>58</v>
      </c>
      <c r="E1422" t="s">
        <v>92</v>
      </c>
      <c r="F1422" t="s">
        <v>72</v>
      </c>
      <c r="G1422" t="s">
        <v>146</v>
      </c>
      <c r="H1422" s="7">
        <v>5</v>
      </c>
      <c r="I1422" s="4">
        <v>30892.799999999999</v>
      </c>
      <c r="J1422" s="23">
        <v>0.2</v>
      </c>
      <c r="K1422" s="4">
        <v>24714.240000000002</v>
      </c>
      <c r="L1422" s="4">
        <v>19924.939999999999</v>
      </c>
      <c r="M1422" s="4">
        <v>4789.3</v>
      </c>
      <c r="N1422" t="s">
        <v>25</v>
      </c>
      <c r="O1422" s="7">
        <v>36</v>
      </c>
      <c r="P1422" s="2">
        <v>45830.5</v>
      </c>
      <c r="Q1422" t="s">
        <v>99</v>
      </c>
      <c r="R1422">
        <v>6</v>
      </c>
      <c r="S1422" t="s">
        <v>27</v>
      </c>
      <c r="T1422">
        <f>IF(orders[[#This Row],[Status]]="Completed",1,0)</f>
        <v>1</v>
      </c>
      <c r="U1422">
        <f>IF(orders[[#This Row],[Status]]="Pending",1,0)</f>
        <v>0</v>
      </c>
      <c r="V1422">
        <f>IF(orders[[#This Row],[Status]]="Delayed",1,0)</f>
        <v>0</v>
      </c>
      <c r="W1422">
        <f>IF(orders[[#This Row],[Status]]="Cancelled",1,0)</f>
        <v>0</v>
      </c>
    </row>
    <row r="1423" spans="1:23" x14ac:dyDescent="0.35">
      <c r="A1423" t="s">
        <v>1804</v>
      </c>
      <c r="B1423" s="1">
        <v>45759</v>
      </c>
      <c r="C1423" t="s">
        <v>1022</v>
      </c>
      <c r="D1423" t="s">
        <v>30</v>
      </c>
      <c r="E1423" t="s">
        <v>78</v>
      </c>
      <c r="F1423" t="s">
        <v>83</v>
      </c>
      <c r="G1423" t="s">
        <v>152</v>
      </c>
      <c r="H1423" s="7">
        <v>6</v>
      </c>
      <c r="I1423" s="4">
        <v>44079.96</v>
      </c>
      <c r="J1423" s="23">
        <v>0</v>
      </c>
      <c r="K1423" s="4">
        <v>44079.96</v>
      </c>
      <c r="L1423" s="4">
        <v>28772.84</v>
      </c>
      <c r="M1423" s="4">
        <v>15307.12</v>
      </c>
      <c r="N1423" t="s">
        <v>25</v>
      </c>
      <c r="O1423" s="7">
        <v>18</v>
      </c>
      <c r="P1423" s="2">
        <v>45759.75</v>
      </c>
      <c r="Q1423" t="s">
        <v>26</v>
      </c>
      <c r="R1423">
        <v>4</v>
      </c>
      <c r="S1423" t="s">
        <v>27</v>
      </c>
      <c r="T1423">
        <f>IF(orders[[#This Row],[Status]]="Completed",1,0)</f>
        <v>1</v>
      </c>
      <c r="U1423">
        <f>IF(orders[[#This Row],[Status]]="Pending",1,0)</f>
        <v>0</v>
      </c>
      <c r="V1423">
        <f>IF(orders[[#This Row],[Status]]="Delayed",1,0)</f>
        <v>0</v>
      </c>
      <c r="W1423">
        <f>IF(orders[[#This Row],[Status]]="Cancelled",1,0)</f>
        <v>0</v>
      </c>
    </row>
    <row r="1424" spans="1:23" x14ac:dyDescent="0.35">
      <c r="A1424" t="s">
        <v>1805</v>
      </c>
      <c r="B1424" s="1">
        <v>46011</v>
      </c>
      <c r="C1424" t="s">
        <v>1395</v>
      </c>
      <c r="D1424" t="s">
        <v>63</v>
      </c>
      <c r="E1424" t="s">
        <v>113</v>
      </c>
      <c r="F1424" t="s">
        <v>23</v>
      </c>
      <c r="G1424" t="s">
        <v>24</v>
      </c>
      <c r="H1424" s="7">
        <v>3</v>
      </c>
      <c r="I1424" s="4">
        <v>16834.650000000001</v>
      </c>
      <c r="J1424" s="23">
        <v>0.15</v>
      </c>
      <c r="K1424" s="4">
        <v>14309.45</v>
      </c>
      <c r="L1424" s="4">
        <v>10551.31</v>
      </c>
      <c r="M1424" s="4">
        <v>3758.14</v>
      </c>
      <c r="N1424" t="s">
        <v>25</v>
      </c>
      <c r="O1424" s="7">
        <v>20</v>
      </c>
      <c r="P1424" s="2">
        <v>46011.833333333336</v>
      </c>
      <c r="Q1424" t="s">
        <v>34</v>
      </c>
      <c r="R1424">
        <v>12</v>
      </c>
      <c r="S1424" t="s">
        <v>35</v>
      </c>
      <c r="T1424">
        <f>IF(orders[[#This Row],[Status]]="Completed",1,0)</f>
        <v>1</v>
      </c>
      <c r="U1424">
        <f>IF(orders[[#This Row],[Status]]="Pending",1,0)</f>
        <v>0</v>
      </c>
      <c r="V1424">
        <f>IF(orders[[#This Row],[Status]]="Delayed",1,0)</f>
        <v>0</v>
      </c>
      <c r="W1424">
        <f>IF(orders[[#This Row],[Status]]="Cancelled",1,0)</f>
        <v>0</v>
      </c>
    </row>
    <row r="1425" spans="1:23" x14ac:dyDescent="0.35">
      <c r="A1425" t="s">
        <v>1806</v>
      </c>
      <c r="B1425" s="1">
        <v>45669</v>
      </c>
      <c r="C1425" t="s">
        <v>135</v>
      </c>
      <c r="D1425" t="s">
        <v>58</v>
      </c>
      <c r="E1425" t="s">
        <v>92</v>
      </c>
      <c r="F1425" t="s">
        <v>83</v>
      </c>
      <c r="G1425" t="s">
        <v>182</v>
      </c>
      <c r="H1425" s="7">
        <v>7</v>
      </c>
      <c r="I1425" s="4">
        <v>30952.46</v>
      </c>
      <c r="J1425" s="23">
        <v>0</v>
      </c>
      <c r="K1425" s="4">
        <v>30952.46</v>
      </c>
      <c r="L1425" s="4">
        <v>27050.01</v>
      </c>
      <c r="M1425" s="4">
        <v>3902.45</v>
      </c>
      <c r="N1425" t="s">
        <v>98</v>
      </c>
      <c r="O1425" s="7">
        <v>3</v>
      </c>
      <c r="P1425" s="2">
        <v>45669.125</v>
      </c>
      <c r="Q1425" t="s">
        <v>65</v>
      </c>
      <c r="R1425">
        <v>1</v>
      </c>
      <c r="S1425" t="s">
        <v>55</v>
      </c>
      <c r="T1425">
        <f>IF(orders[[#This Row],[Status]]="Completed",1,0)</f>
        <v>0</v>
      </c>
      <c r="U1425">
        <f>IF(orders[[#This Row],[Status]]="Pending",1,0)</f>
        <v>1</v>
      </c>
      <c r="V1425">
        <f>IF(orders[[#This Row],[Status]]="Delayed",1,0)</f>
        <v>0</v>
      </c>
      <c r="W1425">
        <f>IF(orders[[#This Row],[Status]]="Cancelled",1,0)</f>
        <v>0</v>
      </c>
    </row>
    <row r="1426" spans="1:23" x14ac:dyDescent="0.35">
      <c r="A1426" t="s">
        <v>1807</v>
      </c>
      <c r="B1426" s="1">
        <v>45932</v>
      </c>
      <c r="C1426" t="s">
        <v>351</v>
      </c>
      <c r="D1426" t="s">
        <v>58</v>
      </c>
      <c r="E1426" t="s">
        <v>113</v>
      </c>
      <c r="F1426" t="s">
        <v>23</v>
      </c>
      <c r="G1426" t="s">
        <v>110</v>
      </c>
      <c r="H1426" s="7">
        <v>4</v>
      </c>
      <c r="I1426" s="4">
        <v>5908.08</v>
      </c>
      <c r="J1426" s="23">
        <v>0.05</v>
      </c>
      <c r="K1426" s="4">
        <v>5612.68</v>
      </c>
      <c r="L1426" s="4">
        <v>4750.5</v>
      </c>
      <c r="M1426" s="4">
        <v>862.18</v>
      </c>
      <c r="N1426" t="s">
        <v>25</v>
      </c>
      <c r="O1426" s="7">
        <v>20</v>
      </c>
      <c r="P1426" s="2">
        <v>45932.833333333336</v>
      </c>
      <c r="Q1426" t="s">
        <v>116</v>
      </c>
      <c r="R1426">
        <v>10</v>
      </c>
      <c r="S1426" t="s">
        <v>35</v>
      </c>
      <c r="T1426">
        <f>IF(orders[[#This Row],[Status]]="Completed",1,0)</f>
        <v>1</v>
      </c>
      <c r="U1426">
        <f>IF(orders[[#This Row],[Status]]="Pending",1,0)</f>
        <v>0</v>
      </c>
      <c r="V1426">
        <f>IF(orders[[#This Row],[Status]]="Delayed",1,0)</f>
        <v>0</v>
      </c>
      <c r="W1426">
        <f>IF(orders[[#This Row],[Status]]="Cancelled",1,0)</f>
        <v>0</v>
      </c>
    </row>
    <row r="1427" spans="1:23" x14ac:dyDescent="0.35">
      <c r="A1427" t="s">
        <v>1808</v>
      </c>
      <c r="B1427" s="1">
        <v>45758</v>
      </c>
      <c r="C1427" t="s">
        <v>200</v>
      </c>
      <c r="D1427" t="s">
        <v>45</v>
      </c>
      <c r="E1427" t="s">
        <v>52</v>
      </c>
      <c r="F1427" t="s">
        <v>72</v>
      </c>
      <c r="G1427" t="s">
        <v>119</v>
      </c>
      <c r="H1427" s="7">
        <v>1</v>
      </c>
      <c r="I1427" s="4">
        <v>596.38</v>
      </c>
      <c r="J1427" s="23">
        <v>0.1</v>
      </c>
      <c r="K1427" s="4">
        <v>536.74</v>
      </c>
      <c r="L1427" s="4">
        <v>463.95</v>
      </c>
      <c r="M1427" s="4">
        <v>72.790000000000006</v>
      </c>
      <c r="N1427" t="s">
        <v>48</v>
      </c>
      <c r="O1427" s="7">
        <v>10</v>
      </c>
      <c r="P1427" s="2">
        <v>45758.416666666664</v>
      </c>
      <c r="Q1427" t="s">
        <v>26</v>
      </c>
      <c r="R1427">
        <v>4</v>
      </c>
      <c r="S1427" t="s">
        <v>27</v>
      </c>
      <c r="T1427">
        <f>IF(orders[[#This Row],[Status]]="Completed",1,0)</f>
        <v>0</v>
      </c>
      <c r="U1427">
        <f>IF(orders[[#This Row],[Status]]="Pending",1,0)</f>
        <v>0</v>
      </c>
      <c r="V1427">
        <f>IF(orders[[#This Row],[Status]]="Delayed",1,0)</f>
        <v>0</v>
      </c>
      <c r="W1427">
        <f>IF(orders[[#This Row],[Status]]="Cancelled",1,0)</f>
        <v>1</v>
      </c>
    </row>
    <row r="1428" spans="1:23" x14ac:dyDescent="0.35">
      <c r="A1428" t="s">
        <v>1809</v>
      </c>
      <c r="B1428" s="1">
        <v>45701</v>
      </c>
      <c r="C1428" t="s">
        <v>229</v>
      </c>
      <c r="D1428" t="s">
        <v>45</v>
      </c>
      <c r="E1428" t="s">
        <v>78</v>
      </c>
      <c r="F1428" t="s">
        <v>32</v>
      </c>
      <c r="G1428" t="s">
        <v>64</v>
      </c>
      <c r="H1428" s="7">
        <v>5</v>
      </c>
      <c r="I1428" s="4">
        <v>19357.650000000001</v>
      </c>
      <c r="J1428" s="23">
        <v>0.05</v>
      </c>
      <c r="K1428" s="4">
        <v>18389.77</v>
      </c>
      <c r="L1428" s="4">
        <v>12457.69</v>
      </c>
      <c r="M1428" s="4">
        <v>5932.08</v>
      </c>
      <c r="N1428" t="s">
        <v>98</v>
      </c>
      <c r="O1428" s="7">
        <v>4</v>
      </c>
      <c r="P1428" s="2">
        <v>45701.166666666664</v>
      </c>
      <c r="Q1428" t="s">
        <v>139</v>
      </c>
      <c r="R1428">
        <v>2</v>
      </c>
      <c r="S1428" t="s">
        <v>55</v>
      </c>
      <c r="T1428">
        <f>IF(orders[[#This Row],[Status]]="Completed",1,0)</f>
        <v>0</v>
      </c>
      <c r="U1428">
        <f>IF(orders[[#This Row],[Status]]="Pending",1,0)</f>
        <v>1</v>
      </c>
      <c r="V1428">
        <f>IF(orders[[#This Row],[Status]]="Delayed",1,0)</f>
        <v>0</v>
      </c>
      <c r="W1428">
        <f>IF(orders[[#This Row],[Status]]="Cancelled",1,0)</f>
        <v>0</v>
      </c>
    </row>
    <row r="1429" spans="1:23" x14ac:dyDescent="0.35">
      <c r="A1429" t="s">
        <v>1810</v>
      </c>
      <c r="B1429" s="1">
        <v>45962</v>
      </c>
      <c r="C1429" t="s">
        <v>829</v>
      </c>
      <c r="D1429" t="s">
        <v>51</v>
      </c>
      <c r="E1429" t="s">
        <v>52</v>
      </c>
      <c r="F1429" t="s">
        <v>83</v>
      </c>
      <c r="G1429" t="s">
        <v>107</v>
      </c>
      <c r="H1429" s="7">
        <v>4</v>
      </c>
      <c r="I1429" s="4">
        <v>2248.2800000000002</v>
      </c>
      <c r="J1429" s="23">
        <v>0</v>
      </c>
      <c r="K1429" s="4">
        <v>2248.2800000000002</v>
      </c>
      <c r="L1429" s="4">
        <v>1820.4</v>
      </c>
      <c r="M1429" s="4">
        <v>427.88</v>
      </c>
      <c r="N1429" t="s">
        <v>25</v>
      </c>
      <c r="O1429" s="7">
        <v>7</v>
      </c>
      <c r="P1429" s="2">
        <v>45962.291666666664</v>
      </c>
      <c r="Q1429" t="s">
        <v>86</v>
      </c>
      <c r="R1429">
        <v>11</v>
      </c>
      <c r="S1429" t="s">
        <v>35</v>
      </c>
      <c r="T1429">
        <f>IF(orders[[#This Row],[Status]]="Completed",1,0)</f>
        <v>1</v>
      </c>
      <c r="U1429">
        <f>IF(orders[[#This Row],[Status]]="Pending",1,0)</f>
        <v>0</v>
      </c>
      <c r="V1429">
        <f>IF(orders[[#This Row],[Status]]="Delayed",1,0)</f>
        <v>0</v>
      </c>
      <c r="W1429">
        <f>IF(orders[[#This Row],[Status]]="Cancelled",1,0)</f>
        <v>0</v>
      </c>
    </row>
    <row r="1430" spans="1:23" x14ac:dyDescent="0.35">
      <c r="A1430" t="s">
        <v>1811</v>
      </c>
      <c r="B1430" s="1">
        <v>45674</v>
      </c>
      <c r="C1430" t="s">
        <v>390</v>
      </c>
      <c r="D1430" t="s">
        <v>38</v>
      </c>
      <c r="E1430" t="s">
        <v>59</v>
      </c>
      <c r="F1430" t="s">
        <v>83</v>
      </c>
      <c r="G1430" t="s">
        <v>152</v>
      </c>
      <c r="H1430" s="7">
        <v>6</v>
      </c>
      <c r="I1430" s="4">
        <v>29423.64</v>
      </c>
      <c r="J1430" s="23">
        <v>0.05</v>
      </c>
      <c r="K1430" s="4">
        <v>27952.46</v>
      </c>
      <c r="L1430" s="4">
        <v>21091.98</v>
      </c>
      <c r="M1430" s="4">
        <v>6860.48</v>
      </c>
      <c r="N1430" t="s">
        <v>48</v>
      </c>
      <c r="O1430" s="7">
        <v>9</v>
      </c>
      <c r="P1430" s="2">
        <v>45674.375</v>
      </c>
      <c r="Q1430" t="s">
        <v>65</v>
      </c>
      <c r="R1430">
        <v>1</v>
      </c>
      <c r="S1430" t="s">
        <v>55</v>
      </c>
      <c r="T1430">
        <f>IF(orders[[#This Row],[Status]]="Completed",1,0)</f>
        <v>0</v>
      </c>
      <c r="U1430">
        <f>IF(orders[[#This Row],[Status]]="Pending",1,0)</f>
        <v>0</v>
      </c>
      <c r="V1430">
        <f>IF(orders[[#This Row],[Status]]="Delayed",1,0)</f>
        <v>0</v>
      </c>
      <c r="W1430">
        <f>IF(orders[[#This Row],[Status]]="Cancelled",1,0)</f>
        <v>1</v>
      </c>
    </row>
    <row r="1431" spans="1:23" x14ac:dyDescent="0.35">
      <c r="A1431" t="s">
        <v>1812</v>
      </c>
      <c r="B1431" s="1">
        <v>45987</v>
      </c>
      <c r="C1431" t="s">
        <v>811</v>
      </c>
      <c r="D1431" t="s">
        <v>63</v>
      </c>
      <c r="E1431" t="s">
        <v>78</v>
      </c>
      <c r="F1431" t="s">
        <v>83</v>
      </c>
      <c r="G1431" t="s">
        <v>107</v>
      </c>
      <c r="H1431" s="7">
        <v>6</v>
      </c>
      <c r="I1431" s="4">
        <v>20074.740000000002</v>
      </c>
      <c r="J1431" s="23">
        <v>0.15</v>
      </c>
      <c r="K1431" s="4">
        <v>17063.53</v>
      </c>
      <c r="L1431" s="4">
        <v>9850.82</v>
      </c>
      <c r="M1431" s="4">
        <v>7212.71</v>
      </c>
      <c r="N1431" t="s">
        <v>85</v>
      </c>
      <c r="O1431" s="7">
        <v>58</v>
      </c>
      <c r="P1431" s="2">
        <v>45989.416666666664</v>
      </c>
      <c r="Q1431" t="s">
        <v>86</v>
      </c>
      <c r="R1431">
        <v>11</v>
      </c>
      <c r="S1431" t="s">
        <v>35</v>
      </c>
      <c r="T1431">
        <f>IF(orders[[#This Row],[Status]]="Completed",1,0)</f>
        <v>0</v>
      </c>
      <c r="U1431">
        <f>IF(orders[[#This Row],[Status]]="Pending",1,0)</f>
        <v>0</v>
      </c>
      <c r="V1431">
        <f>IF(orders[[#This Row],[Status]]="Delayed",1,0)</f>
        <v>1</v>
      </c>
      <c r="W1431">
        <f>IF(orders[[#This Row],[Status]]="Cancelled",1,0)</f>
        <v>0</v>
      </c>
    </row>
    <row r="1432" spans="1:23" x14ac:dyDescent="0.35">
      <c r="A1432" t="s">
        <v>1813</v>
      </c>
      <c r="B1432" s="1">
        <v>45714</v>
      </c>
      <c r="C1432" t="s">
        <v>343</v>
      </c>
      <c r="D1432" t="s">
        <v>30</v>
      </c>
      <c r="E1432" t="s">
        <v>113</v>
      </c>
      <c r="F1432" t="s">
        <v>23</v>
      </c>
      <c r="G1432" t="s">
        <v>136</v>
      </c>
      <c r="H1432" s="7">
        <v>5</v>
      </c>
      <c r="I1432" s="4">
        <v>32362.65</v>
      </c>
      <c r="J1432" s="23">
        <v>0.1</v>
      </c>
      <c r="K1432" s="4">
        <v>29126.38</v>
      </c>
      <c r="L1432" s="4">
        <v>23939.37</v>
      </c>
      <c r="M1432" s="4">
        <v>5187.01</v>
      </c>
      <c r="N1432" t="s">
        <v>98</v>
      </c>
      <c r="O1432" s="7">
        <v>22</v>
      </c>
      <c r="P1432" s="2">
        <v>45714.916666666664</v>
      </c>
      <c r="Q1432" t="s">
        <v>139</v>
      </c>
      <c r="R1432">
        <v>2</v>
      </c>
      <c r="S1432" t="s">
        <v>55</v>
      </c>
      <c r="T1432">
        <f>IF(orders[[#This Row],[Status]]="Completed",1,0)</f>
        <v>0</v>
      </c>
      <c r="U1432">
        <f>IF(orders[[#This Row],[Status]]="Pending",1,0)</f>
        <v>1</v>
      </c>
      <c r="V1432">
        <f>IF(orders[[#This Row],[Status]]="Delayed",1,0)</f>
        <v>0</v>
      </c>
      <c r="W1432">
        <f>IF(orders[[#This Row],[Status]]="Cancelled",1,0)</f>
        <v>0</v>
      </c>
    </row>
    <row r="1433" spans="1:23" x14ac:dyDescent="0.35">
      <c r="A1433" t="s">
        <v>1814</v>
      </c>
      <c r="B1433" s="1">
        <v>45968</v>
      </c>
      <c r="C1433" t="s">
        <v>365</v>
      </c>
      <c r="D1433" t="s">
        <v>21</v>
      </c>
      <c r="E1433" t="s">
        <v>46</v>
      </c>
      <c r="F1433" t="s">
        <v>72</v>
      </c>
      <c r="G1433" t="s">
        <v>129</v>
      </c>
      <c r="H1433" s="7">
        <v>3</v>
      </c>
      <c r="I1433" s="4">
        <v>8106.48</v>
      </c>
      <c r="J1433" s="23">
        <v>0</v>
      </c>
      <c r="K1433" s="4">
        <v>8106.48</v>
      </c>
      <c r="L1433" s="4">
        <v>6269.9</v>
      </c>
      <c r="M1433" s="4">
        <v>1836.58</v>
      </c>
      <c r="N1433" t="s">
        <v>85</v>
      </c>
      <c r="O1433" s="7">
        <v>92</v>
      </c>
      <c r="P1433" s="2">
        <v>45971.833333333336</v>
      </c>
      <c r="Q1433" t="s">
        <v>86</v>
      </c>
      <c r="R1433">
        <v>11</v>
      </c>
      <c r="S1433" t="s">
        <v>35</v>
      </c>
      <c r="T1433">
        <f>IF(orders[[#This Row],[Status]]="Completed",1,0)</f>
        <v>0</v>
      </c>
      <c r="U1433">
        <f>IF(orders[[#This Row],[Status]]="Pending",1,0)</f>
        <v>0</v>
      </c>
      <c r="V1433">
        <f>IF(orders[[#This Row],[Status]]="Delayed",1,0)</f>
        <v>1</v>
      </c>
      <c r="W1433">
        <f>IF(orders[[#This Row],[Status]]="Cancelled",1,0)</f>
        <v>0</v>
      </c>
    </row>
    <row r="1434" spans="1:23" x14ac:dyDescent="0.35">
      <c r="A1434" t="s">
        <v>1815</v>
      </c>
      <c r="B1434" s="1">
        <v>45960</v>
      </c>
      <c r="C1434" t="s">
        <v>179</v>
      </c>
      <c r="D1434" t="s">
        <v>30</v>
      </c>
      <c r="E1434" t="s">
        <v>59</v>
      </c>
      <c r="F1434" t="s">
        <v>83</v>
      </c>
      <c r="G1434" t="s">
        <v>84</v>
      </c>
      <c r="H1434" s="7">
        <v>6</v>
      </c>
      <c r="I1434" s="4">
        <v>30608.46</v>
      </c>
      <c r="J1434" s="23">
        <v>0.15</v>
      </c>
      <c r="K1434" s="4">
        <v>26017.19</v>
      </c>
      <c r="L1434" s="4">
        <v>16017.29</v>
      </c>
      <c r="M1434" s="4">
        <v>9999.9</v>
      </c>
      <c r="N1434" t="s">
        <v>25</v>
      </c>
      <c r="O1434" s="7">
        <v>26</v>
      </c>
      <c r="P1434" s="2">
        <v>45961.083333333336</v>
      </c>
      <c r="Q1434" t="s">
        <v>116</v>
      </c>
      <c r="R1434">
        <v>10</v>
      </c>
      <c r="S1434" t="s">
        <v>35</v>
      </c>
      <c r="T1434">
        <f>IF(orders[[#This Row],[Status]]="Completed",1,0)</f>
        <v>1</v>
      </c>
      <c r="U1434">
        <f>IF(orders[[#This Row],[Status]]="Pending",1,0)</f>
        <v>0</v>
      </c>
      <c r="V1434">
        <f>IF(orders[[#This Row],[Status]]="Delayed",1,0)</f>
        <v>0</v>
      </c>
      <c r="W1434">
        <f>IF(orders[[#This Row],[Status]]="Cancelled",1,0)</f>
        <v>0</v>
      </c>
    </row>
    <row r="1435" spans="1:23" x14ac:dyDescent="0.35">
      <c r="A1435" t="s">
        <v>1816</v>
      </c>
      <c r="B1435" s="1">
        <v>45669</v>
      </c>
      <c r="C1435" t="s">
        <v>154</v>
      </c>
      <c r="D1435" t="s">
        <v>51</v>
      </c>
      <c r="E1435" t="s">
        <v>92</v>
      </c>
      <c r="F1435" t="s">
        <v>83</v>
      </c>
      <c r="G1435" t="s">
        <v>107</v>
      </c>
      <c r="H1435" s="7">
        <v>1</v>
      </c>
      <c r="I1435" s="4">
        <v>4639.66</v>
      </c>
      <c r="J1435" s="23">
        <v>0</v>
      </c>
      <c r="K1435" s="4">
        <v>4639.66</v>
      </c>
      <c r="L1435" s="4">
        <v>2673.9</v>
      </c>
      <c r="M1435" s="4">
        <v>1965.76</v>
      </c>
      <c r="N1435" t="s">
        <v>98</v>
      </c>
      <c r="O1435" s="7">
        <v>4</v>
      </c>
      <c r="P1435" s="2">
        <v>45669.166666666664</v>
      </c>
      <c r="Q1435" t="s">
        <v>65</v>
      </c>
      <c r="R1435">
        <v>1</v>
      </c>
      <c r="S1435" t="s">
        <v>55</v>
      </c>
      <c r="T1435">
        <f>IF(orders[[#This Row],[Status]]="Completed",1,0)</f>
        <v>0</v>
      </c>
      <c r="U1435">
        <f>IF(orders[[#This Row],[Status]]="Pending",1,0)</f>
        <v>1</v>
      </c>
      <c r="V1435">
        <f>IF(orders[[#This Row],[Status]]="Delayed",1,0)</f>
        <v>0</v>
      </c>
      <c r="W1435">
        <f>IF(orders[[#This Row],[Status]]="Cancelled",1,0)</f>
        <v>0</v>
      </c>
    </row>
    <row r="1436" spans="1:23" x14ac:dyDescent="0.35">
      <c r="A1436" t="s">
        <v>1817</v>
      </c>
      <c r="B1436" s="1">
        <v>45975</v>
      </c>
      <c r="C1436" t="s">
        <v>1579</v>
      </c>
      <c r="D1436" t="s">
        <v>149</v>
      </c>
      <c r="E1436" t="s">
        <v>59</v>
      </c>
      <c r="F1436" t="s">
        <v>32</v>
      </c>
      <c r="G1436" t="s">
        <v>53</v>
      </c>
      <c r="H1436" s="7">
        <v>4</v>
      </c>
      <c r="I1436" s="4">
        <v>757.4</v>
      </c>
      <c r="J1436" s="23">
        <v>0.1</v>
      </c>
      <c r="K1436" s="4">
        <v>681.66</v>
      </c>
      <c r="L1436" s="4">
        <v>563.20000000000005</v>
      </c>
      <c r="M1436" s="4">
        <v>118.46</v>
      </c>
      <c r="N1436" t="s">
        <v>98</v>
      </c>
      <c r="O1436" s="7">
        <v>11</v>
      </c>
      <c r="P1436" s="2">
        <v>45975.458333333336</v>
      </c>
      <c r="Q1436" t="s">
        <v>86</v>
      </c>
      <c r="R1436">
        <v>11</v>
      </c>
      <c r="S1436" t="s">
        <v>35</v>
      </c>
      <c r="T1436">
        <f>IF(orders[[#This Row],[Status]]="Completed",1,0)</f>
        <v>0</v>
      </c>
      <c r="U1436">
        <f>IF(orders[[#This Row],[Status]]="Pending",1,0)</f>
        <v>1</v>
      </c>
      <c r="V1436">
        <f>IF(orders[[#This Row],[Status]]="Delayed",1,0)</f>
        <v>0</v>
      </c>
      <c r="W1436">
        <f>IF(orders[[#This Row],[Status]]="Cancelled",1,0)</f>
        <v>0</v>
      </c>
    </row>
    <row r="1437" spans="1:23" x14ac:dyDescent="0.35">
      <c r="A1437" t="s">
        <v>1818</v>
      </c>
      <c r="B1437" s="1">
        <v>45737</v>
      </c>
      <c r="C1437" t="s">
        <v>406</v>
      </c>
      <c r="D1437" t="s">
        <v>38</v>
      </c>
      <c r="E1437" t="s">
        <v>113</v>
      </c>
      <c r="F1437" t="s">
        <v>32</v>
      </c>
      <c r="G1437" t="s">
        <v>33</v>
      </c>
      <c r="H1437" s="7">
        <v>1</v>
      </c>
      <c r="I1437" s="4">
        <v>754.45</v>
      </c>
      <c r="J1437" s="23">
        <v>0.05</v>
      </c>
      <c r="K1437" s="4">
        <v>716.73</v>
      </c>
      <c r="L1437" s="4">
        <v>412.86</v>
      </c>
      <c r="M1437" s="4">
        <v>303.87</v>
      </c>
      <c r="N1437" t="s">
        <v>25</v>
      </c>
      <c r="O1437" s="7">
        <v>23</v>
      </c>
      <c r="P1437" s="2">
        <v>45737.958333333336</v>
      </c>
      <c r="Q1437" t="s">
        <v>54</v>
      </c>
      <c r="R1437">
        <v>3</v>
      </c>
      <c r="S1437" t="s">
        <v>55</v>
      </c>
      <c r="T1437">
        <f>IF(orders[[#This Row],[Status]]="Completed",1,0)</f>
        <v>1</v>
      </c>
      <c r="U1437">
        <f>IF(orders[[#This Row],[Status]]="Pending",1,0)</f>
        <v>0</v>
      </c>
      <c r="V1437">
        <f>IF(orders[[#This Row],[Status]]="Delayed",1,0)</f>
        <v>0</v>
      </c>
      <c r="W1437">
        <f>IF(orders[[#This Row],[Status]]="Cancelled",1,0)</f>
        <v>0</v>
      </c>
    </row>
    <row r="1438" spans="1:23" x14ac:dyDescent="0.35">
      <c r="A1438" t="s">
        <v>1819</v>
      </c>
      <c r="B1438" s="1">
        <v>45873</v>
      </c>
      <c r="C1438" t="s">
        <v>312</v>
      </c>
      <c r="D1438" t="s">
        <v>21</v>
      </c>
      <c r="E1438" t="s">
        <v>92</v>
      </c>
      <c r="F1438" t="s">
        <v>72</v>
      </c>
      <c r="G1438" t="s">
        <v>73</v>
      </c>
      <c r="H1438" s="7">
        <v>3</v>
      </c>
      <c r="I1438" s="4">
        <v>7723.71</v>
      </c>
      <c r="J1438" s="23">
        <v>0.1</v>
      </c>
      <c r="K1438" s="4">
        <v>6951.34</v>
      </c>
      <c r="L1438" s="4">
        <v>4032.8</v>
      </c>
      <c r="M1438" s="4">
        <v>2918.54</v>
      </c>
      <c r="N1438" t="s">
        <v>48</v>
      </c>
      <c r="O1438" s="7">
        <v>21</v>
      </c>
      <c r="P1438" s="2">
        <v>45873.875</v>
      </c>
      <c r="Q1438" t="s">
        <v>80</v>
      </c>
      <c r="R1438">
        <v>8</v>
      </c>
      <c r="S1438" t="s">
        <v>42</v>
      </c>
      <c r="T1438">
        <f>IF(orders[[#This Row],[Status]]="Completed",1,0)</f>
        <v>0</v>
      </c>
      <c r="U1438">
        <f>IF(orders[[#This Row],[Status]]="Pending",1,0)</f>
        <v>0</v>
      </c>
      <c r="V1438">
        <f>IF(orders[[#This Row],[Status]]="Delayed",1,0)</f>
        <v>0</v>
      </c>
      <c r="W1438">
        <f>IF(orders[[#This Row],[Status]]="Cancelled",1,0)</f>
        <v>1</v>
      </c>
    </row>
    <row r="1439" spans="1:23" x14ac:dyDescent="0.35">
      <c r="A1439" t="s">
        <v>1820</v>
      </c>
      <c r="B1439" s="1">
        <v>45996</v>
      </c>
      <c r="C1439" t="s">
        <v>770</v>
      </c>
      <c r="D1439" t="s">
        <v>68</v>
      </c>
      <c r="E1439" t="s">
        <v>46</v>
      </c>
      <c r="F1439" t="s">
        <v>72</v>
      </c>
      <c r="G1439" t="s">
        <v>104</v>
      </c>
      <c r="H1439" s="7">
        <v>1</v>
      </c>
      <c r="I1439" s="4">
        <v>7516.66</v>
      </c>
      <c r="J1439" s="23">
        <v>0.05</v>
      </c>
      <c r="K1439" s="4">
        <v>7140.83</v>
      </c>
      <c r="L1439" s="4">
        <v>4934.63</v>
      </c>
      <c r="M1439" s="4">
        <v>2206.1999999999998</v>
      </c>
      <c r="N1439" t="s">
        <v>48</v>
      </c>
      <c r="O1439" s="7">
        <v>7</v>
      </c>
      <c r="P1439" s="2">
        <v>45996.291666666664</v>
      </c>
      <c r="Q1439" t="s">
        <v>34</v>
      </c>
      <c r="R1439">
        <v>12</v>
      </c>
      <c r="S1439" t="s">
        <v>35</v>
      </c>
      <c r="T1439">
        <f>IF(orders[[#This Row],[Status]]="Completed",1,0)</f>
        <v>0</v>
      </c>
      <c r="U1439">
        <f>IF(orders[[#This Row],[Status]]="Pending",1,0)</f>
        <v>0</v>
      </c>
      <c r="V1439">
        <f>IF(orders[[#This Row],[Status]]="Delayed",1,0)</f>
        <v>0</v>
      </c>
      <c r="W1439">
        <f>IF(orders[[#This Row],[Status]]="Cancelled",1,0)</f>
        <v>1</v>
      </c>
    </row>
    <row r="1440" spans="1:23" x14ac:dyDescent="0.35">
      <c r="A1440" t="s">
        <v>1821</v>
      </c>
      <c r="B1440" s="1">
        <v>45921</v>
      </c>
      <c r="C1440" t="s">
        <v>544</v>
      </c>
      <c r="D1440" t="s">
        <v>149</v>
      </c>
      <c r="E1440" t="s">
        <v>92</v>
      </c>
      <c r="F1440" t="s">
        <v>39</v>
      </c>
      <c r="G1440" t="s">
        <v>40</v>
      </c>
      <c r="H1440" s="7">
        <v>1</v>
      </c>
      <c r="I1440" s="4">
        <v>1377.57</v>
      </c>
      <c r="J1440" s="23">
        <v>0.25</v>
      </c>
      <c r="K1440" s="4">
        <v>1033.18</v>
      </c>
      <c r="L1440" s="4">
        <v>614.21</v>
      </c>
      <c r="M1440" s="4">
        <v>418.97</v>
      </c>
      <c r="N1440" t="s">
        <v>25</v>
      </c>
      <c r="O1440" s="7">
        <v>45</v>
      </c>
      <c r="P1440" s="2">
        <v>45922.875</v>
      </c>
      <c r="Q1440" t="s">
        <v>41</v>
      </c>
      <c r="R1440">
        <v>9</v>
      </c>
      <c r="S1440" t="s">
        <v>42</v>
      </c>
      <c r="T1440">
        <f>IF(orders[[#This Row],[Status]]="Completed",1,0)</f>
        <v>1</v>
      </c>
      <c r="U1440">
        <f>IF(orders[[#This Row],[Status]]="Pending",1,0)</f>
        <v>0</v>
      </c>
      <c r="V1440">
        <f>IF(orders[[#This Row],[Status]]="Delayed",1,0)</f>
        <v>0</v>
      </c>
      <c r="W1440">
        <f>IF(orders[[#This Row],[Status]]="Cancelled",1,0)</f>
        <v>0</v>
      </c>
    </row>
    <row r="1441" spans="1:23" x14ac:dyDescent="0.35">
      <c r="A1441" t="s">
        <v>1822</v>
      </c>
      <c r="B1441" s="1">
        <v>45806</v>
      </c>
      <c r="C1441" t="s">
        <v>118</v>
      </c>
      <c r="D1441" t="s">
        <v>45</v>
      </c>
      <c r="E1441" t="s">
        <v>52</v>
      </c>
      <c r="F1441" t="s">
        <v>32</v>
      </c>
      <c r="G1441" t="s">
        <v>33</v>
      </c>
      <c r="H1441" s="7">
        <v>2</v>
      </c>
      <c r="I1441" s="4">
        <v>12171.94</v>
      </c>
      <c r="J1441" s="23">
        <v>0.05</v>
      </c>
      <c r="K1441" s="4">
        <v>11563.34</v>
      </c>
      <c r="L1441" s="4">
        <v>9846.31</v>
      </c>
      <c r="M1441" s="4">
        <v>1717.03</v>
      </c>
      <c r="N1441" t="s">
        <v>85</v>
      </c>
      <c r="O1441" s="7">
        <v>73</v>
      </c>
      <c r="P1441" s="2">
        <v>45809.041666666664</v>
      </c>
      <c r="Q1441" t="s">
        <v>74</v>
      </c>
      <c r="R1441">
        <v>5</v>
      </c>
      <c r="S1441" t="s">
        <v>27</v>
      </c>
      <c r="T1441">
        <f>IF(orders[[#This Row],[Status]]="Completed",1,0)</f>
        <v>0</v>
      </c>
      <c r="U1441">
        <f>IF(orders[[#This Row],[Status]]="Pending",1,0)</f>
        <v>0</v>
      </c>
      <c r="V1441">
        <f>IF(orders[[#This Row],[Status]]="Delayed",1,0)</f>
        <v>1</v>
      </c>
      <c r="W1441">
        <f>IF(orders[[#This Row],[Status]]="Cancelled",1,0)</f>
        <v>0</v>
      </c>
    </row>
    <row r="1442" spans="1:23" x14ac:dyDescent="0.35">
      <c r="A1442" t="s">
        <v>1823</v>
      </c>
      <c r="B1442" s="1">
        <v>45738</v>
      </c>
      <c r="C1442" t="s">
        <v>478</v>
      </c>
      <c r="D1442" t="s">
        <v>58</v>
      </c>
      <c r="E1442" t="s">
        <v>92</v>
      </c>
      <c r="F1442" t="s">
        <v>39</v>
      </c>
      <c r="G1442" t="s">
        <v>40</v>
      </c>
      <c r="H1442" s="7">
        <v>1</v>
      </c>
      <c r="I1442" s="4">
        <v>8277.61</v>
      </c>
      <c r="J1442" s="23">
        <v>0.05</v>
      </c>
      <c r="K1442" s="4">
        <v>7863.73</v>
      </c>
      <c r="L1442" s="4">
        <v>5545.45</v>
      </c>
      <c r="M1442" s="4">
        <v>2318.2800000000002</v>
      </c>
      <c r="N1442" t="s">
        <v>85</v>
      </c>
      <c r="O1442" s="7">
        <v>96</v>
      </c>
      <c r="P1442" s="2">
        <v>45742</v>
      </c>
      <c r="Q1442" t="s">
        <v>54</v>
      </c>
      <c r="R1442">
        <v>3</v>
      </c>
      <c r="S1442" t="s">
        <v>55</v>
      </c>
      <c r="T1442">
        <f>IF(orders[[#This Row],[Status]]="Completed",1,0)</f>
        <v>0</v>
      </c>
      <c r="U1442">
        <f>IF(orders[[#This Row],[Status]]="Pending",1,0)</f>
        <v>0</v>
      </c>
      <c r="V1442">
        <f>IF(orders[[#This Row],[Status]]="Delayed",1,0)</f>
        <v>1</v>
      </c>
      <c r="W1442">
        <f>IF(orders[[#This Row],[Status]]="Cancelled",1,0)</f>
        <v>0</v>
      </c>
    </row>
    <row r="1443" spans="1:23" x14ac:dyDescent="0.35">
      <c r="A1443" t="s">
        <v>1824</v>
      </c>
      <c r="B1443" s="1">
        <v>45872</v>
      </c>
      <c r="C1443" t="s">
        <v>339</v>
      </c>
      <c r="D1443" t="s">
        <v>68</v>
      </c>
      <c r="E1443" t="s">
        <v>92</v>
      </c>
      <c r="F1443" t="s">
        <v>23</v>
      </c>
      <c r="G1443" t="s">
        <v>24</v>
      </c>
      <c r="H1443" s="7">
        <v>5</v>
      </c>
      <c r="I1443" s="4">
        <v>33756.199999999997</v>
      </c>
      <c r="J1443" s="23">
        <v>0.05</v>
      </c>
      <c r="K1443" s="4">
        <v>32068.39</v>
      </c>
      <c r="L1443" s="4">
        <v>23660.69</v>
      </c>
      <c r="M1443" s="4">
        <v>8407.7000000000007</v>
      </c>
      <c r="N1443" t="s">
        <v>48</v>
      </c>
      <c r="O1443" s="7">
        <v>21</v>
      </c>
      <c r="P1443" s="2">
        <v>45872.875</v>
      </c>
      <c r="Q1443" t="s">
        <v>80</v>
      </c>
      <c r="R1443">
        <v>8</v>
      </c>
      <c r="S1443" t="s">
        <v>42</v>
      </c>
      <c r="T1443">
        <f>IF(orders[[#This Row],[Status]]="Completed",1,0)</f>
        <v>0</v>
      </c>
      <c r="U1443">
        <f>IF(orders[[#This Row],[Status]]="Pending",1,0)</f>
        <v>0</v>
      </c>
      <c r="V1443">
        <f>IF(orders[[#This Row],[Status]]="Delayed",1,0)</f>
        <v>0</v>
      </c>
      <c r="W1443">
        <f>IF(orders[[#This Row],[Status]]="Cancelled",1,0)</f>
        <v>1</v>
      </c>
    </row>
    <row r="1444" spans="1:23" x14ac:dyDescent="0.35">
      <c r="A1444" t="s">
        <v>1825</v>
      </c>
      <c r="B1444" s="1">
        <v>45855</v>
      </c>
      <c r="C1444" t="s">
        <v>684</v>
      </c>
      <c r="D1444" t="s">
        <v>30</v>
      </c>
      <c r="E1444" t="s">
        <v>59</v>
      </c>
      <c r="F1444" t="s">
        <v>39</v>
      </c>
      <c r="G1444" t="s">
        <v>93</v>
      </c>
      <c r="H1444" s="7">
        <v>4</v>
      </c>
      <c r="I1444" s="4">
        <v>8714.36</v>
      </c>
      <c r="J1444" s="23">
        <v>0.2</v>
      </c>
      <c r="K1444" s="4">
        <v>6971.49</v>
      </c>
      <c r="L1444" s="4">
        <v>5969.51</v>
      </c>
      <c r="M1444" s="4">
        <v>1001.98</v>
      </c>
      <c r="N1444" t="s">
        <v>48</v>
      </c>
      <c r="O1444" s="7">
        <v>5</v>
      </c>
      <c r="P1444" s="2">
        <v>45855.208333333336</v>
      </c>
      <c r="Q1444" t="s">
        <v>60</v>
      </c>
      <c r="R1444">
        <v>7</v>
      </c>
      <c r="S1444" t="s">
        <v>42</v>
      </c>
      <c r="T1444">
        <f>IF(orders[[#This Row],[Status]]="Completed",1,0)</f>
        <v>0</v>
      </c>
      <c r="U1444">
        <f>IF(orders[[#This Row],[Status]]="Pending",1,0)</f>
        <v>0</v>
      </c>
      <c r="V1444">
        <f>IF(orders[[#This Row],[Status]]="Delayed",1,0)</f>
        <v>0</v>
      </c>
      <c r="W1444">
        <f>IF(orders[[#This Row],[Status]]="Cancelled",1,0)</f>
        <v>1</v>
      </c>
    </row>
    <row r="1445" spans="1:23" x14ac:dyDescent="0.35">
      <c r="A1445" t="s">
        <v>1826</v>
      </c>
      <c r="B1445" s="1">
        <v>45857</v>
      </c>
      <c r="C1445" t="s">
        <v>161</v>
      </c>
      <c r="D1445" t="s">
        <v>30</v>
      </c>
      <c r="E1445" t="s">
        <v>46</v>
      </c>
      <c r="F1445" t="s">
        <v>83</v>
      </c>
      <c r="G1445" t="s">
        <v>155</v>
      </c>
      <c r="H1445" s="7">
        <v>2</v>
      </c>
      <c r="I1445" s="4">
        <v>15469.7</v>
      </c>
      <c r="J1445" s="23">
        <v>0.1</v>
      </c>
      <c r="K1445" s="4">
        <v>13922.73</v>
      </c>
      <c r="L1445" s="4">
        <v>10093.799999999999</v>
      </c>
      <c r="M1445" s="4">
        <v>3828.93</v>
      </c>
      <c r="N1445" t="s">
        <v>98</v>
      </c>
      <c r="O1445" s="7">
        <v>10</v>
      </c>
      <c r="P1445" s="2">
        <v>45857.416666666664</v>
      </c>
      <c r="Q1445" t="s">
        <v>60</v>
      </c>
      <c r="R1445">
        <v>7</v>
      </c>
      <c r="S1445" t="s">
        <v>42</v>
      </c>
      <c r="T1445">
        <f>IF(orders[[#This Row],[Status]]="Completed",1,0)</f>
        <v>0</v>
      </c>
      <c r="U1445">
        <f>IF(orders[[#This Row],[Status]]="Pending",1,0)</f>
        <v>1</v>
      </c>
      <c r="V1445">
        <f>IF(orders[[#This Row],[Status]]="Delayed",1,0)</f>
        <v>0</v>
      </c>
      <c r="W1445">
        <f>IF(orders[[#This Row],[Status]]="Cancelled",1,0)</f>
        <v>0</v>
      </c>
    </row>
    <row r="1446" spans="1:23" x14ac:dyDescent="0.35">
      <c r="A1446" t="s">
        <v>1827</v>
      </c>
      <c r="B1446" s="1">
        <v>45682</v>
      </c>
      <c r="C1446" t="s">
        <v>570</v>
      </c>
      <c r="D1446" t="s">
        <v>45</v>
      </c>
      <c r="E1446" t="s">
        <v>22</v>
      </c>
      <c r="F1446" t="s">
        <v>39</v>
      </c>
      <c r="G1446" t="s">
        <v>93</v>
      </c>
      <c r="H1446" s="7">
        <v>4</v>
      </c>
      <c r="I1446" s="4">
        <v>3709.76</v>
      </c>
      <c r="J1446" s="23">
        <v>0.15</v>
      </c>
      <c r="K1446" s="4">
        <v>3153.3</v>
      </c>
      <c r="L1446" s="4">
        <v>2102.2600000000002</v>
      </c>
      <c r="M1446" s="4">
        <v>1051.04</v>
      </c>
      <c r="N1446" t="s">
        <v>85</v>
      </c>
      <c r="O1446" s="7">
        <v>96</v>
      </c>
      <c r="P1446" s="2">
        <v>45686</v>
      </c>
      <c r="Q1446" t="s">
        <v>65</v>
      </c>
      <c r="R1446">
        <v>1</v>
      </c>
      <c r="S1446" t="s">
        <v>55</v>
      </c>
      <c r="T1446">
        <f>IF(orders[[#This Row],[Status]]="Completed",1,0)</f>
        <v>0</v>
      </c>
      <c r="U1446">
        <f>IF(orders[[#This Row],[Status]]="Pending",1,0)</f>
        <v>0</v>
      </c>
      <c r="V1446">
        <f>IF(orders[[#This Row],[Status]]="Delayed",1,0)</f>
        <v>1</v>
      </c>
      <c r="W1446">
        <f>IF(orders[[#This Row],[Status]]="Cancelled",1,0)</f>
        <v>0</v>
      </c>
    </row>
    <row r="1447" spans="1:23" x14ac:dyDescent="0.35">
      <c r="A1447" t="s">
        <v>1828</v>
      </c>
      <c r="B1447" s="1">
        <v>45746</v>
      </c>
      <c r="C1447" t="s">
        <v>409</v>
      </c>
      <c r="D1447" t="s">
        <v>51</v>
      </c>
      <c r="E1447" t="s">
        <v>92</v>
      </c>
      <c r="F1447" t="s">
        <v>72</v>
      </c>
      <c r="G1447" t="s">
        <v>104</v>
      </c>
      <c r="H1447" s="7">
        <v>4</v>
      </c>
      <c r="I1447" s="4">
        <v>16235.96</v>
      </c>
      <c r="J1447" s="23">
        <v>0.2</v>
      </c>
      <c r="K1447" s="4">
        <v>12988.77</v>
      </c>
      <c r="L1447" s="4">
        <v>10560.66</v>
      </c>
      <c r="M1447" s="4">
        <v>2428.11</v>
      </c>
      <c r="N1447" t="s">
        <v>25</v>
      </c>
      <c r="O1447" s="7">
        <v>28</v>
      </c>
      <c r="P1447" s="2">
        <v>45747.166666666664</v>
      </c>
      <c r="Q1447" t="s">
        <v>54</v>
      </c>
      <c r="R1447">
        <v>3</v>
      </c>
      <c r="S1447" t="s">
        <v>55</v>
      </c>
      <c r="T1447">
        <f>IF(orders[[#This Row],[Status]]="Completed",1,0)</f>
        <v>1</v>
      </c>
      <c r="U1447">
        <f>IF(orders[[#This Row],[Status]]="Pending",1,0)</f>
        <v>0</v>
      </c>
      <c r="V1447">
        <f>IF(orders[[#This Row],[Status]]="Delayed",1,0)</f>
        <v>0</v>
      </c>
      <c r="W1447">
        <f>IF(orders[[#This Row],[Status]]="Cancelled",1,0)</f>
        <v>0</v>
      </c>
    </row>
    <row r="1448" spans="1:23" x14ac:dyDescent="0.35">
      <c r="A1448" t="s">
        <v>1829</v>
      </c>
      <c r="B1448" s="1">
        <v>45925</v>
      </c>
      <c r="C1448" t="s">
        <v>227</v>
      </c>
      <c r="D1448" t="s">
        <v>63</v>
      </c>
      <c r="E1448" t="s">
        <v>31</v>
      </c>
      <c r="F1448" t="s">
        <v>23</v>
      </c>
      <c r="G1448" t="s">
        <v>24</v>
      </c>
      <c r="H1448" s="7">
        <v>3</v>
      </c>
      <c r="I1448" s="4">
        <v>22682.91</v>
      </c>
      <c r="J1448" s="23">
        <v>0.2</v>
      </c>
      <c r="K1448" s="4">
        <v>18146.330000000002</v>
      </c>
      <c r="L1448" s="4">
        <v>12632.4</v>
      </c>
      <c r="M1448" s="4">
        <v>5513.93</v>
      </c>
      <c r="N1448" t="s">
        <v>25</v>
      </c>
      <c r="O1448" s="7">
        <v>12</v>
      </c>
      <c r="P1448" s="2">
        <v>45925.5</v>
      </c>
      <c r="Q1448" t="s">
        <v>41</v>
      </c>
      <c r="R1448">
        <v>9</v>
      </c>
      <c r="S1448" t="s">
        <v>42</v>
      </c>
      <c r="T1448">
        <f>IF(orders[[#This Row],[Status]]="Completed",1,0)</f>
        <v>1</v>
      </c>
      <c r="U1448">
        <f>IF(orders[[#This Row],[Status]]="Pending",1,0)</f>
        <v>0</v>
      </c>
      <c r="V1448">
        <f>IF(orders[[#This Row],[Status]]="Delayed",1,0)</f>
        <v>0</v>
      </c>
      <c r="W1448">
        <f>IF(orders[[#This Row],[Status]]="Cancelled",1,0)</f>
        <v>0</v>
      </c>
    </row>
    <row r="1449" spans="1:23" x14ac:dyDescent="0.35">
      <c r="A1449" t="s">
        <v>1830</v>
      </c>
      <c r="B1449" s="1">
        <v>45800</v>
      </c>
      <c r="C1449" t="s">
        <v>318</v>
      </c>
      <c r="D1449" t="s">
        <v>68</v>
      </c>
      <c r="E1449" t="s">
        <v>22</v>
      </c>
      <c r="F1449" t="s">
        <v>83</v>
      </c>
      <c r="G1449" t="s">
        <v>84</v>
      </c>
      <c r="H1449" s="7">
        <v>3</v>
      </c>
      <c r="I1449" s="4">
        <v>16513.71</v>
      </c>
      <c r="J1449" s="23">
        <v>0.15</v>
      </c>
      <c r="K1449" s="4">
        <v>14036.65</v>
      </c>
      <c r="L1449" s="4">
        <v>9195.34</v>
      </c>
      <c r="M1449" s="4">
        <v>4841.3100000000004</v>
      </c>
      <c r="N1449" t="s">
        <v>25</v>
      </c>
      <c r="O1449" s="7">
        <v>20</v>
      </c>
      <c r="P1449" s="2">
        <v>45800.833333333336</v>
      </c>
      <c r="Q1449" t="s">
        <v>74</v>
      </c>
      <c r="R1449">
        <v>5</v>
      </c>
      <c r="S1449" t="s">
        <v>27</v>
      </c>
      <c r="T1449">
        <f>IF(orders[[#This Row],[Status]]="Completed",1,0)</f>
        <v>1</v>
      </c>
      <c r="U1449">
        <f>IF(orders[[#This Row],[Status]]="Pending",1,0)</f>
        <v>0</v>
      </c>
      <c r="V1449">
        <f>IF(orders[[#This Row],[Status]]="Delayed",1,0)</f>
        <v>0</v>
      </c>
      <c r="W1449">
        <f>IF(orders[[#This Row],[Status]]="Cancelled",1,0)</f>
        <v>0</v>
      </c>
    </row>
    <row r="1450" spans="1:23" x14ac:dyDescent="0.35">
      <c r="A1450" t="s">
        <v>1831</v>
      </c>
      <c r="B1450" s="1">
        <v>45716</v>
      </c>
      <c r="C1450" t="s">
        <v>242</v>
      </c>
      <c r="D1450" t="s">
        <v>68</v>
      </c>
      <c r="E1450" t="s">
        <v>52</v>
      </c>
      <c r="F1450" t="s">
        <v>39</v>
      </c>
      <c r="G1450" t="s">
        <v>93</v>
      </c>
      <c r="H1450" s="7">
        <v>2</v>
      </c>
      <c r="I1450" s="4">
        <v>7207.86</v>
      </c>
      <c r="J1450" s="23">
        <v>0</v>
      </c>
      <c r="K1450" s="4">
        <v>7207.86</v>
      </c>
      <c r="L1450" s="4">
        <v>5684.59</v>
      </c>
      <c r="M1450" s="4">
        <v>1523.27</v>
      </c>
      <c r="N1450" t="s">
        <v>25</v>
      </c>
      <c r="O1450" s="7">
        <v>24</v>
      </c>
      <c r="P1450" s="2">
        <v>45717</v>
      </c>
      <c r="Q1450" t="s">
        <v>139</v>
      </c>
      <c r="R1450">
        <v>2</v>
      </c>
      <c r="S1450" t="s">
        <v>55</v>
      </c>
      <c r="T1450">
        <f>IF(orders[[#This Row],[Status]]="Completed",1,0)</f>
        <v>1</v>
      </c>
      <c r="U1450">
        <f>IF(orders[[#This Row],[Status]]="Pending",1,0)</f>
        <v>0</v>
      </c>
      <c r="V1450">
        <f>IF(orders[[#This Row],[Status]]="Delayed",1,0)</f>
        <v>0</v>
      </c>
      <c r="W1450">
        <f>IF(orders[[#This Row],[Status]]="Cancelled",1,0)</f>
        <v>0</v>
      </c>
    </row>
    <row r="1451" spans="1:23" x14ac:dyDescent="0.35">
      <c r="A1451" t="s">
        <v>1832</v>
      </c>
      <c r="B1451" s="1">
        <v>46022</v>
      </c>
      <c r="C1451" t="s">
        <v>541</v>
      </c>
      <c r="D1451" t="s">
        <v>77</v>
      </c>
      <c r="E1451" t="s">
        <v>46</v>
      </c>
      <c r="F1451" t="s">
        <v>23</v>
      </c>
      <c r="G1451" t="s">
        <v>136</v>
      </c>
      <c r="H1451" s="7">
        <v>6</v>
      </c>
      <c r="I1451" s="4">
        <v>15569.94</v>
      </c>
      <c r="J1451" s="23">
        <v>0.15</v>
      </c>
      <c r="K1451" s="4">
        <v>13234.45</v>
      </c>
      <c r="L1451" s="4">
        <v>10779.85</v>
      </c>
      <c r="M1451" s="4">
        <v>2454.6</v>
      </c>
      <c r="N1451" t="s">
        <v>25</v>
      </c>
      <c r="O1451" s="7">
        <v>16</v>
      </c>
      <c r="P1451" s="2">
        <v>46022.666666666664</v>
      </c>
      <c r="Q1451" t="s">
        <v>34</v>
      </c>
      <c r="R1451">
        <v>12</v>
      </c>
      <c r="S1451" t="s">
        <v>35</v>
      </c>
      <c r="T1451">
        <f>IF(orders[[#This Row],[Status]]="Completed",1,0)</f>
        <v>1</v>
      </c>
      <c r="U1451">
        <f>IF(orders[[#This Row],[Status]]="Pending",1,0)</f>
        <v>0</v>
      </c>
      <c r="V1451">
        <f>IF(orders[[#This Row],[Status]]="Delayed",1,0)</f>
        <v>0</v>
      </c>
      <c r="W1451">
        <f>IF(orders[[#This Row],[Status]]="Cancelled",1,0)</f>
        <v>0</v>
      </c>
    </row>
    <row r="1452" spans="1:23" x14ac:dyDescent="0.35">
      <c r="A1452" t="s">
        <v>1833</v>
      </c>
      <c r="B1452" s="1">
        <v>45683</v>
      </c>
      <c r="C1452" t="s">
        <v>515</v>
      </c>
      <c r="D1452" t="s">
        <v>149</v>
      </c>
      <c r="E1452" t="s">
        <v>46</v>
      </c>
      <c r="F1452" t="s">
        <v>23</v>
      </c>
      <c r="G1452" t="s">
        <v>24</v>
      </c>
      <c r="H1452" s="7">
        <v>7</v>
      </c>
      <c r="I1452" s="4">
        <v>22974.560000000001</v>
      </c>
      <c r="J1452" s="23">
        <v>0.05</v>
      </c>
      <c r="K1452" s="4">
        <v>21825.83</v>
      </c>
      <c r="L1452" s="4">
        <v>17706.560000000001</v>
      </c>
      <c r="M1452" s="4">
        <v>4119.2700000000004</v>
      </c>
      <c r="N1452" t="s">
        <v>25</v>
      </c>
      <c r="O1452" s="7">
        <v>6</v>
      </c>
      <c r="P1452" s="2">
        <v>45683.25</v>
      </c>
      <c r="Q1452" t="s">
        <v>65</v>
      </c>
      <c r="R1452">
        <v>1</v>
      </c>
      <c r="S1452" t="s">
        <v>55</v>
      </c>
      <c r="T1452">
        <f>IF(orders[[#This Row],[Status]]="Completed",1,0)</f>
        <v>1</v>
      </c>
      <c r="U1452">
        <f>IF(orders[[#This Row],[Status]]="Pending",1,0)</f>
        <v>0</v>
      </c>
      <c r="V1452">
        <f>IF(orders[[#This Row],[Status]]="Delayed",1,0)</f>
        <v>0</v>
      </c>
      <c r="W1452">
        <f>IF(orders[[#This Row],[Status]]="Cancelled",1,0)</f>
        <v>0</v>
      </c>
    </row>
    <row r="1453" spans="1:23" x14ac:dyDescent="0.35">
      <c r="A1453" t="s">
        <v>1834</v>
      </c>
      <c r="B1453" s="1">
        <v>45704</v>
      </c>
      <c r="C1453" t="s">
        <v>1109</v>
      </c>
      <c r="D1453" t="s">
        <v>38</v>
      </c>
      <c r="E1453" t="s">
        <v>78</v>
      </c>
      <c r="F1453" t="s">
        <v>83</v>
      </c>
      <c r="G1453" t="s">
        <v>155</v>
      </c>
      <c r="H1453" s="7">
        <v>3</v>
      </c>
      <c r="I1453" s="4">
        <v>13198.98</v>
      </c>
      <c r="J1453" s="23">
        <v>0.15</v>
      </c>
      <c r="K1453" s="4">
        <v>11219.13</v>
      </c>
      <c r="L1453" s="4">
        <v>9790.18</v>
      </c>
      <c r="M1453" s="4">
        <v>1428.95</v>
      </c>
      <c r="N1453" t="s">
        <v>98</v>
      </c>
      <c r="O1453" s="7">
        <v>21</v>
      </c>
      <c r="P1453" s="2">
        <v>45704.875</v>
      </c>
      <c r="Q1453" t="s">
        <v>139</v>
      </c>
      <c r="R1453">
        <v>2</v>
      </c>
      <c r="S1453" t="s">
        <v>55</v>
      </c>
      <c r="T1453">
        <f>IF(orders[[#This Row],[Status]]="Completed",1,0)</f>
        <v>0</v>
      </c>
      <c r="U1453">
        <f>IF(orders[[#This Row],[Status]]="Pending",1,0)</f>
        <v>1</v>
      </c>
      <c r="V1453">
        <f>IF(orders[[#This Row],[Status]]="Delayed",1,0)</f>
        <v>0</v>
      </c>
      <c r="W1453">
        <f>IF(orders[[#This Row],[Status]]="Cancelled",1,0)</f>
        <v>0</v>
      </c>
    </row>
    <row r="1454" spans="1:23" x14ac:dyDescent="0.35">
      <c r="A1454" t="s">
        <v>1835</v>
      </c>
      <c r="B1454" s="1">
        <v>45945</v>
      </c>
      <c r="C1454" t="s">
        <v>133</v>
      </c>
      <c r="D1454" t="s">
        <v>149</v>
      </c>
      <c r="E1454" t="s">
        <v>52</v>
      </c>
      <c r="F1454" t="s">
        <v>39</v>
      </c>
      <c r="G1454" t="s">
        <v>40</v>
      </c>
      <c r="H1454" s="7">
        <v>7</v>
      </c>
      <c r="I1454" s="4">
        <v>19698.14</v>
      </c>
      <c r="J1454" s="23">
        <v>0.1</v>
      </c>
      <c r="K1454" s="4">
        <v>17728.330000000002</v>
      </c>
      <c r="L1454" s="4">
        <v>14352.86</v>
      </c>
      <c r="M1454" s="4">
        <v>3375.47</v>
      </c>
      <c r="N1454" t="s">
        <v>48</v>
      </c>
      <c r="O1454" s="7">
        <v>2</v>
      </c>
      <c r="P1454" s="2">
        <v>45945.083333333336</v>
      </c>
      <c r="Q1454" t="s">
        <v>116</v>
      </c>
      <c r="R1454">
        <v>10</v>
      </c>
      <c r="S1454" t="s">
        <v>35</v>
      </c>
      <c r="T1454">
        <f>IF(orders[[#This Row],[Status]]="Completed",1,0)</f>
        <v>0</v>
      </c>
      <c r="U1454">
        <f>IF(orders[[#This Row],[Status]]="Pending",1,0)</f>
        <v>0</v>
      </c>
      <c r="V1454">
        <f>IF(orders[[#This Row],[Status]]="Delayed",1,0)</f>
        <v>0</v>
      </c>
      <c r="W1454">
        <f>IF(orders[[#This Row],[Status]]="Cancelled",1,0)</f>
        <v>1</v>
      </c>
    </row>
    <row r="1455" spans="1:23" x14ac:dyDescent="0.35">
      <c r="A1455" t="s">
        <v>1836</v>
      </c>
      <c r="B1455" s="1">
        <v>45923</v>
      </c>
      <c r="C1455" t="s">
        <v>354</v>
      </c>
      <c r="D1455" t="s">
        <v>63</v>
      </c>
      <c r="E1455" t="s">
        <v>92</v>
      </c>
      <c r="F1455" t="s">
        <v>23</v>
      </c>
      <c r="G1455" t="s">
        <v>110</v>
      </c>
      <c r="H1455" s="7">
        <v>3</v>
      </c>
      <c r="I1455" s="4">
        <v>24722.639999999999</v>
      </c>
      <c r="J1455" s="23">
        <v>0.15</v>
      </c>
      <c r="K1455" s="4">
        <v>21014.240000000002</v>
      </c>
      <c r="L1455" s="4">
        <v>16897.09</v>
      </c>
      <c r="M1455" s="4">
        <v>4117.1499999999996</v>
      </c>
      <c r="N1455" t="s">
        <v>48</v>
      </c>
      <c r="O1455" s="7">
        <v>18</v>
      </c>
      <c r="P1455" s="2">
        <v>45923.75</v>
      </c>
      <c r="Q1455" t="s">
        <v>41</v>
      </c>
      <c r="R1455">
        <v>9</v>
      </c>
      <c r="S1455" t="s">
        <v>42</v>
      </c>
      <c r="T1455">
        <f>IF(orders[[#This Row],[Status]]="Completed",1,0)</f>
        <v>0</v>
      </c>
      <c r="U1455">
        <f>IF(orders[[#This Row],[Status]]="Pending",1,0)</f>
        <v>0</v>
      </c>
      <c r="V1455">
        <f>IF(orders[[#This Row],[Status]]="Delayed",1,0)</f>
        <v>0</v>
      </c>
      <c r="W1455">
        <f>IF(orders[[#This Row],[Status]]="Cancelled",1,0)</f>
        <v>1</v>
      </c>
    </row>
    <row r="1456" spans="1:23" x14ac:dyDescent="0.35">
      <c r="A1456" t="s">
        <v>1837</v>
      </c>
      <c r="B1456" s="1">
        <v>45673</v>
      </c>
      <c r="C1456" t="s">
        <v>316</v>
      </c>
      <c r="D1456" t="s">
        <v>30</v>
      </c>
      <c r="E1456" t="s">
        <v>59</v>
      </c>
      <c r="F1456" t="s">
        <v>23</v>
      </c>
      <c r="G1456" t="s">
        <v>122</v>
      </c>
      <c r="H1456" s="7">
        <v>3</v>
      </c>
      <c r="I1456" s="4">
        <v>23823.599999999999</v>
      </c>
      <c r="J1456" s="23">
        <v>0.1</v>
      </c>
      <c r="K1456" s="4">
        <v>21441.24</v>
      </c>
      <c r="L1456" s="4">
        <v>17859.91</v>
      </c>
      <c r="M1456" s="4">
        <v>3581.33</v>
      </c>
      <c r="N1456" t="s">
        <v>25</v>
      </c>
      <c r="O1456" s="7">
        <v>31</v>
      </c>
      <c r="P1456" s="2">
        <v>45674.291666666664</v>
      </c>
      <c r="Q1456" t="s">
        <v>65</v>
      </c>
      <c r="R1456">
        <v>1</v>
      </c>
      <c r="S1456" t="s">
        <v>55</v>
      </c>
      <c r="T1456">
        <f>IF(orders[[#This Row],[Status]]="Completed",1,0)</f>
        <v>1</v>
      </c>
      <c r="U1456">
        <f>IF(orders[[#This Row],[Status]]="Pending",1,0)</f>
        <v>0</v>
      </c>
      <c r="V1456">
        <f>IF(orders[[#This Row],[Status]]="Delayed",1,0)</f>
        <v>0</v>
      </c>
      <c r="W1456">
        <f>IF(orders[[#This Row],[Status]]="Cancelled",1,0)</f>
        <v>0</v>
      </c>
    </row>
    <row r="1457" spans="1:23" x14ac:dyDescent="0.35">
      <c r="A1457" t="s">
        <v>1838</v>
      </c>
      <c r="B1457" s="1">
        <v>45856</v>
      </c>
      <c r="C1457" t="s">
        <v>207</v>
      </c>
      <c r="D1457" t="s">
        <v>30</v>
      </c>
      <c r="E1457" t="s">
        <v>22</v>
      </c>
      <c r="F1457" t="s">
        <v>32</v>
      </c>
      <c r="G1457" t="s">
        <v>33</v>
      </c>
      <c r="H1457" s="7">
        <v>4</v>
      </c>
      <c r="I1457" s="4">
        <v>29680.44</v>
      </c>
      <c r="J1457" s="23">
        <v>0.1</v>
      </c>
      <c r="K1457" s="4">
        <v>26712.400000000001</v>
      </c>
      <c r="L1457" s="4">
        <v>14693.45</v>
      </c>
      <c r="M1457" s="4">
        <v>12018.95</v>
      </c>
      <c r="N1457" t="s">
        <v>85</v>
      </c>
      <c r="O1457" s="7">
        <v>63</v>
      </c>
      <c r="P1457" s="2">
        <v>45858.625</v>
      </c>
      <c r="Q1457" t="s">
        <v>60</v>
      </c>
      <c r="R1457">
        <v>7</v>
      </c>
      <c r="S1457" t="s">
        <v>42</v>
      </c>
      <c r="T1457">
        <f>IF(orders[[#This Row],[Status]]="Completed",1,0)</f>
        <v>0</v>
      </c>
      <c r="U1457">
        <f>IF(orders[[#This Row],[Status]]="Pending",1,0)</f>
        <v>0</v>
      </c>
      <c r="V1457">
        <f>IF(orders[[#This Row],[Status]]="Delayed",1,0)</f>
        <v>1</v>
      </c>
      <c r="W1457">
        <f>IF(orders[[#This Row],[Status]]="Cancelled",1,0)</f>
        <v>0</v>
      </c>
    </row>
    <row r="1458" spans="1:23" x14ac:dyDescent="0.35">
      <c r="A1458" t="s">
        <v>1839</v>
      </c>
      <c r="B1458" s="1">
        <v>45939</v>
      </c>
      <c r="C1458" t="s">
        <v>1099</v>
      </c>
      <c r="D1458" t="s">
        <v>30</v>
      </c>
      <c r="E1458" t="s">
        <v>78</v>
      </c>
      <c r="F1458" t="s">
        <v>23</v>
      </c>
      <c r="G1458" t="s">
        <v>136</v>
      </c>
      <c r="H1458" s="7">
        <v>2</v>
      </c>
      <c r="I1458" s="4">
        <v>7344.56</v>
      </c>
      <c r="J1458" s="23">
        <v>0.25</v>
      </c>
      <c r="K1458" s="4">
        <v>5508.42</v>
      </c>
      <c r="L1458" s="4">
        <v>3688.45</v>
      </c>
      <c r="M1458" s="4">
        <v>1819.97</v>
      </c>
      <c r="N1458" t="s">
        <v>85</v>
      </c>
      <c r="O1458" s="7">
        <v>77</v>
      </c>
      <c r="P1458" s="2">
        <v>45942.208333333336</v>
      </c>
      <c r="Q1458" t="s">
        <v>116</v>
      </c>
      <c r="R1458">
        <v>10</v>
      </c>
      <c r="S1458" t="s">
        <v>35</v>
      </c>
      <c r="T1458">
        <f>IF(orders[[#This Row],[Status]]="Completed",1,0)</f>
        <v>0</v>
      </c>
      <c r="U1458">
        <f>IF(orders[[#This Row],[Status]]="Pending",1,0)</f>
        <v>0</v>
      </c>
      <c r="V1458">
        <f>IF(orders[[#This Row],[Status]]="Delayed",1,0)</f>
        <v>1</v>
      </c>
      <c r="W1458">
        <f>IF(orders[[#This Row],[Status]]="Cancelled",1,0)</f>
        <v>0</v>
      </c>
    </row>
    <row r="1459" spans="1:23" x14ac:dyDescent="0.35">
      <c r="A1459" t="s">
        <v>1840</v>
      </c>
      <c r="B1459" s="1">
        <v>45743</v>
      </c>
      <c r="C1459" t="s">
        <v>1087</v>
      </c>
      <c r="D1459" t="s">
        <v>77</v>
      </c>
      <c r="E1459" t="s">
        <v>52</v>
      </c>
      <c r="F1459" t="s">
        <v>32</v>
      </c>
      <c r="G1459" t="s">
        <v>79</v>
      </c>
      <c r="H1459" s="7">
        <v>4</v>
      </c>
      <c r="I1459" s="4">
        <v>23689.48</v>
      </c>
      <c r="J1459" s="23">
        <v>0</v>
      </c>
      <c r="K1459" s="4">
        <v>23689.48</v>
      </c>
      <c r="L1459" s="4">
        <v>18795.45</v>
      </c>
      <c r="M1459" s="4">
        <v>4894.03</v>
      </c>
      <c r="N1459" t="s">
        <v>25</v>
      </c>
      <c r="O1459" s="7">
        <v>14</v>
      </c>
      <c r="P1459" s="2">
        <v>45743.583333333336</v>
      </c>
      <c r="Q1459" t="s">
        <v>54</v>
      </c>
      <c r="R1459">
        <v>3</v>
      </c>
      <c r="S1459" t="s">
        <v>55</v>
      </c>
      <c r="T1459">
        <f>IF(orders[[#This Row],[Status]]="Completed",1,0)</f>
        <v>1</v>
      </c>
      <c r="U1459">
        <f>IF(orders[[#This Row],[Status]]="Pending",1,0)</f>
        <v>0</v>
      </c>
      <c r="V1459">
        <f>IF(orders[[#This Row],[Status]]="Delayed",1,0)</f>
        <v>0</v>
      </c>
      <c r="W1459">
        <f>IF(orders[[#This Row],[Status]]="Cancelled",1,0)</f>
        <v>0</v>
      </c>
    </row>
    <row r="1460" spans="1:23" x14ac:dyDescent="0.35">
      <c r="A1460" t="s">
        <v>1841</v>
      </c>
      <c r="B1460" s="1">
        <v>45907</v>
      </c>
      <c r="C1460" t="s">
        <v>789</v>
      </c>
      <c r="D1460" t="s">
        <v>30</v>
      </c>
      <c r="E1460" t="s">
        <v>52</v>
      </c>
      <c r="F1460" t="s">
        <v>39</v>
      </c>
      <c r="G1460" t="s">
        <v>188</v>
      </c>
      <c r="H1460" s="7">
        <v>5</v>
      </c>
      <c r="I1460" s="4">
        <v>38443.1</v>
      </c>
      <c r="J1460" s="23">
        <v>0.05</v>
      </c>
      <c r="K1460" s="4">
        <v>36520.94</v>
      </c>
      <c r="L1460" s="4">
        <v>27314.28</v>
      </c>
      <c r="M1460" s="4">
        <v>9206.66</v>
      </c>
      <c r="N1460" t="s">
        <v>25</v>
      </c>
      <c r="O1460" s="7">
        <v>27</v>
      </c>
      <c r="P1460" s="2">
        <v>45908.125</v>
      </c>
      <c r="Q1460" t="s">
        <v>41</v>
      </c>
      <c r="R1460">
        <v>9</v>
      </c>
      <c r="S1460" t="s">
        <v>42</v>
      </c>
      <c r="T1460">
        <f>IF(orders[[#This Row],[Status]]="Completed",1,0)</f>
        <v>1</v>
      </c>
      <c r="U1460">
        <f>IF(orders[[#This Row],[Status]]="Pending",1,0)</f>
        <v>0</v>
      </c>
      <c r="V1460">
        <f>IF(orders[[#This Row],[Status]]="Delayed",1,0)</f>
        <v>0</v>
      </c>
      <c r="W1460">
        <f>IF(orders[[#This Row],[Status]]="Cancelled",1,0)</f>
        <v>0</v>
      </c>
    </row>
    <row r="1461" spans="1:23" x14ac:dyDescent="0.35">
      <c r="A1461" t="s">
        <v>1842</v>
      </c>
      <c r="B1461" s="1">
        <v>45927</v>
      </c>
      <c r="C1461" t="s">
        <v>829</v>
      </c>
      <c r="D1461" t="s">
        <v>63</v>
      </c>
      <c r="E1461" t="s">
        <v>31</v>
      </c>
      <c r="F1461" t="s">
        <v>39</v>
      </c>
      <c r="G1461" t="s">
        <v>114</v>
      </c>
      <c r="H1461" s="7">
        <v>4</v>
      </c>
      <c r="I1461" s="4">
        <v>29004.36</v>
      </c>
      <c r="J1461" s="23">
        <v>0.1</v>
      </c>
      <c r="K1461" s="4">
        <v>26103.919999999998</v>
      </c>
      <c r="L1461" s="4">
        <v>15886.81</v>
      </c>
      <c r="M1461" s="4">
        <v>10217.11</v>
      </c>
      <c r="N1461" t="s">
        <v>25</v>
      </c>
      <c r="O1461" s="7">
        <v>46</v>
      </c>
      <c r="P1461" s="2">
        <v>45928.916666666664</v>
      </c>
      <c r="Q1461" t="s">
        <v>41</v>
      </c>
      <c r="R1461">
        <v>9</v>
      </c>
      <c r="S1461" t="s">
        <v>42</v>
      </c>
      <c r="T1461">
        <f>IF(orders[[#This Row],[Status]]="Completed",1,0)</f>
        <v>1</v>
      </c>
      <c r="U1461">
        <f>IF(orders[[#This Row],[Status]]="Pending",1,0)</f>
        <v>0</v>
      </c>
      <c r="V1461">
        <f>IF(orders[[#This Row],[Status]]="Delayed",1,0)</f>
        <v>0</v>
      </c>
      <c r="W1461">
        <f>IF(orders[[#This Row],[Status]]="Cancelled",1,0)</f>
        <v>0</v>
      </c>
    </row>
    <row r="1462" spans="1:23" x14ac:dyDescent="0.35">
      <c r="A1462" t="s">
        <v>1843</v>
      </c>
      <c r="B1462" s="1">
        <v>45992</v>
      </c>
      <c r="C1462" t="s">
        <v>198</v>
      </c>
      <c r="D1462" t="s">
        <v>45</v>
      </c>
      <c r="E1462" t="s">
        <v>92</v>
      </c>
      <c r="F1462" t="s">
        <v>39</v>
      </c>
      <c r="G1462" t="s">
        <v>114</v>
      </c>
      <c r="H1462" s="7">
        <v>7</v>
      </c>
      <c r="I1462" s="4">
        <v>25267.41</v>
      </c>
      <c r="J1462" s="23">
        <v>0.25</v>
      </c>
      <c r="K1462" s="4">
        <v>18950.560000000001</v>
      </c>
      <c r="L1462" s="4">
        <v>12322.26</v>
      </c>
      <c r="M1462" s="4">
        <v>6628.3</v>
      </c>
      <c r="N1462" t="s">
        <v>85</v>
      </c>
      <c r="O1462" s="7">
        <v>62</v>
      </c>
      <c r="P1462" s="2">
        <v>45994.583333333336</v>
      </c>
      <c r="Q1462" t="s">
        <v>34</v>
      </c>
      <c r="R1462">
        <v>12</v>
      </c>
      <c r="S1462" t="s">
        <v>35</v>
      </c>
      <c r="T1462">
        <f>IF(orders[[#This Row],[Status]]="Completed",1,0)</f>
        <v>0</v>
      </c>
      <c r="U1462">
        <f>IF(orders[[#This Row],[Status]]="Pending",1,0)</f>
        <v>0</v>
      </c>
      <c r="V1462">
        <f>IF(orders[[#This Row],[Status]]="Delayed",1,0)</f>
        <v>1</v>
      </c>
      <c r="W1462">
        <f>IF(orders[[#This Row],[Status]]="Cancelled",1,0)</f>
        <v>0</v>
      </c>
    </row>
    <row r="1463" spans="1:23" x14ac:dyDescent="0.35">
      <c r="A1463" t="s">
        <v>1844</v>
      </c>
      <c r="B1463" s="1">
        <v>45774</v>
      </c>
      <c r="C1463" t="s">
        <v>67</v>
      </c>
      <c r="D1463" t="s">
        <v>38</v>
      </c>
      <c r="E1463" t="s">
        <v>78</v>
      </c>
      <c r="F1463" t="s">
        <v>72</v>
      </c>
      <c r="G1463" t="s">
        <v>104</v>
      </c>
      <c r="H1463" s="7">
        <v>7</v>
      </c>
      <c r="I1463" s="4">
        <v>7618.94</v>
      </c>
      <c r="J1463" s="23">
        <v>0</v>
      </c>
      <c r="K1463" s="4">
        <v>7618.94</v>
      </c>
      <c r="L1463" s="4">
        <v>5037.2</v>
      </c>
      <c r="M1463" s="4">
        <v>2581.7399999999998</v>
      </c>
      <c r="N1463" t="s">
        <v>48</v>
      </c>
      <c r="O1463" s="7">
        <v>15</v>
      </c>
      <c r="P1463" s="2">
        <v>45774.625</v>
      </c>
      <c r="Q1463" t="s">
        <v>26</v>
      </c>
      <c r="R1463">
        <v>4</v>
      </c>
      <c r="S1463" t="s">
        <v>27</v>
      </c>
      <c r="T1463">
        <f>IF(orders[[#This Row],[Status]]="Completed",1,0)</f>
        <v>0</v>
      </c>
      <c r="U1463">
        <f>IF(orders[[#This Row],[Status]]="Pending",1,0)</f>
        <v>0</v>
      </c>
      <c r="V1463">
        <f>IF(orders[[#This Row],[Status]]="Delayed",1,0)</f>
        <v>0</v>
      </c>
      <c r="W1463">
        <f>IF(orders[[#This Row],[Status]]="Cancelled",1,0)</f>
        <v>1</v>
      </c>
    </row>
    <row r="1464" spans="1:23" x14ac:dyDescent="0.35">
      <c r="A1464" t="s">
        <v>1845</v>
      </c>
      <c r="B1464" s="1">
        <v>45664</v>
      </c>
      <c r="C1464" t="s">
        <v>290</v>
      </c>
      <c r="D1464" t="s">
        <v>63</v>
      </c>
      <c r="E1464" t="s">
        <v>22</v>
      </c>
      <c r="F1464" t="s">
        <v>39</v>
      </c>
      <c r="G1464" t="s">
        <v>47</v>
      </c>
      <c r="H1464" s="7">
        <v>5</v>
      </c>
      <c r="I1464" s="4">
        <v>3907.55</v>
      </c>
      <c r="J1464" s="23">
        <v>0</v>
      </c>
      <c r="K1464" s="4">
        <v>3907.55</v>
      </c>
      <c r="L1464" s="4">
        <v>2881.36</v>
      </c>
      <c r="M1464" s="4">
        <v>1026.19</v>
      </c>
      <c r="N1464" t="s">
        <v>85</v>
      </c>
      <c r="O1464" s="7">
        <v>71</v>
      </c>
      <c r="P1464" s="2">
        <v>45666.958333333336</v>
      </c>
      <c r="Q1464" t="s">
        <v>65</v>
      </c>
      <c r="R1464">
        <v>1</v>
      </c>
      <c r="S1464" t="s">
        <v>55</v>
      </c>
      <c r="T1464">
        <f>IF(orders[[#This Row],[Status]]="Completed",1,0)</f>
        <v>0</v>
      </c>
      <c r="U1464">
        <f>IF(orders[[#This Row],[Status]]="Pending",1,0)</f>
        <v>0</v>
      </c>
      <c r="V1464">
        <f>IF(orders[[#This Row],[Status]]="Delayed",1,0)</f>
        <v>1</v>
      </c>
      <c r="W1464">
        <f>IF(orders[[#This Row],[Status]]="Cancelled",1,0)</f>
        <v>0</v>
      </c>
    </row>
    <row r="1465" spans="1:23" x14ac:dyDescent="0.35">
      <c r="A1465" t="s">
        <v>1846</v>
      </c>
      <c r="B1465" s="1">
        <v>45794</v>
      </c>
      <c r="C1465" t="s">
        <v>76</v>
      </c>
      <c r="D1465" t="s">
        <v>38</v>
      </c>
      <c r="E1465" t="s">
        <v>52</v>
      </c>
      <c r="F1465" t="s">
        <v>23</v>
      </c>
      <c r="G1465" t="s">
        <v>110</v>
      </c>
      <c r="H1465" s="7">
        <v>1</v>
      </c>
      <c r="I1465" s="4">
        <v>4968.4799999999996</v>
      </c>
      <c r="J1465" s="23">
        <v>0</v>
      </c>
      <c r="K1465" s="4">
        <v>4968.4799999999996</v>
      </c>
      <c r="L1465" s="4">
        <v>4096.1499999999996</v>
      </c>
      <c r="M1465" s="4">
        <v>872.33</v>
      </c>
      <c r="N1465" t="s">
        <v>25</v>
      </c>
      <c r="O1465" s="7">
        <v>47</v>
      </c>
      <c r="P1465" s="2">
        <v>45795.958333333336</v>
      </c>
      <c r="Q1465" t="s">
        <v>74</v>
      </c>
      <c r="R1465">
        <v>5</v>
      </c>
      <c r="S1465" t="s">
        <v>27</v>
      </c>
      <c r="T1465">
        <f>IF(orders[[#This Row],[Status]]="Completed",1,0)</f>
        <v>1</v>
      </c>
      <c r="U1465">
        <f>IF(orders[[#This Row],[Status]]="Pending",1,0)</f>
        <v>0</v>
      </c>
      <c r="V1465">
        <f>IF(orders[[#This Row],[Status]]="Delayed",1,0)</f>
        <v>0</v>
      </c>
      <c r="W1465">
        <f>IF(orders[[#This Row],[Status]]="Cancelled",1,0)</f>
        <v>0</v>
      </c>
    </row>
    <row r="1466" spans="1:23" x14ac:dyDescent="0.35">
      <c r="A1466" t="s">
        <v>1847</v>
      </c>
      <c r="B1466" s="1">
        <v>45833</v>
      </c>
      <c r="C1466" t="s">
        <v>390</v>
      </c>
      <c r="D1466" t="s">
        <v>63</v>
      </c>
      <c r="E1466" t="s">
        <v>46</v>
      </c>
      <c r="F1466" t="s">
        <v>83</v>
      </c>
      <c r="G1466" t="s">
        <v>152</v>
      </c>
      <c r="H1466" s="7">
        <v>1</v>
      </c>
      <c r="I1466" s="4">
        <v>5515.94</v>
      </c>
      <c r="J1466" s="23">
        <v>0</v>
      </c>
      <c r="K1466" s="4">
        <v>5515.94</v>
      </c>
      <c r="L1466" s="4">
        <v>4731.1400000000003</v>
      </c>
      <c r="M1466" s="4">
        <v>784.8</v>
      </c>
      <c r="N1466" t="s">
        <v>98</v>
      </c>
      <c r="O1466" s="7">
        <v>5</v>
      </c>
      <c r="P1466" s="2">
        <v>45833.208333333336</v>
      </c>
      <c r="Q1466" t="s">
        <v>99</v>
      </c>
      <c r="R1466">
        <v>6</v>
      </c>
      <c r="S1466" t="s">
        <v>27</v>
      </c>
      <c r="T1466">
        <f>IF(orders[[#This Row],[Status]]="Completed",1,0)</f>
        <v>0</v>
      </c>
      <c r="U1466">
        <f>IF(orders[[#This Row],[Status]]="Pending",1,0)</f>
        <v>1</v>
      </c>
      <c r="V1466">
        <f>IF(orders[[#This Row],[Status]]="Delayed",1,0)</f>
        <v>0</v>
      </c>
      <c r="W1466">
        <f>IF(orders[[#This Row],[Status]]="Cancelled",1,0)</f>
        <v>0</v>
      </c>
    </row>
    <row r="1467" spans="1:23" x14ac:dyDescent="0.35">
      <c r="A1467" t="s">
        <v>1848</v>
      </c>
      <c r="B1467" s="1">
        <v>45985</v>
      </c>
      <c r="C1467" t="s">
        <v>154</v>
      </c>
      <c r="D1467" t="s">
        <v>30</v>
      </c>
      <c r="E1467" t="s">
        <v>52</v>
      </c>
      <c r="F1467" t="s">
        <v>32</v>
      </c>
      <c r="G1467" t="s">
        <v>89</v>
      </c>
      <c r="H1467" s="7">
        <v>5</v>
      </c>
      <c r="I1467" s="4">
        <v>36230.949999999997</v>
      </c>
      <c r="J1467" s="23">
        <v>0.2</v>
      </c>
      <c r="K1467" s="4">
        <v>28984.76</v>
      </c>
      <c r="L1467" s="4">
        <v>23116.23</v>
      </c>
      <c r="M1467" s="4">
        <v>5868.53</v>
      </c>
      <c r="N1467" t="s">
        <v>25</v>
      </c>
      <c r="O1467" s="7">
        <v>42</v>
      </c>
      <c r="P1467" s="2">
        <v>45986.75</v>
      </c>
      <c r="Q1467" t="s">
        <v>86</v>
      </c>
      <c r="R1467">
        <v>11</v>
      </c>
      <c r="S1467" t="s">
        <v>35</v>
      </c>
      <c r="T1467">
        <f>IF(orders[[#This Row],[Status]]="Completed",1,0)</f>
        <v>1</v>
      </c>
      <c r="U1467">
        <f>IF(orders[[#This Row],[Status]]="Pending",1,0)</f>
        <v>0</v>
      </c>
      <c r="V1467">
        <f>IF(orders[[#This Row],[Status]]="Delayed",1,0)</f>
        <v>0</v>
      </c>
      <c r="W1467">
        <f>IF(orders[[#This Row],[Status]]="Cancelled",1,0)</f>
        <v>0</v>
      </c>
    </row>
    <row r="1468" spans="1:23" x14ac:dyDescent="0.35">
      <c r="A1468" t="s">
        <v>1849</v>
      </c>
      <c r="B1468" s="1">
        <v>45972</v>
      </c>
      <c r="C1468" t="s">
        <v>504</v>
      </c>
      <c r="D1468" t="s">
        <v>45</v>
      </c>
      <c r="E1468" t="s">
        <v>52</v>
      </c>
      <c r="F1468" t="s">
        <v>72</v>
      </c>
      <c r="G1468" t="s">
        <v>129</v>
      </c>
      <c r="H1468" s="7">
        <v>5</v>
      </c>
      <c r="I1468" s="4">
        <v>12962.5</v>
      </c>
      <c r="J1468" s="23">
        <v>0.15</v>
      </c>
      <c r="K1468" s="4">
        <v>11018.12</v>
      </c>
      <c r="L1468" s="4">
        <v>9124.92</v>
      </c>
      <c r="M1468" s="4">
        <v>1893.2</v>
      </c>
      <c r="N1468" t="s">
        <v>48</v>
      </c>
      <c r="O1468" s="7">
        <v>9</v>
      </c>
      <c r="P1468" s="2">
        <v>45972.375</v>
      </c>
      <c r="Q1468" t="s">
        <v>86</v>
      </c>
      <c r="R1468">
        <v>11</v>
      </c>
      <c r="S1468" t="s">
        <v>35</v>
      </c>
      <c r="T1468">
        <f>IF(orders[[#This Row],[Status]]="Completed",1,0)</f>
        <v>0</v>
      </c>
      <c r="U1468">
        <f>IF(orders[[#This Row],[Status]]="Pending",1,0)</f>
        <v>0</v>
      </c>
      <c r="V1468">
        <f>IF(orders[[#This Row],[Status]]="Delayed",1,0)</f>
        <v>0</v>
      </c>
      <c r="W1468">
        <f>IF(orders[[#This Row],[Status]]="Cancelled",1,0)</f>
        <v>1</v>
      </c>
    </row>
    <row r="1469" spans="1:23" x14ac:dyDescent="0.35">
      <c r="A1469" t="s">
        <v>1850</v>
      </c>
      <c r="B1469" s="1">
        <v>45872</v>
      </c>
      <c r="C1469" t="s">
        <v>780</v>
      </c>
      <c r="D1469" t="s">
        <v>68</v>
      </c>
      <c r="E1469" t="s">
        <v>52</v>
      </c>
      <c r="F1469" t="s">
        <v>39</v>
      </c>
      <c r="G1469" t="s">
        <v>114</v>
      </c>
      <c r="H1469" s="7">
        <v>4</v>
      </c>
      <c r="I1469" s="4">
        <v>6193.52</v>
      </c>
      <c r="J1469" s="23">
        <v>0.1</v>
      </c>
      <c r="K1469" s="4">
        <v>5574.17</v>
      </c>
      <c r="L1469" s="4">
        <v>3930.52</v>
      </c>
      <c r="M1469" s="4">
        <v>1643.65</v>
      </c>
      <c r="N1469" t="s">
        <v>98</v>
      </c>
      <c r="O1469" s="7">
        <v>19</v>
      </c>
      <c r="P1469" s="2">
        <v>45872.791666666664</v>
      </c>
      <c r="Q1469" t="s">
        <v>80</v>
      </c>
      <c r="R1469">
        <v>8</v>
      </c>
      <c r="S1469" t="s">
        <v>42</v>
      </c>
      <c r="T1469">
        <f>IF(orders[[#This Row],[Status]]="Completed",1,0)</f>
        <v>0</v>
      </c>
      <c r="U1469">
        <f>IF(orders[[#This Row],[Status]]="Pending",1,0)</f>
        <v>1</v>
      </c>
      <c r="V1469">
        <f>IF(orders[[#This Row],[Status]]="Delayed",1,0)</f>
        <v>0</v>
      </c>
      <c r="W1469">
        <f>IF(orders[[#This Row],[Status]]="Cancelled",1,0)</f>
        <v>0</v>
      </c>
    </row>
    <row r="1470" spans="1:23" x14ac:dyDescent="0.35">
      <c r="A1470" t="s">
        <v>1851</v>
      </c>
      <c r="B1470" s="1">
        <v>45739</v>
      </c>
      <c r="C1470" t="s">
        <v>1092</v>
      </c>
      <c r="D1470" t="s">
        <v>149</v>
      </c>
      <c r="E1470" t="s">
        <v>78</v>
      </c>
      <c r="F1470" t="s">
        <v>39</v>
      </c>
      <c r="G1470" t="s">
        <v>188</v>
      </c>
      <c r="H1470" s="7">
        <v>5</v>
      </c>
      <c r="I1470" s="4">
        <v>16573.5</v>
      </c>
      <c r="J1470" s="23">
        <v>0.1</v>
      </c>
      <c r="K1470" s="4">
        <v>14916.15</v>
      </c>
      <c r="L1470" s="4">
        <v>10122.49</v>
      </c>
      <c r="M1470" s="4">
        <v>4793.66</v>
      </c>
      <c r="N1470" t="s">
        <v>25</v>
      </c>
      <c r="O1470" s="7">
        <v>15</v>
      </c>
      <c r="P1470" s="2">
        <v>45739.625</v>
      </c>
      <c r="Q1470" t="s">
        <v>54</v>
      </c>
      <c r="R1470">
        <v>3</v>
      </c>
      <c r="S1470" t="s">
        <v>55</v>
      </c>
      <c r="T1470">
        <f>IF(orders[[#This Row],[Status]]="Completed",1,0)</f>
        <v>1</v>
      </c>
      <c r="U1470">
        <f>IF(orders[[#This Row],[Status]]="Pending",1,0)</f>
        <v>0</v>
      </c>
      <c r="V1470">
        <f>IF(orders[[#This Row],[Status]]="Delayed",1,0)</f>
        <v>0</v>
      </c>
      <c r="W1470">
        <f>IF(orders[[#This Row],[Status]]="Cancelled",1,0)</f>
        <v>0</v>
      </c>
    </row>
    <row r="1471" spans="1:23" x14ac:dyDescent="0.35">
      <c r="A1471" t="s">
        <v>1852</v>
      </c>
      <c r="B1471" s="1">
        <v>45880</v>
      </c>
      <c r="C1471" t="s">
        <v>263</v>
      </c>
      <c r="D1471" t="s">
        <v>58</v>
      </c>
      <c r="E1471" t="s">
        <v>59</v>
      </c>
      <c r="F1471" t="s">
        <v>83</v>
      </c>
      <c r="G1471" t="s">
        <v>155</v>
      </c>
      <c r="H1471" s="7">
        <v>2</v>
      </c>
      <c r="I1471" s="4">
        <v>6204.7</v>
      </c>
      <c r="J1471" s="23">
        <v>0.15</v>
      </c>
      <c r="K1471" s="4">
        <v>5274</v>
      </c>
      <c r="L1471" s="4">
        <v>3584.18</v>
      </c>
      <c r="M1471" s="4">
        <v>1689.82</v>
      </c>
      <c r="N1471" t="s">
        <v>98</v>
      </c>
      <c r="O1471" s="7">
        <v>13</v>
      </c>
      <c r="P1471" s="2">
        <v>45880.541666666664</v>
      </c>
      <c r="Q1471" t="s">
        <v>80</v>
      </c>
      <c r="R1471">
        <v>8</v>
      </c>
      <c r="S1471" t="s">
        <v>42</v>
      </c>
      <c r="T1471">
        <f>IF(orders[[#This Row],[Status]]="Completed",1,0)</f>
        <v>0</v>
      </c>
      <c r="U1471">
        <f>IF(orders[[#This Row],[Status]]="Pending",1,0)</f>
        <v>1</v>
      </c>
      <c r="V1471">
        <f>IF(orders[[#This Row],[Status]]="Delayed",1,0)</f>
        <v>0</v>
      </c>
      <c r="W1471">
        <f>IF(orders[[#This Row],[Status]]="Cancelled",1,0)</f>
        <v>0</v>
      </c>
    </row>
    <row r="1472" spans="1:23" x14ac:dyDescent="0.35">
      <c r="A1472" t="s">
        <v>1853</v>
      </c>
      <c r="B1472" s="1">
        <v>45760</v>
      </c>
      <c r="C1472" t="s">
        <v>181</v>
      </c>
      <c r="D1472" t="s">
        <v>45</v>
      </c>
      <c r="E1472" t="s">
        <v>113</v>
      </c>
      <c r="F1472" t="s">
        <v>83</v>
      </c>
      <c r="G1472" t="s">
        <v>84</v>
      </c>
      <c r="H1472" s="7">
        <v>1</v>
      </c>
      <c r="I1472" s="4">
        <v>1256.1199999999999</v>
      </c>
      <c r="J1472" s="23">
        <v>0</v>
      </c>
      <c r="K1472" s="4">
        <v>1256.1199999999999</v>
      </c>
      <c r="L1472" s="4">
        <v>946.23</v>
      </c>
      <c r="M1472" s="4">
        <v>309.89</v>
      </c>
      <c r="N1472" t="s">
        <v>98</v>
      </c>
      <c r="O1472" s="7">
        <v>16</v>
      </c>
      <c r="P1472" s="2">
        <v>45760.666666666664</v>
      </c>
      <c r="Q1472" t="s">
        <v>26</v>
      </c>
      <c r="R1472">
        <v>4</v>
      </c>
      <c r="S1472" t="s">
        <v>27</v>
      </c>
      <c r="T1472">
        <f>IF(orders[[#This Row],[Status]]="Completed",1,0)</f>
        <v>0</v>
      </c>
      <c r="U1472">
        <f>IF(orders[[#This Row],[Status]]="Pending",1,0)</f>
        <v>1</v>
      </c>
      <c r="V1472">
        <f>IF(orders[[#This Row],[Status]]="Delayed",1,0)</f>
        <v>0</v>
      </c>
      <c r="W1472">
        <f>IF(orders[[#This Row],[Status]]="Cancelled",1,0)</f>
        <v>0</v>
      </c>
    </row>
    <row r="1473" spans="1:23" x14ac:dyDescent="0.35">
      <c r="A1473" t="s">
        <v>1854</v>
      </c>
      <c r="B1473" s="1">
        <v>45930</v>
      </c>
      <c r="C1473" t="s">
        <v>708</v>
      </c>
      <c r="D1473" t="s">
        <v>68</v>
      </c>
      <c r="E1473" t="s">
        <v>31</v>
      </c>
      <c r="F1473" t="s">
        <v>72</v>
      </c>
      <c r="G1473" t="s">
        <v>129</v>
      </c>
      <c r="H1473" s="7">
        <v>1</v>
      </c>
      <c r="I1473" s="4">
        <v>5763.56</v>
      </c>
      <c r="J1473" s="23">
        <v>0.05</v>
      </c>
      <c r="K1473" s="4">
        <v>5475.38</v>
      </c>
      <c r="L1473" s="4">
        <v>3235.94</v>
      </c>
      <c r="M1473" s="4">
        <v>2239.44</v>
      </c>
      <c r="N1473" t="s">
        <v>25</v>
      </c>
      <c r="O1473" s="7">
        <v>33</v>
      </c>
      <c r="P1473" s="2">
        <v>45931.375</v>
      </c>
      <c r="Q1473" t="s">
        <v>41</v>
      </c>
      <c r="R1473">
        <v>9</v>
      </c>
      <c r="S1473" t="s">
        <v>42</v>
      </c>
      <c r="T1473">
        <f>IF(orders[[#This Row],[Status]]="Completed",1,0)</f>
        <v>1</v>
      </c>
      <c r="U1473">
        <f>IF(orders[[#This Row],[Status]]="Pending",1,0)</f>
        <v>0</v>
      </c>
      <c r="V1473">
        <f>IF(orders[[#This Row],[Status]]="Delayed",1,0)</f>
        <v>0</v>
      </c>
      <c r="W1473">
        <f>IF(orders[[#This Row],[Status]]="Cancelled",1,0)</f>
        <v>0</v>
      </c>
    </row>
    <row r="1474" spans="1:23" x14ac:dyDescent="0.35">
      <c r="A1474" t="s">
        <v>1855</v>
      </c>
      <c r="B1474" s="1">
        <v>45671</v>
      </c>
      <c r="C1474" t="s">
        <v>318</v>
      </c>
      <c r="D1474" t="s">
        <v>51</v>
      </c>
      <c r="E1474" t="s">
        <v>46</v>
      </c>
      <c r="F1474" t="s">
        <v>32</v>
      </c>
      <c r="G1474" t="s">
        <v>53</v>
      </c>
      <c r="H1474" s="7">
        <v>6</v>
      </c>
      <c r="I1474" s="4">
        <v>26385.48</v>
      </c>
      <c r="J1474" s="23">
        <v>0.1</v>
      </c>
      <c r="K1474" s="4">
        <v>23746.93</v>
      </c>
      <c r="L1474" s="4">
        <v>17602.009999999998</v>
      </c>
      <c r="M1474" s="4">
        <v>6144.92</v>
      </c>
      <c r="N1474" t="s">
        <v>98</v>
      </c>
      <c r="O1474" s="7">
        <v>15</v>
      </c>
      <c r="P1474" s="2">
        <v>45671.625</v>
      </c>
      <c r="Q1474" t="s">
        <v>65</v>
      </c>
      <c r="R1474">
        <v>1</v>
      </c>
      <c r="S1474" t="s">
        <v>55</v>
      </c>
      <c r="T1474">
        <f>IF(orders[[#This Row],[Status]]="Completed",1,0)</f>
        <v>0</v>
      </c>
      <c r="U1474">
        <f>IF(orders[[#This Row],[Status]]="Pending",1,0)</f>
        <v>1</v>
      </c>
      <c r="V1474">
        <f>IF(orders[[#This Row],[Status]]="Delayed",1,0)</f>
        <v>0</v>
      </c>
      <c r="W1474">
        <f>IF(orders[[#This Row],[Status]]="Cancelled",1,0)</f>
        <v>0</v>
      </c>
    </row>
    <row r="1475" spans="1:23" x14ac:dyDescent="0.35">
      <c r="A1475" t="s">
        <v>1856</v>
      </c>
      <c r="B1475" s="1">
        <v>45816</v>
      </c>
      <c r="C1475" t="s">
        <v>343</v>
      </c>
      <c r="D1475" t="s">
        <v>63</v>
      </c>
      <c r="E1475" t="s">
        <v>59</v>
      </c>
      <c r="F1475" t="s">
        <v>39</v>
      </c>
      <c r="G1475" t="s">
        <v>47</v>
      </c>
      <c r="H1475" s="7">
        <v>5</v>
      </c>
      <c r="I1475" s="4">
        <v>30856.9</v>
      </c>
      <c r="J1475" s="23">
        <v>0</v>
      </c>
      <c r="K1475" s="4">
        <v>30856.9</v>
      </c>
      <c r="L1475" s="4">
        <v>23744.19</v>
      </c>
      <c r="M1475" s="4">
        <v>7112.71</v>
      </c>
      <c r="N1475" t="s">
        <v>25</v>
      </c>
      <c r="O1475" s="7">
        <v>32</v>
      </c>
      <c r="P1475" s="2">
        <v>45817.333333333336</v>
      </c>
      <c r="Q1475" t="s">
        <v>99</v>
      </c>
      <c r="R1475">
        <v>6</v>
      </c>
      <c r="S1475" t="s">
        <v>27</v>
      </c>
      <c r="T1475">
        <f>IF(orders[[#This Row],[Status]]="Completed",1,0)</f>
        <v>1</v>
      </c>
      <c r="U1475">
        <f>IF(orders[[#This Row],[Status]]="Pending",1,0)</f>
        <v>0</v>
      </c>
      <c r="V1475">
        <f>IF(orders[[#This Row],[Status]]="Delayed",1,0)</f>
        <v>0</v>
      </c>
      <c r="W1475">
        <f>IF(orders[[#This Row],[Status]]="Cancelled",1,0)</f>
        <v>0</v>
      </c>
    </row>
    <row r="1476" spans="1:23" x14ac:dyDescent="0.35">
      <c r="A1476" t="s">
        <v>1857</v>
      </c>
      <c r="B1476" s="1">
        <v>45809</v>
      </c>
      <c r="C1476" t="s">
        <v>614</v>
      </c>
      <c r="D1476" t="s">
        <v>51</v>
      </c>
      <c r="E1476" t="s">
        <v>31</v>
      </c>
      <c r="F1476" t="s">
        <v>72</v>
      </c>
      <c r="G1476" t="s">
        <v>146</v>
      </c>
      <c r="H1476" s="7">
        <v>3</v>
      </c>
      <c r="I1476" s="4">
        <v>9284.91</v>
      </c>
      <c r="J1476" s="23">
        <v>0.05</v>
      </c>
      <c r="K1476" s="4">
        <v>8820.66</v>
      </c>
      <c r="L1476" s="4">
        <v>6128.95</v>
      </c>
      <c r="M1476" s="4">
        <v>2691.71</v>
      </c>
      <c r="N1476" t="s">
        <v>48</v>
      </c>
      <c r="O1476" s="7">
        <v>1</v>
      </c>
      <c r="P1476" s="2">
        <v>45809.041666666664</v>
      </c>
      <c r="Q1476" t="s">
        <v>99</v>
      </c>
      <c r="R1476">
        <v>6</v>
      </c>
      <c r="S1476" t="s">
        <v>27</v>
      </c>
      <c r="T1476">
        <f>IF(orders[[#This Row],[Status]]="Completed",1,0)</f>
        <v>0</v>
      </c>
      <c r="U1476">
        <f>IF(orders[[#This Row],[Status]]="Pending",1,0)</f>
        <v>0</v>
      </c>
      <c r="V1476">
        <f>IF(orders[[#This Row],[Status]]="Delayed",1,0)</f>
        <v>0</v>
      </c>
      <c r="W1476">
        <f>IF(orders[[#This Row],[Status]]="Cancelled",1,0)</f>
        <v>1</v>
      </c>
    </row>
    <row r="1477" spans="1:23" x14ac:dyDescent="0.35">
      <c r="A1477" t="s">
        <v>1858</v>
      </c>
      <c r="B1477" s="1">
        <v>45765</v>
      </c>
      <c r="C1477" t="s">
        <v>551</v>
      </c>
      <c r="D1477" t="s">
        <v>68</v>
      </c>
      <c r="E1477" t="s">
        <v>52</v>
      </c>
      <c r="F1477" t="s">
        <v>23</v>
      </c>
      <c r="G1477" t="s">
        <v>136</v>
      </c>
      <c r="H1477" s="7">
        <v>3</v>
      </c>
      <c r="I1477" s="4">
        <v>8608.83</v>
      </c>
      <c r="J1477" s="23">
        <v>0.05</v>
      </c>
      <c r="K1477" s="4">
        <v>8178.39</v>
      </c>
      <c r="L1477" s="4">
        <v>7070.59</v>
      </c>
      <c r="M1477" s="4">
        <v>1107.8</v>
      </c>
      <c r="N1477" t="s">
        <v>25</v>
      </c>
      <c r="O1477" s="7">
        <v>14</v>
      </c>
      <c r="P1477" s="2">
        <v>45765.583333333336</v>
      </c>
      <c r="Q1477" t="s">
        <v>26</v>
      </c>
      <c r="R1477">
        <v>4</v>
      </c>
      <c r="S1477" t="s">
        <v>27</v>
      </c>
      <c r="T1477">
        <f>IF(orders[[#This Row],[Status]]="Completed",1,0)</f>
        <v>1</v>
      </c>
      <c r="U1477">
        <f>IF(orders[[#This Row],[Status]]="Pending",1,0)</f>
        <v>0</v>
      </c>
      <c r="V1477">
        <f>IF(orders[[#This Row],[Status]]="Delayed",1,0)</f>
        <v>0</v>
      </c>
      <c r="W1477">
        <f>IF(orders[[#This Row],[Status]]="Cancelled",1,0)</f>
        <v>0</v>
      </c>
    </row>
    <row r="1478" spans="1:23" x14ac:dyDescent="0.35">
      <c r="A1478" t="s">
        <v>1859</v>
      </c>
      <c r="B1478" s="1">
        <v>45845</v>
      </c>
      <c r="C1478" t="s">
        <v>668</v>
      </c>
      <c r="D1478" t="s">
        <v>45</v>
      </c>
      <c r="E1478" t="s">
        <v>78</v>
      </c>
      <c r="F1478" t="s">
        <v>23</v>
      </c>
      <c r="G1478" t="s">
        <v>136</v>
      </c>
      <c r="H1478" s="7">
        <v>5</v>
      </c>
      <c r="I1478" s="4">
        <v>20480.05</v>
      </c>
      <c r="J1478" s="23">
        <v>0</v>
      </c>
      <c r="K1478" s="4">
        <v>20480.05</v>
      </c>
      <c r="L1478" s="4">
        <v>15374.59</v>
      </c>
      <c r="M1478" s="4">
        <v>5105.46</v>
      </c>
      <c r="N1478" t="s">
        <v>85</v>
      </c>
      <c r="O1478" s="7">
        <v>76</v>
      </c>
      <c r="P1478" s="2">
        <v>45848.166666666664</v>
      </c>
      <c r="Q1478" t="s">
        <v>60</v>
      </c>
      <c r="R1478">
        <v>7</v>
      </c>
      <c r="S1478" t="s">
        <v>42</v>
      </c>
      <c r="T1478">
        <f>IF(orders[[#This Row],[Status]]="Completed",1,0)</f>
        <v>0</v>
      </c>
      <c r="U1478">
        <f>IF(orders[[#This Row],[Status]]="Pending",1,0)</f>
        <v>0</v>
      </c>
      <c r="V1478">
        <f>IF(orders[[#This Row],[Status]]="Delayed",1,0)</f>
        <v>1</v>
      </c>
      <c r="W1478">
        <f>IF(orders[[#This Row],[Status]]="Cancelled",1,0)</f>
        <v>0</v>
      </c>
    </row>
    <row r="1479" spans="1:23" x14ac:dyDescent="0.35">
      <c r="A1479" t="s">
        <v>1860</v>
      </c>
      <c r="B1479" s="1">
        <v>45958</v>
      </c>
      <c r="C1479" t="s">
        <v>861</v>
      </c>
      <c r="D1479" t="s">
        <v>63</v>
      </c>
      <c r="E1479" t="s">
        <v>31</v>
      </c>
      <c r="F1479" t="s">
        <v>72</v>
      </c>
      <c r="G1479" t="s">
        <v>73</v>
      </c>
      <c r="H1479" s="7">
        <v>2</v>
      </c>
      <c r="I1479" s="4">
        <v>14952.7</v>
      </c>
      <c r="J1479" s="23">
        <v>0</v>
      </c>
      <c r="K1479" s="4">
        <v>14952.7</v>
      </c>
      <c r="L1479" s="4">
        <v>9309.5499999999993</v>
      </c>
      <c r="M1479" s="4">
        <v>5643.15</v>
      </c>
      <c r="N1479" t="s">
        <v>25</v>
      </c>
      <c r="O1479" s="7">
        <v>21</v>
      </c>
      <c r="P1479" s="2">
        <v>45958.875</v>
      </c>
      <c r="Q1479" t="s">
        <v>116</v>
      </c>
      <c r="R1479">
        <v>10</v>
      </c>
      <c r="S1479" t="s">
        <v>35</v>
      </c>
      <c r="T1479">
        <f>IF(orders[[#This Row],[Status]]="Completed",1,0)</f>
        <v>1</v>
      </c>
      <c r="U1479">
        <f>IF(orders[[#This Row],[Status]]="Pending",1,0)</f>
        <v>0</v>
      </c>
      <c r="V1479">
        <f>IF(orders[[#This Row],[Status]]="Delayed",1,0)</f>
        <v>0</v>
      </c>
      <c r="W1479">
        <f>IF(orders[[#This Row],[Status]]="Cancelled",1,0)</f>
        <v>0</v>
      </c>
    </row>
    <row r="1480" spans="1:23" x14ac:dyDescent="0.35">
      <c r="A1480" t="s">
        <v>1861</v>
      </c>
      <c r="B1480" s="1">
        <v>45755</v>
      </c>
      <c r="C1480" t="s">
        <v>121</v>
      </c>
      <c r="D1480" t="s">
        <v>58</v>
      </c>
      <c r="E1480" t="s">
        <v>92</v>
      </c>
      <c r="F1480" t="s">
        <v>39</v>
      </c>
      <c r="G1480" t="s">
        <v>40</v>
      </c>
      <c r="H1480" s="7">
        <v>3</v>
      </c>
      <c r="I1480" s="4">
        <v>1459.05</v>
      </c>
      <c r="J1480" s="23">
        <v>0.15</v>
      </c>
      <c r="K1480" s="4">
        <v>1240.19</v>
      </c>
      <c r="L1480" s="4">
        <v>878.23</v>
      </c>
      <c r="M1480" s="4">
        <v>361.96</v>
      </c>
      <c r="N1480" t="s">
        <v>48</v>
      </c>
      <c r="O1480" s="7">
        <v>22</v>
      </c>
      <c r="P1480" s="2">
        <v>45755.916666666664</v>
      </c>
      <c r="Q1480" t="s">
        <v>26</v>
      </c>
      <c r="R1480">
        <v>4</v>
      </c>
      <c r="S1480" t="s">
        <v>27</v>
      </c>
      <c r="T1480">
        <f>IF(orders[[#This Row],[Status]]="Completed",1,0)</f>
        <v>0</v>
      </c>
      <c r="U1480">
        <f>IF(orders[[#This Row],[Status]]="Pending",1,0)</f>
        <v>0</v>
      </c>
      <c r="V1480">
        <f>IF(orders[[#This Row],[Status]]="Delayed",1,0)</f>
        <v>0</v>
      </c>
      <c r="W1480">
        <f>IF(orders[[#This Row],[Status]]="Cancelled",1,0)</f>
        <v>1</v>
      </c>
    </row>
    <row r="1481" spans="1:23" x14ac:dyDescent="0.35">
      <c r="A1481" t="s">
        <v>1862</v>
      </c>
      <c r="B1481" s="1">
        <v>45788</v>
      </c>
      <c r="C1481" t="s">
        <v>1310</v>
      </c>
      <c r="D1481" t="s">
        <v>30</v>
      </c>
      <c r="E1481" t="s">
        <v>92</v>
      </c>
      <c r="F1481" t="s">
        <v>72</v>
      </c>
      <c r="G1481" t="s">
        <v>129</v>
      </c>
      <c r="H1481" s="7">
        <v>6</v>
      </c>
      <c r="I1481" s="4">
        <v>41222.1</v>
      </c>
      <c r="J1481" s="23">
        <v>0</v>
      </c>
      <c r="K1481" s="4">
        <v>41222.1</v>
      </c>
      <c r="L1481" s="4">
        <v>31859.88</v>
      </c>
      <c r="M1481" s="4">
        <v>9362.2199999999993</v>
      </c>
      <c r="N1481" t="s">
        <v>25</v>
      </c>
      <c r="O1481" s="7">
        <v>30</v>
      </c>
      <c r="P1481" s="2">
        <v>45789.25</v>
      </c>
      <c r="Q1481" t="s">
        <v>74</v>
      </c>
      <c r="R1481">
        <v>5</v>
      </c>
      <c r="S1481" t="s">
        <v>27</v>
      </c>
      <c r="T1481">
        <f>IF(orders[[#This Row],[Status]]="Completed",1,0)</f>
        <v>1</v>
      </c>
      <c r="U1481">
        <f>IF(orders[[#This Row],[Status]]="Pending",1,0)</f>
        <v>0</v>
      </c>
      <c r="V1481">
        <f>IF(orders[[#This Row],[Status]]="Delayed",1,0)</f>
        <v>0</v>
      </c>
      <c r="W1481">
        <f>IF(orders[[#This Row],[Status]]="Cancelled",1,0)</f>
        <v>0</v>
      </c>
    </row>
    <row r="1482" spans="1:23" x14ac:dyDescent="0.35">
      <c r="A1482" t="s">
        <v>1863</v>
      </c>
      <c r="B1482" s="1">
        <v>45950</v>
      </c>
      <c r="C1482" t="s">
        <v>356</v>
      </c>
      <c r="D1482" t="s">
        <v>63</v>
      </c>
      <c r="E1482" t="s">
        <v>113</v>
      </c>
      <c r="F1482" t="s">
        <v>39</v>
      </c>
      <c r="G1482" t="s">
        <v>114</v>
      </c>
      <c r="H1482" s="7">
        <v>7</v>
      </c>
      <c r="I1482" s="4">
        <v>22617.35</v>
      </c>
      <c r="J1482" s="23">
        <v>0.2</v>
      </c>
      <c r="K1482" s="4">
        <v>18093.88</v>
      </c>
      <c r="L1482" s="4">
        <v>11884.02</v>
      </c>
      <c r="M1482" s="4">
        <v>6209.86</v>
      </c>
      <c r="N1482" t="s">
        <v>25</v>
      </c>
      <c r="O1482" s="7">
        <v>40</v>
      </c>
      <c r="P1482" s="2">
        <v>45951.666666666664</v>
      </c>
      <c r="Q1482" t="s">
        <v>116</v>
      </c>
      <c r="R1482">
        <v>10</v>
      </c>
      <c r="S1482" t="s">
        <v>35</v>
      </c>
      <c r="T1482">
        <f>IF(orders[[#This Row],[Status]]="Completed",1,0)</f>
        <v>1</v>
      </c>
      <c r="U1482">
        <f>IF(orders[[#This Row],[Status]]="Pending",1,0)</f>
        <v>0</v>
      </c>
      <c r="V1482">
        <f>IF(orders[[#This Row],[Status]]="Delayed",1,0)</f>
        <v>0</v>
      </c>
      <c r="W1482">
        <f>IF(orders[[#This Row],[Status]]="Cancelled",1,0)</f>
        <v>0</v>
      </c>
    </row>
    <row r="1483" spans="1:23" x14ac:dyDescent="0.35">
      <c r="A1483" t="s">
        <v>1864</v>
      </c>
      <c r="B1483" s="1">
        <v>45828</v>
      </c>
      <c r="C1483" t="s">
        <v>547</v>
      </c>
      <c r="D1483" t="s">
        <v>63</v>
      </c>
      <c r="E1483" t="s">
        <v>113</v>
      </c>
      <c r="F1483" t="s">
        <v>83</v>
      </c>
      <c r="G1483" t="s">
        <v>84</v>
      </c>
      <c r="H1483" s="7">
        <v>5</v>
      </c>
      <c r="I1483" s="4">
        <v>36430.35</v>
      </c>
      <c r="J1483" s="23">
        <v>0</v>
      </c>
      <c r="K1483" s="4">
        <v>36430.35</v>
      </c>
      <c r="L1483" s="4">
        <v>20994.15</v>
      </c>
      <c r="M1483" s="4">
        <v>15436.2</v>
      </c>
      <c r="N1483" t="s">
        <v>25</v>
      </c>
      <c r="O1483" s="7">
        <v>15</v>
      </c>
      <c r="P1483" s="2">
        <v>45828.625</v>
      </c>
      <c r="Q1483" t="s">
        <v>99</v>
      </c>
      <c r="R1483">
        <v>6</v>
      </c>
      <c r="S1483" t="s">
        <v>27</v>
      </c>
      <c r="T1483">
        <f>IF(orders[[#This Row],[Status]]="Completed",1,0)</f>
        <v>1</v>
      </c>
      <c r="U1483">
        <f>IF(orders[[#This Row],[Status]]="Pending",1,0)</f>
        <v>0</v>
      </c>
      <c r="V1483">
        <f>IF(orders[[#This Row],[Status]]="Delayed",1,0)</f>
        <v>0</v>
      </c>
      <c r="W1483">
        <f>IF(orders[[#This Row],[Status]]="Cancelled",1,0)</f>
        <v>0</v>
      </c>
    </row>
    <row r="1484" spans="1:23" x14ac:dyDescent="0.35">
      <c r="A1484" t="s">
        <v>1865</v>
      </c>
      <c r="B1484" s="1">
        <v>45840</v>
      </c>
      <c r="C1484" t="s">
        <v>684</v>
      </c>
      <c r="D1484" t="s">
        <v>45</v>
      </c>
      <c r="E1484" t="s">
        <v>31</v>
      </c>
      <c r="F1484" t="s">
        <v>72</v>
      </c>
      <c r="G1484" t="s">
        <v>104</v>
      </c>
      <c r="H1484" s="7">
        <v>2</v>
      </c>
      <c r="I1484" s="4">
        <v>13696.8</v>
      </c>
      <c r="J1484" s="23">
        <v>0.15</v>
      </c>
      <c r="K1484" s="4">
        <v>11642.28</v>
      </c>
      <c r="L1484" s="4">
        <v>8644.7900000000009</v>
      </c>
      <c r="M1484" s="4">
        <v>2997.49</v>
      </c>
      <c r="N1484" t="s">
        <v>25</v>
      </c>
      <c r="O1484" s="7">
        <v>26</v>
      </c>
      <c r="P1484" s="2">
        <v>45841.083333333336</v>
      </c>
      <c r="Q1484" t="s">
        <v>60</v>
      </c>
      <c r="R1484">
        <v>7</v>
      </c>
      <c r="S1484" t="s">
        <v>42</v>
      </c>
      <c r="T1484">
        <f>IF(orders[[#This Row],[Status]]="Completed",1,0)</f>
        <v>1</v>
      </c>
      <c r="U1484">
        <f>IF(orders[[#This Row],[Status]]="Pending",1,0)</f>
        <v>0</v>
      </c>
      <c r="V1484">
        <f>IF(orders[[#This Row],[Status]]="Delayed",1,0)</f>
        <v>0</v>
      </c>
      <c r="W1484">
        <f>IF(orders[[#This Row],[Status]]="Cancelled",1,0)</f>
        <v>0</v>
      </c>
    </row>
    <row r="1485" spans="1:23" x14ac:dyDescent="0.35">
      <c r="A1485" t="s">
        <v>1866</v>
      </c>
      <c r="B1485" s="1">
        <v>46021</v>
      </c>
      <c r="C1485" t="s">
        <v>124</v>
      </c>
      <c r="D1485" t="s">
        <v>45</v>
      </c>
      <c r="E1485" t="s">
        <v>59</v>
      </c>
      <c r="F1485" t="s">
        <v>39</v>
      </c>
      <c r="G1485" t="s">
        <v>93</v>
      </c>
      <c r="H1485" s="7">
        <v>2</v>
      </c>
      <c r="I1485" s="4">
        <v>6124.32</v>
      </c>
      <c r="J1485" s="23">
        <v>0.2</v>
      </c>
      <c r="K1485" s="4">
        <v>4899.46</v>
      </c>
      <c r="L1485" s="4">
        <v>4227.24</v>
      </c>
      <c r="M1485" s="4">
        <v>672.22</v>
      </c>
      <c r="N1485" t="s">
        <v>25</v>
      </c>
      <c r="O1485" s="7">
        <v>37</v>
      </c>
      <c r="P1485" s="2">
        <v>46022.541666666664</v>
      </c>
      <c r="Q1485" t="s">
        <v>34</v>
      </c>
      <c r="R1485">
        <v>12</v>
      </c>
      <c r="S1485" t="s">
        <v>35</v>
      </c>
      <c r="T1485">
        <f>IF(orders[[#This Row],[Status]]="Completed",1,0)</f>
        <v>1</v>
      </c>
      <c r="U1485">
        <f>IF(orders[[#This Row],[Status]]="Pending",1,0)</f>
        <v>0</v>
      </c>
      <c r="V1485">
        <f>IF(orders[[#This Row],[Status]]="Delayed",1,0)</f>
        <v>0</v>
      </c>
      <c r="W1485">
        <f>IF(orders[[#This Row],[Status]]="Cancelled",1,0)</f>
        <v>0</v>
      </c>
    </row>
    <row r="1486" spans="1:23" x14ac:dyDescent="0.35">
      <c r="A1486" t="s">
        <v>1867</v>
      </c>
      <c r="B1486" s="1">
        <v>45696</v>
      </c>
      <c r="C1486" t="s">
        <v>1868</v>
      </c>
      <c r="D1486" t="s">
        <v>68</v>
      </c>
      <c r="E1486" t="s">
        <v>59</v>
      </c>
      <c r="F1486" t="s">
        <v>72</v>
      </c>
      <c r="G1486" t="s">
        <v>104</v>
      </c>
      <c r="H1486" s="7">
        <v>4</v>
      </c>
      <c r="I1486" s="4">
        <v>23775.48</v>
      </c>
      <c r="J1486" s="23">
        <v>0.2</v>
      </c>
      <c r="K1486" s="4">
        <v>19020.38</v>
      </c>
      <c r="L1486" s="4">
        <v>13505.87</v>
      </c>
      <c r="M1486" s="4">
        <v>5514.51</v>
      </c>
      <c r="N1486" t="s">
        <v>25</v>
      </c>
      <c r="O1486" s="7">
        <v>41</v>
      </c>
      <c r="P1486" s="2">
        <v>45697.708333333336</v>
      </c>
      <c r="Q1486" t="s">
        <v>139</v>
      </c>
      <c r="R1486">
        <v>2</v>
      </c>
      <c r="S1486" t="s">
        <v>55</v>
      </c>
      <c r="T1486">
        <f>IF(orders[[#This Row],[Status]]="Completed",1,0)</f>
        <v>1</v>
      </c>
      <c r="U1486">
        <f>IF(orders[[#This Row],[Status]]="Pending",1,0)</f>
        <v>0</v>
      </c>
      <c r="V1486">
        <f>IF(orders[[#This Row],[Status]]="Delayed",1,0)</f>
        <v>0</v>
      </c>
      <c r="W1486">
        <f>IF(orders[[#This Row],[Status]]="Cancelled",1,0)</f>
        <v>0</v>
      </c>
    </row>
    <row r="1487" spans="1:23" x14ac:dyDescent="0.35">
      <c r="A1487" t="s">
        <v>1869</v>
      </c>
      <c r="B1487" s="1">
        <v>45672</v>
      </c>
      <c r="C1487" t="s">
        <v>770</v>
      </c>
      <c r="D1487" t="s">
        <v>21</v>
      </c>
      <c r="E1487" t="s">
        <v>52</v>
      </c>
      <c r="F1487" t="s">
        <v>72</v>
      </c>
      <c r="G1487" t="s">
        <v>119</v>
      </c>
      <c r="H1487" s="7">
        <v>2</v>
      </c>
      <c r="I1487" s="4">
        <v>2965.86</v>
      </c>
      <c r="J1487" s="23">
        <v>0.2</v>
      </c>
      <c r="K1487" s="4">
        <v>2372.69</v>
      </c>
      <c r="L1487" s="4">
        <v>2014.45</v>
      </c>
      <c r="M1487" s="4">
        <v>358.24</v>
      </c>
      <c r="N1487" t="s">
        <v>25</v>
      </c>
      <c r="O1487" s="7">
        <v>26</v>
      </c>
      <c r="P1487" s="2">
        <v>45673.083333333336</v>
      </c>
      <c r="Q1487" t="s">
        <v>65</v>
      </c>
      <c r="R1487">
        <v>1</v>
      </c>
      <c r="S1487" t="s">
        <v>55</v>
      </c>
      <c r="T1487">
        <f>IF(orders[[#This Row],[Status]]="Completed",1,0)</f>
        <v>1</v>
      </c>
      <c r="U1487">
        <f>IF(orders[[#This Row],[Status]]="Pending",1,0)</f>
        <v>0</v>
      </c>
      <c r="V1487">
        <f>IF(orders[[#This Row],[Status]]="Delayed",1,0)</f>
        <v>0</v>
      </c>
      <c r="W1487">
        <f>IF(orders[[#This Row],[Status]]="Cancelled",1,0)</f>
        <v>0</v>
      </c>
    </row>
    <row r="1488" spans="1:23" x14ac:dyDescent="0.35">
      <c r="A1488" t="s">
        <v>1870</v>
      </c>
      <c r="B1488" s="1">
        <v>45661</v>
      </c>
      <c r="C1488" t="s">
        <v>422</v>
      </c>
      <c r="D1488" t="s">
        <v>63</v>
      </c>
      <c r="E1488" t="s">
        <v>59</v>
      </c>
      <c r="F1488" t="s">
        <v>39</v>
      </c>
      <c r="G1488" t="s">
        <v>114</v>
      </c>
      <c r="H1488" s="7">
        <v>3</v>
      </c>
      <c r="I1488" s="4">
        <v>22901.85</v>
      </c>
      <c r="J1488" s="23">
        <v>0.05</v>
      </c>
      <c r="K1488" s="4">
        <v>21756.76</v>
      </c>
      <c r="L1488" s="4">
        <v>17961.46</v>
      </c>
      <c r="M1488" s="4">
        <v>3795.3</v>
      </c>
      <c r="N1488" t="s">
        <v>85</v>
      </c>
      <c r="O1488" s="7">
        <v>73</v>
      </c>
      <c r="P1488" s="2">
        <v>45664.041666666664</v>
      </c>
      <c r="Q1488" t="s">
        <v>65</v>
      </c>
      <c r="R1488">
        <v>1</v>
      </c>
      <c r="S1488" t="s">
        <v>55</v>
      </c>
      <c r="T1488">
        <f>IF(orders[[#This Row],[Status]]="Completed",1,0)</f>
        <v>0</v>
      </c>
      <c r="U1488">
        <f>IF(orders[[#This Row],[Status]]="Pending",1,0)</f>
        <v>0</v>
      </c>
      <c r="V1488">
        <f>IF(orders[[#This Row],[Status]]="Delayed",1,0)</f>
        <v>1</v>
      </c>
      <c r="W1488">
        <f>IF(orders[[#This Row],[Status]]="Cancelled",1,0)</f>
        <v>0</v>
      </c>
    </row>
    <row r="1489" spans="1:23" x14ac:dyDescent="0.35">
      <c r="A1489" t="s">
        <v>1871</v>
      </c>
      <c r="B1489" s="1">
        <v>46006</v>
      </c>
      <c r="C1489" t="s">
        <v>128</v>
      </c>
      <c r="D1489" t="s">
        <v>149</v>
      </c>
      <c r="E1489" t="s">
        <v>113</v>
      </c>
      <c r="F1489" t="s">
        <v>39</v>
      </c>
      <c r="G1489" t="s">
        <v>188</v>
      </c>
      <c r="H1489" s="7">
        <v>7</v>
      </c>
      <c r="I1489" s="4">
        <v>24692.5</v>
      </c>
      <c r="J1489" s="23">
        <v>0.05</v>
      </c>
      <c r="K1489" s="4">
        <v>23457.88</v>
      </c>
      <c r="L1489" s="4">
        <v>14042.97</v>
      </c>
      <c r="M1489" s="4">
        <v>9414.91</v>
      </c>
      <c r="N1489" t="s">
        <v>25</v>
      </c>
      <c r="O1489" s="7">
        <v>7</v>
      </c>
      <c r="P1489" s="2">
        <v>46006.291666666664</v>
      </c>
      <c r="Q1489" t="s">
        <v>34</v>
      </c>
      <c r="R1489">
        <v>12</v>
      </c>
      <c r="S1489" t="s">
        <v>35</v>
      </c>
      <c r="T1489">
        <f>IF(orders[[#This Row],[Status]]="Completed",1,0)</f>
        <v>1</v>
      </c>
      <c r="U1489">
        <f>IF(orders[[#This Row],[Status]]="Pending",1,0)</f>
        <v>0</v>
      </c>
      <c r="V1489">
        <f>IF(orders[[#This Row],[Status]]="Delayed",1,0)</f>
        <v>0</v>
      </c>
      <c r="W1489">
        <f>IF(orders[[#This Row],[Status]]="Cancelled",1,0)</f>
        <v>0</v>
      </c>
    </row>
    <row r="1490" spans="1:23" x14ac:dyDescent="0.35">
      <c r="A1490" t="s">
        <v>1872</v>
      </c>
      <c r="B1490" s="1">
        <v>45867</v>
      </c>
      <c r="C1490" t="s">
        <v>238</v>
      </c>
      <c r="D1490" t="s">
        <v>63</v>
      </c>
      <c r="E1490" t="s">
        <v>59</v>
      </c>
      <c r="F1490" t="s">
        <v>32</v>
      </c>
      <c r="G1490" t="s">
        <v>64</v>
      </c>
      <c r="H1490" s="7">
        <v>3</v>
      </c>
      <c r="I1490" s="4">
        <v>11863.41</v>
      </c>
      <c r="J1490" s="23">
        <v>0.05</v>
      </c>
      <c r="K1490" s="4">
        <v>11270.24</v>
      </c>
      <c r="L1490" s="4">
        <v>8832.44</v>
      </c>
      <c r="M1490" s="4">
        <v>2437.8000000000002</v>
      </c>
      <c r="N1490" t="s">
        <v>25</v>
      </c>
      <c r="O1490" s="7">
        <v>33</v>
      </c>
      <c r="P1490" s="2">
        <v>45868.375</v>
      </c>
      <c r="Q1490" t="s">
        <v>60</v>
      </c>
      <c r="R1490">
        <v>7</v>
      </c>
      <c r="S1490" t="s">
        <v>42</v>
      </c>
      <c r="T1490">
        <f>IF(orders[[#This Row],[Status]]="Completed",1,0)</f>
        <v>1</v>
      </c>
      <c r="U1490">
        <f>IF(orders[[#This Row],[Status]]="Pending",1,0)</f>
        <v>0</v>
      </c>
      <c r="V1490">
        <f>IF(orders[[#This Row],[Status]]="Delayed",1,0)</f>
        <v>0</v>
      </c>
      <c r="W1490">
        <f>IF(orders[[#This Row],[Status]]="Cancelled",1,0)</f>
        <v>0</v>
      </c>
    </row>
    <row r="1491" spans="1:23" x14ac:dyDescent="0.35">
      <c r="A1491" t="s">
        <v>1873</v>
      </c>
      <c r="B1491" s="1">
        <v>45818</v>
      </c>
      <c r="C1491" t="s">
        <v>205</v>
      </c>
      <c r="D1491" t="s">
        <v>68</v>
      </c>
      <c r="E1491" t="s">
        <v>52</v>
      </c>
      <c r="F1491" t="s">
        <v>72</v>
      </c>
      <c r="G1491" t="s">
        <v>146</v>
      </c>
      <c r="H1491" s="7">
        <v>5</v>
      </c>
      <c r="I1491" s="4">
        <v>30215.45</v>
      </c>
      <c r="J1491" s="23">
        <v>0</v>
      </c>
      <c r="K1491" s="4">
        <v>30215.45</v>
      </c>
      <c r="L1491" s="4">
        <v>20960.57</v>
      </c>
      <c r="M1491" s="4">
        <v>9254.8799999999992</v>
      </c>
      <c r="N1491" t="s">
        <v>25</v>
      </c>
      <c r="O1491" s="7">
        <v>33</v>
      </c>
      <c r="P1491" s="2">
        <v>45819.375</v>
      </c>
      <c r="Q1491" t="s">
        <v>99</v>
      </c>
      <c r="R1491">
        <v>6</v>
      </c>
      <c r="S1491" t="s">
        <v>27</v>
      </c>
      <c r="T1491">
        <f>IF(orders[[#This Row],[Status]]="Completed",1,0)</f>
        <v>1</v>
      </c>
      <c r="U1491">
        <f>IF(orders[[#This Row],[Status]]="Pending",1,0)</f>
        <v>0</v>
      </c>
      <c r="V1491">
        <f>IF(orders[[#This Row],[Status]]="Delayed",1,0)</f>
        <v>0</v>
      </c>
      <c r="W1491">
        <f>IF(orders[[#This Row],[Status]]="Cancelled",1,0)</f>
        <v>0</v>
      </c>
    </row>
    <row r="1492" spans="1:23" x14ac:dyDescent="0.35">
      <c r="A1492" t="s">
        <v>1874</v>
      </c>
      <c r="B1492" s="1">
        <v>45673</v>
      </c>
      <c r="C1492" t="s">
        <v>261</v>
      </c>
      <c r="D1492" t="s">
        <v>38</v>
      </c>
      <c r="E1492" t="s">
        <v>92</v>
      </c>
      <c r="F1492" t="s">
        <v>23</v>
      </c>
      <c r="G1492" t="s">
        <v>136</v>
      </c>
      <c r="H1492" s="7">
        <v>7</v>
      </c>
      <c r="I1492" s="4">
        <v>49028.14</v>
      </c>
      <c r="J1492" s="23">
        <v>0</v>
      </c>
      <c r="K1492" s="4">
        <v>49028.14</v>
      </c>
      <c r="L1492" s="4">
        <v>31014.28</v>
      </c>
      <c r="M1492" s="4">
        <v>18013.86</v>
      </c>
      <c r="N1492" t="s">
        <v>25</v>
      </c>
      <c r="O1492" s="7">
        <v>16</v>
      </c>
      <c r="P1492" s="2">
        <v>45673.666666666664</v>
      </c>
      <c r="Q1492" t="s">
        <v>65</v>
      </c>
      <c r="R1492">
        <v>1</v>
      </c>
      <c r="S1492" t="s">
        <v>55</v>
      </c>
      <c r="T1492">
        <f>IF(orders[[#This Row],[Status]]="Completed",1,0)</f>
        <v>1</v>
      </c>
      <c r="U1492">
        <f>IF(orders[[#This Row],[Status]]="Pending",1,0)</f>
        <v>0</v>
      </c>
      <c r="V1492">
        <f>IF(orders[[#This Row],[Status]]="Delayed",1,0)</f>
        <v>0</v>
      </c>
      <c r="W1492">
        <f>IF(orders[[#This Row],[Status]]="Cancelled",1,0)</f>
        <v>0</v>
      </c>
    </row>
    <row r="1493" spans="1:23" x14ac:dyDescent="0.35">
      <c r="A1493" t="s">
        <v>1875</v>
      </c>
      <c r="B1493" s="1">
        <v>45765</v>
      </c>
      <c r="C1493" t="s">
        <v>244</v>
      </c>
      <c r="D1493" t="s">
        <v>51</v>
      </c>
      <c r="E1493" t="s">
        <v>59</v>
      </c>
      <c r="F1493" t="s">
        <v>72</v>
      </c>
      <c r="G1493" t="s">
        <v>104</v>
      </c>
      <c r="H1493" s="7">
        <v>5</v>
      </c>
      <c r="I1493" s="4">
        <v>10617.3</v>
      </c>
      <c r="J1493" s="23">
        <v>0.2</v>
      </c>
      <c r="K1493" s="4">
        <v>8493.84</v>
      </c>
      <c r="L1493" s="4">
        <v>6597.08</v>
      </c>
      <c r="M1493" s="4">
        <v>1896.76</v>
      </c>
      <c r="N1493" t="s">
        <v>98</v>
      </c>
      <c r="O1493" s="7">
        <v>24</v>
      </c>
      <c r="P1493" s="2">
        <v>45766</v>
      </c>
      <c r="Q1493" t="s">
        <v>26</v>
      </c>
      <c r="R1493">
        <v>4</v>
      </c>
      <c r="S1493" t="s">
        <v>27</v>
      </c>
      <c r="T1493">
        <f>IF(orders[[#This Row],[Status]]="Completed",1,0)</f>
        <v>0</v>
      </c>
      <c r="U1493">
        <f>IF(orders[[#This Row],[Status]]="Pending",1,0)</f>
        <v>1</v>
      </c>
      <c r="V1493">
        <f>IF(orders[[#This Row],[Status]]="Delayed",1,0)</f>
        <v>0</v>
      </c>
      <c r="W1493">
        <f>IF(orders[[#This Row],[Status]]="Cancelled",1,0)</f>
        <v>0</v>
      </c>
    </row>
    <row r="1494" spans="1:23" x14ac:dyDescent="0.35">
      <c r="A1494" t="s">
        <v>1876</v>
      </c>
      <c r="B1494" s="1">
        <v>45968</v>
      </c>
      <c r="C1494" t="s">
        <v>882</v>
      </c>
      <c r="D1494" t="s">
        <v>30</v>
      </c>
      <c r="E1494" t="s">
        <v>59</v>
      </c>
      <c r="F1494" t="s">
        <v>72</v>
      </c>
      <c r="G1494" t="s">
        <v>104</v>
      </c>
      <c r="H1494" s="7">
        <v>2</v>
      </c>
      <c r="I1494" s="4">
        <v>11344.54</v>
      </c>
      <c r="J1494" s="23">
        <v>0.1</v>
      </c>
      <c r="K1494" s="4">
        <v>10210.09</v>
      </c>
      <c r="L1494" s="4">
        <v>8117.82</v>
      </c>
      <c r="M1494" s="4">
        <v>2092.27</v>
      </c>
      <c r="N1494" t="s">
        <v>48</v>
      </c>
      <c r="O1494" s="7">
        <v>18</v>
      </c>
      <c r="P1494" s="2">
        <v>45968.75</v>
      </c>
      <c r="Q1494" t="s">
        <v>86</v>
      </c>
      <c r="R1494">
        <v>11</v>
      </c>
      <c r="S1494" t="s">
        <v>35</v>
      </c>
      <c r="T1494">
        <f>IF(orders[[#This Row],[Status]]="Completed",1,0)</f>
        <v>0</v>
      </c>
      <c r="U1494">
        <f>IF(orders[[#This Row],[Status]]="Pending",1,0)</f>
        <v>0</v>
      </c>
      <c r="V1494">
        <f>IF(orders[[#This Row],[Status]]="Delayed",1,0)</f>
        <v>0</v>
      </c>
      <c r="W1494">
        <f>IF(orders[[#This Row],[Status]]="Cancelled",1,0)</f>
        <v>1</v>
      </c>
    </row>
    <row r="1495" spans="1:23" x14ac:dyDescent="0.35">
      <c r="A1495" t="s">
        <v>1877</v>
      </c>
      <c r="B1495" s="1">
        <v>45884</v>
      </c>
      <c r="C1495" t="s">
        <v>184</v>
      </c>
      <c r="D1495" t="s">
        <v>21</v>
      </c>
      <c r="E1495" t="s">
        <v>113</v>
      </c>
      <c r="F1495" t="s">
        <v>39</v>
      </c>
      <c r="G1495" t="s">
        <v>114</v>
      </c>
      <c r="H1495" s="7">
        <v>6</v>
      </c>
      <c r="I1495" s="4">
        <v>20539.080000000002</v>
      </c>
      <c r="J1495" s="23">
        <v>0.1</v>
      </c>
      <c r="K1495" s="4">
        <v>18485.169999999998</v>
      </c>
      <c r="L1495" s="4">
        <v>11264.23</v>
      </c>
      <c r="M1495" s="4">
        <v>7220.94</v>
      </c>
      <c r="N1495" t="s">
        <v>25</v>
      </c>
      <c r="O1495" s="7">
        <v>11</v>
      </c>
      <c r="P1495" s="2">
        <v>45884.458333333336</v>
      </c>
      <c r="Q1495" t="s">
        <v>80</v>
      </c>
      <c r="R1495">
        <v>8</v>
      </c>
      <c r="S1495" t="s">
        <v>42</v>
      </c>
      <c r="T1495">
        <f>IF(orders[[#This Row],[Status]]="Completed",1,0)</f>
        <v>1</v>
      </c>
      <c r="U1495">
        <f>IF(orders[[#This Row],[Status]]="Pending",1,0)</f>
        <v>0</v>
      </c>
      <c r="V1495">
        <f>IF(orders[[#This Row],[Status]]="Delayed",1,0)</f>
        <v>0</v>
      </c>
      <c r="W1495">
        <f>IF(orders[[#This Row],[Status]]="Cancelled",1,0)</f>
        <v>0</v>
      </c>
    </row>
    <row r="1496" spans="1:23" x14ac:dyDescent="0.35">
      <c r="A1496" t="s">
        <v>1878</v>
      </c>
      <c r="B1496" s="1">
        <v>45827</v>
      </c>
      <c r="C1496" t="s">
        <v>397</v>
      </c>
      <c r="D1496" t="s">
        <v>58</v>
      </c>
      <c r="E1496" t="s">
        <v>31</v>
      </c>
      <c r="F1496" t="s">
        <v>72</v>
      </c>
      <c r="G1496" t="s">
        <v>104</v>
      </c>
      <c r="H1496" s="7">
        <v>1</v>
      </c>
      <c r="I1496" s="4">
        <v>3228.67</v>
      </c>
      <c r="J1496" s="23">
        <v>0.2</v>
      </c>
      <c r="K1496" s="4">
        <v>2582.94</v>
      </c>
      <c r="L1496" s="4">
        <v>2200.06</v>
      </c>
      <c r="M1496" s="4">
        <v>382.88</v>
      </c>
      <c r="N1496" t="s">
        <v>25</v>
      </c>
      <c r="O1496" s="7">
        <v>27</v>
      </c>
      <c r="P1496" s="2">
        <v>45828.125</v>
      </c>
      <c r="Q1496" t="s">
        <v>99</v>
      </c>
      <c r="R1496">
        <v>6</v>
      </c>
      <c r="S1496" t="s">
        <v>27</v>
      </c>
      <c r="T1496">
        <f>IF(orders[[#This Row],[Status]]="Completed",1,0)</f>
        <v>1</v>
      </c>
      <c r="U1496">
        <f>IF(orders[[#This Row],[Status]]="Pending",1,0)</f>
        <v>0</v>
      </c>
      <c r="V1496">
        <f>IF(orders[[#This Row],[Status]]="Delayed",1,0)</f>
        <v>0</v>
      </c>
      <c r="W1496">
        <f>IF(orders[[#This Row],[Status]]="Cancelled",1,0)</f>
        <v>0</v>
      </c>
    </row>
    <row r="1497" spans="1:23" x14ac:dyDescent="0.35">
      <c r="A1497" t="s">
        <v>1879</v>
      </c>
      <c r="B1497" s="1">
        <v>45691</v>
      </c>
      <c r="C1497" t="s">
        <v>415</v>
      </c>
      <c r="D1497" t="s">
        <v>58</v>
      </c>
      <c r="E1497" t="s">
        <v>92</v>
      </c>
      <c r="F1497" t="s">
        <v>72</v>
      </c>
      <c r="G1497" t="s">
        <v>119</v>
      </c>
      <c r="H1497" s="7">
        <v>7</v>
      </c>
      <c r="I1497" s="4">
        <v>41382.04</v>
      </c>
      <c r="J1497" s="23">
        <v>0.1</v>
      </c>
      <c r="K1497" s="4">
        <v>37243.839999999997</v>
      </c>
      <c r="L1497" s="4">
        <v>29716.06</v>
      </c>
      <c r="M1497" s="4">
        <v>7527.78</v>
      </c>
      <c r="N1497" t="s">
        <v>25</v>
      </c>
      <c r="O1497" s="7">
        <v>21</v>
      </c>
      <c r="P1497" s="2">
        <v>45691.875</v>
      </c>
      <c r="Q1497" t="s">
        <v>139</v>
      </c>
      <c r="R1497">
        <v>2</v>
      </c>
      <c r="S1497" t="s">
        <v>55</v>
      </c>
      <c r="T1497">
        <f>IF(orders[[#This Row],[Status]]="Completed",1,0)</f>
        <v>1</v>
      </c>
      <c r="U1497">
        <f>IF(orders[[#This Row],[Status]]="Pending",1,0)</f>
        <v>0</v>
      </c>
      <c r="V1497">
        <f>IF(orders[[#This Row],[Status]]="Delayed",1,0)</f>
        <v>0</v>
      </c>
      <c r="W1497">
        <f>IF(orders[[#This Row],[Status]]="Cancelled",1,0)</f>
        <v>0</v>
      </c>
    </row>
    <row r="1498" spans="1:23" x14ac:dyDescent="0.35">
      <c r="A1498" t="s">
        <v>1880</v>
      </c>
      <c r="B1498" s="1">
        <v>45908</v>
      </c>
      <c r="C1498" t="s">
        <v>242</v>
      </c>
      <c r="D1498" t="s">
        <v>58</v>
      </c>
      <c r="E1498" t="s">
        <v>78</v>
      </c>
      <c r="F1498" t="s">
        <v>23</v>
      </c>
      <c r="G1498" t="s">
        <v>136</v>
      </c>
      <c r="H1498" s="7">
        <v>4</v>
      </c>
      <c r="I1498" s="4">
        <v>13531.92</v>
      </c>
      <c r="J1498" s="23">
        <v>0.1</v>
      </c>
      <c r="K1498" s="4">
        <v>12178.73</v>
      </c>
      <c r="L1498" s="4">
        <v>10449.52</v>
      </c>
      <c r="M1498" s="4">
        <v>1729.21</v>
      </c>
      <c r="N1498" t="s">
        <v>85</v>
      </c>
      <c r="O1498" s="7">
        <v>61</v>
      </c>
      <c r="P1498" s="2">
        <v>45910.541666666664</v>
      </c>
      <c r="Q1498" t="s">
        <v>41</v>
      </c>
      <c r="R1498">
        <v>9</v>
      </c>
      <c r="S1498" t="s">
        <v>42</v>
      </c>
      <c r="T1498">
        <f>IF(orders[[#This Row],[Status]]="Completed",1,0)</f>
        <v>0</v>
      </c>
      <c r="U1498">
        <f>IF(orders[[#This Row],[Status]]="Pending",1,0)</f>
        <v>0</v>
      </c>
      <c r="V1498">
        <f>IF(orders[[#This Row],[Status]]="Delayed",1,0)</f>
        <v>1</v>
      </c>
      <c r="W1498">
        <f>IF(orders[[#This Row],[Status]]="Cancelled",1,0)</f>
        <v>0</v>
      </c>
    </row>
    <row r="1499" spans="1:23" x14ac:dyDescent="0.35">
      <c r="A1499" t="s">
        <v>1881</v>
      </c>
      <c r="B1499" s="1">
        <v>45904</v>
      </c>
      <c r="C1499" t="s">
        <v>135</v>
      </c>
      <c r="D1499" t="s">
        <v>45</v>
      </c>
      <c r="E1499" t="s">
        <v>31</v>
      </c>
      <c r="F1499" t="s">
        <v>39</v>
      </c>
      <c r="G1499" t="s">
        <v>93</v>
      </c>
      <c r="H1499" s="7">
        <v>1</v>
      </c>
      <c r="I1499" s="4">
        <v>3040.01</v>
      </c>
      <c r="J1499" s="23">
        <v>0.15</v>
      </c>
      <c r="K1499" s="4">
        <v>2584.0100000000002</v>
      </c>
      <c r="L1499" s="4">
        <v>1691.58</v>
      </c>
      <c r="M1499" s="4">
        <v>892.43</v>
      </c>
      <c r="N1499" t="s">
        <v>25</v>
      </c>
      <c r="O1499" s="7">
        <v>28</v>
      </c>
      <c r="P1499" s="2">
        <v>45905.166666666664</v>
      </c>
      <c r="Q1499" t="s">
        <v>41</v>
      </c>
      <c r="R1499">
        <v>9</v>
      </c>
      <c r="S1499" t="s">
        <v>42</v>
      </c>
      <c r="T1499">
        <f>IF(orders[[#This Row],[Status]]="Completed",1,0)</f>
        <v>1</v>
      </c>
      <c r="U1499">
        <f>IF(orders[[#This Row],[Status]]="Pending",1,0)</f>
        <v>0</v>
      </c>
      <c r="V1499">
        <f>IF(orders[[#This Row],[Status]]="Delayed",1,0)</f>
        <v>0</v>
      </c>
      <c r="W1499">
        <f>IF(orders[[#This Row],[Status]]="Cancelled",1,0)</f>
        <v>0</v>
      </c>
    </row>
    <row r="1500" spans="1:23" x14ac:dyDescent="0.35">
      <c r="A1500" t="s">
        <v>1882</v>
      </c>
      <c r="B1500" s="1">
        <v>45926</v>
      </c>
      <c r="C1500" t="s">
        <v>406</v>
      </c>
      <c r="D1500" t="s">
        <v>58</v>
      </c>
      <c r="E1500" t="s">
        <v>78</v>
      </c>
      <c r="F1500" t="s">
        <v>72</v>
      </c>
      <c r="G1500" t="s">
        <v>119</v>
      </c>
      <c r="H1500" s="7">
        <v>2</v>
      </c>
      <c r="I1500" s="4">
        <v>14259.34</v>
      </c>
      <c r="J1500" s="23">
        <v>0</v>
      </c>
      <c r="K1500" s="4">
        <v>14259.34</v>
      </c>
      <c r="L1500" s="4">
        <v>12262.76</v>
      </c>
      <c r="M1500" s="4">
        <v>1996.58</v>
      </c>
      <c r="N1500" t="s">
        <v>85</v>
      </c>
      <c r="O1500" s="7">
        <v>54</v>
      </c>
      <c r="P1500" s="2">
        <v>45928.25</v>
      </c>
      <c r="Q1500" t="s">
        <v>41</v>
      </c>
      <c r="R1500">
        <v>9</v>
      </c>
      <c r="S1500" t="s">
        <v>42</v>
      </c>
      <c r="T1500">
        <f>IF(orders[[#This Row],[Status]]="Completed",1,0)</f>
        <v>0</v>
      </c>
      <c r="U1500">
        <f>IF(orders[[#This Row],[Status]]="Pending",1,0)</f>
        <v>0</v>
      </c>
      <c r="V1500">
        <f>IF(orders[[#This Row],[Status]]="Delayed",1,0)</f>
        <v>1</v>
      </c>
      <c r="W1500">
        <f>IF(orders[[#This Row],[Status]]="Cancelled",1,0)</f>
        <v>0</v>
      </c>
    </row>
    <row r="1501" spans="1:23" x14ac:dyDescent="0.35">
      <c r="A1501" t="s">
        <v>1883</v>
      </c>
      <c r="B1501" s="1">
        <v>45798</v>
      </c>
      <c r="C1501" t="s">
        <v>736</v>
      </c>
      <c r="D1501" t="s">
        <v>30</v>
      </c>
      <c r="E1501" t="s">
        <v>52</v>
      </c>
      <c r="F1501" t="s">
        <v>83</v>
      </c>
      <c r="G1501" t="s">
        <v>84</v>
      </c>
      <c r="H1501" s="7">
        <v>2</v>
      </c>
      <c r="I1501" s="4">
        <v>1991.32</v>
      </c>
      <c r="J1501" s="23">
        <v>0.05</v>
      </c>
      <c r="K1501" s="4">
        <v>1891.75</v>
      </c>
      <c r="L1501" s="4">
        <v>1270.52</v>
      </c>
      <c r="M1501" s="4">
        <v>621.23</v>
      </c>
      <c r="N1501" t="s">
        <v>25</v>
      </c>
      <c r="O1501" s="7">
        <v>35</v>
      </c>
      <c r="P1501" s="2">
        <v>45799.458333333336</v>
      </c>
      <c r="Q1501" t="s">
        <v>74</v>
      </c>
      <c r="R1501">
        <v>5</v>
      </c>
      <c r="S1501" t="s">
        <v>27</v>
      </c>
      <c r="T1501">
        <f>IF(orders[[#This Row],[Status]]="Completed",1,0)</f>
        <v>1</v>
      </c>
      <c r="U1501">
        <f>IF(orders[[#This Row],[Status]]="Pending",1,0)</f>
        <v>0</v>
      </c>
      <c r="V1501">
        <f>IF(orders[[#This Row],[Status]]="Delayed",1,0)</f>
        <v>0</v>
      </c>
      <c r="W1501">
        <f>IF(orders[[#This Row],[Status]]="Cancelled",1,0)</f>
        <v>0</v>
      </c>
    </row>
  </sheetData>
  <phoneticPr fontId="20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8731E-5199-4169-A871-97DA8B12E5A6}">
  <dimension ref="A1:G3"/>
  <sheetViews>
    <sheetView workbookViewId="0">
      <selection activeCell="J6" sqref="J6"/>
    </sheetView>
  </sheetViews>
  <sheetFormatPr defaultRowHeight="14.5" x14ac:dyDescent="0.35"/>
  <cols>
    <col min="1" max="1" width="17.453125" bestFit="1" customWidth="1"/>
    <col min="2" max="2" width="15.453125" bestFit="1" customWidth="1"/>
    <col min="3" max="4" width="15.90625" bestFit="1" customWidth="1"/>
    <col min="5" max="5" width="13.6328125" bestFit="1" customWidth="1"/>
    <col min="6" max="6" width="9.81640625" bestFit="1" customWidth="1"/>
    <col min="7" max="7" width="17.6328125" bestFit="1" customWidth="1"/>
  </cols>
  <sheetData>
    <row r="1" spans="1:7" ht="18.5" x14ac:dyDescent="0.35">
      <c r="A1" s="13" t="s">
        <v>1884</v>
      </c>
      <c r="B1" s="14"/>
      <c r="C1" s="14"/>
      <c r="D1" s="14"/>
      <c r="E1" s="14"/>
      <c r="F1" s="14"/>
      <c r="G1" s="14"/>
    </row>
    <row r="2" spans="1:7" ht="18.5" x14ac:dyDescent="0.35">
      <c r="A2" s="15" t="s">
        <v>1885</v>
      </c>
      <c r="B2" s="16" t="s">
        <v>1886</v>
      </c>
      <c r="C2" s="16" t="s">
        <v>1887</v>
      </c>
      <c r="D2" s="16" t="s">
        <v>1888</v>
      </c>
      <c r="E2" s="16" t="s">
        <v>1889</v>
      </c>
      <c r="F2" s="16" t="s">
        <v>1890</v>
      </c>
      <c r="G2" s="16" t="s">
        <v>1891</v>
      </c>
    </row>
    <row r="3" spans="1:7" ht="18.5" x14ac:dyDescent="0.45">
      <c r="A3" s="17">
        <f>COUNTA(orders[Order_ID])</f>
        <v>1500</v>
      </c>
      <c r="B3" s="18">
        <f>SUM(orders[Net_Sales])</f>
        <v>23345848.499999978</v>
      </c>
      <c r="C3" s="18">
        <f>SUM(orders[Profit])</f>
        <v>6635112.3800000064</v>
      </c>
      <c r="D3" s="19">
        <f>COUNTIF(orders[Status],"Completed")</f>
        <v>851</v>
      </c>
      <c r="E3" s="19">
        <f>COUNTIF(orders[Status],"Pending")</f>
        <v>201</v>
      </c>
      <c r="F3" s="20">
        <f>AVERAGE(orders[TAT_Hours])</f>
        <v>28.288666666666668</v>
      </c>
      <c r="G3" s="21">
        <f>D3/A3</f>
        <v>0.56733333333333336</v>
      </c>
    </row>
  </sheetData>
  <mergeCells count="1">
    <mergeCell ref="A1:G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1258F-1F7E-4C67-90A9-3A6F0D997B44}">
  <dimension ref="A1:D362"/>
  <sheetViews>
    <sheetView workbookViewId="0">
      <selection activeCell="A3" sqref="A3"/>
    </sheetView>
  </sheetViews>
  <sheetFormatPr defaultRowHeight="14.5" x14ac:dyDescent="0.35"/>
  <cols>
    <col min="1" max="1" width="10.36328125" bestFit="1" customWidth="1"/>
    <col min="2" max="2" width="6.36328125" bestFit="1" customWidth="1"/>
    <col min="3" max="3" width="11.81640625" bestFit="1" customWidth="1"/>
    <col min="4" max="4" width="10.26953125" bestFit="1" customWidth="1"/>
  </cols>
  <sheetData>
    <row r="1" spans="1:4" x14ac:dyDescent="0.35">
      <c r="A1" s="9" t="s">
        <v>13</v>
      </c>
      <c r="B1" t="s">
        <v>1893</v>
      </c>
    </row>
    <row r="3" spans="1:4" x14ac:dyDescent="0.35">
      <c r="A3" s="9" t="s">
        <v>1924</v>
      </c>
      <c r="B3" t="s">
        <v>1925</v>
      </c>
      <c r="C3" t="s">
        <v>2256</v>
      </c>
      <c r="D3" t="s">
        <v>1926</v>
      </c>
    </row>
    <row r="4" spans="1:4" x14ac:dyDescent="0.35">
      <c r="A4" s="10" t="s">
        <v>1894</v>
      </c>
      <c r="B4" s="28">
        <v>8</v>
      </c>
      <c r="C4" s="12">
        <v>119038.26999999999</v>
      </c>
      <c r="D4" s="12">
        <v>31038.14</v>
      </c>
    </row>
    <row r="5" spans="1:4" x14ac:dyDescent="0.35">
      <c r="A5" s="10" t="s">
        <v>1895</v>
      </c>
      <c r="B5" s="28">
        <v>4</v>
      </c>
      <c r="C5" s="12">
        <v>31029.989999999998</v>
      </c>
      <c r="D5" s="12">
        <v>7917.14</v>
      </c>
    </row>
    <row r="6" spans="1:4" x14ac:dyDescent="0.35">
      <c r="A6" s="10" t="s">
        <v>1896</v>
      </c>
      <c r="B6" s="28">
        <v>1</v>
      </c>
      <c r="C6" s="12">
        <v>51457.27</v>
      </c>
      <c r="D6" s="12">
        <v>17855.55</v>
      </c>
    </row>
    <row r="7" spans="1:4" x14ac:dyDescent="0.35">
      <c r="A7" s="10" t="s">
        <v>1897</v>
      </c>
      <c r="B7" s="28">
        <v>6</v>
      </c>
      <c r="C7" s="12">
        <v>76633.59</v>
      </c>
      <c r="D7" s="12">
        <v>14602.300000000003</v>
      </c>
    </row>
    <row r="8" spans="1:4" x14ac:dyDescent="0.35">
      <c r="A8" s="10" t="s">
        <v>1898</v>
      </c>
      <c r="B8" s="28">
        <v>7</v>
      </c>
      <c r="C8" s="12">
        <v>64495.97</v>
      </c>
      <c r="D8" s="12">
        <v>17596.960000000003</v>
      </c>
    </row>
    <row r="9" spans="1:4" x14ac:dyDescent="0.35">
      <c r="A9" s="10" t="s">
        <v>1899</v>
      </c>
      <c r="B9" s="28">
        <v>4</v>
      </c>
      <c r="C9" s="12">
        <v>46429.35</v>
      </c>
      <c r="D9" s="12">
        <v>16750.59</v>
      </c>
    </row>
    <row r="10" spans="1:4" x14ac:dyDescent="0.35">
      <c r="A10" s="10" t="s">
        <v>1900</v>
      </c>
      <c r="B10" s="28">
        <v>4</v>
      </c>
      <c r="C10" s="12">
        <v>49548.47</v>
      </c>
      <c r="D10" s="12">
        <v>17089.66</v>
      </c>
    </row>
    <row r="11" spans="1:4" x14ac:dyDescent="0.35">
      <c r="A11" s="10" t="s">
        <v>1901</v>
      </c>
      <c r="B11" s="28">
        <v>4</v>
      </c>
      <c r="C11" s="12">
        <v>39201.46</v>
      </c>
      <c r="D11" s="12">
        <v>10083.11</v>
      </c>
    </row>
    <row r="12" spans="1:4" x14ac:dyDescent="0.35">
      <c r="A12" s="10" t="s">
        <v>1902</v>
      </c>
      <c r="B12" s="28">
        <v>4</v>
      </c>
      <c r="C12" s="12">
        <v>23427.980000000003</v>
      </c>
      <c r="D12" s="12">
        <v>8002.8700000000008</v>
      </c>
    </row>
    <row r="13" spans="1:4" x14ac:dyDescent="0.35">
      <c r="A13" s="10" t="s">
        <v>1903</v>
      </c>
      <c r="B13" s="28">
        <v>4</v>
      </c>
      <c r="C13" s="12">
        <v>111681.44</v>
      </c>
      <c r="D13" s="12">
        <v>42698.16</v>
      </c>
    </row>
    <row r="14" spans="1:4" x14ac:dyDescent="0.35">
      <c r="A14" s="10" t="s">
        <v>1904</v>
      </c>
      <c r="B14" s="28">
        <v>3</v>
      </c>
      <c r="C14" s="12">
        <v>88138.57</v>
      </c>
      <c r="D14" s="12">
        <v>25777.54</v>
      </c>
    </row>
    <row r="15" spans="1:4" x14ac:dyDescent="0.35">
      <c r="A15" s="10" t="s">
        <v>1905</v>
      </c>
      <c r="B15" s="28">
        <v>5</v>
      </c>
      <c r="C15" s="12">
        <v>45607.880000000005</v>
      </c>
      <c r="D15" s="12">
        <v>8066.3600000000006</v>
      </c>
    </row>
    <row r="16" spans="1:4" x14ac:dyDescent="0.35">
      <c r="A16" s="10" t="s">
        <v>1906</v>
      </c>
      <c r="B16" s="28">
        <v>5</v>
      </c>
      <c r="C16" s="12">
        <v>47951.299999999996</v>
      </c>
      <c r="D16" s="12">
        <v>15833.899999999998</v>
      </c>
    </row>
    <row r="17" spans="1:4" x14ac:dyDescent="0.35">
      <c r="A17" s="10" t="s">
        <v>1907</v>
      </c>
      <c r="B17" s="28">
        <v>7</v>
      </c>
      <c r="C17" s="12">
        <v>149910.69</v>
      </c>
      <c r="D17" s="12">
        <v>49042.7</v>
      </c>
    </row>
    <row r="18" spans="1:4" x14ac:dyDescent="0.35">
      <c r="A18" s="10" t="s">
        <v>1908</v>
      </c>
      <c r="B18" s="28">
        <v>6</v>
      </c>
      <c r="C18" s="12">
        <v>59584.65</v>
      </c>
      <c r="D18" s="12">
        <v>18629.650000000001</v>
      </c>
    </row>
    <row r="19" spans="1:4" x14ac:dyDescent="0.35">
      <c r="A19" s="10" t="s">
        <v>1909</v>
      </c>
      <c r="B19" s="28">
        <v>3</v>
      </c>
      <c r="C19" s="12">
        <v>105242.61</v>
      </c>
      <c r="D19" s="12">
        <v>31136.83</v>
      </c>
    </row>
    <row r="20" spans="1:4" x14ac:dyDescent="0.35">
      <c r="A20" s="10" t="s">
        <v>1910</v>
      </c>
      <c r="B20" s="28">
        <v>5</v>
      </c>
      <c r="C20" s="12">
        <v>99928.00999999998</v>
      </c>
      <c r="D20" s="12">
        <v>20832.650000000001</v>
      </c>
    </row>
    <row r="21" spans="1:4" x14ac:dyDescent="0.35">
      <c r="A21" s="10" t="s">
        <v>1911</v>
      </c>
      <c r="B21" s="28">
        <v>2</v>
      </c>
      <c r="C21" s="12">
        <v>48971.91</v>
      </c>
      <c r="D21" s="12">
        <v>11682.310000000001</v>
      </c>
    </row>
    <row r="22" spans="1:4" x14ac:dyDescent="0.35">
      <c r="A22" s="10" t="s">
        <v>1912</v>
      </c>
      <c r="B22" s="28">
        <v>3</v>
      </c>
      <c r="C22" s="12">
        <v>45704.46</v>
      </c>
      <c r="D22" s="12">
        <v>11264.41</v>
      </c>
    </row>
    <row r="23" spans="1:4" x14ac:dyDescent="0.35">
      <c r="A23" s="10" t="s">
        <v>1913</v>
      </c>
      <c r="B23" s="28">
        <v>4</v>
      </c>
      <c r="C23" s="12">
        <v>71560.709999999992</v>
      </c>
      <c r="D23" s="12">
        <v>24515.46</v>
      </c>
    </row>
    <row r="24" spans="1:4" x14ac:dyDescent="0.35">
      <c r="A24" s="10" t="s">
        <v>1914</v>
      </c>
      <c r="B24" s="28">
        <v>2</v>
      </c>
      <c r="C24" s="12">
        <v>40262.619999999995</v>
      </c>
      <c r="D24" s="12">
        <v>16660.68</v>
      </c>
    </row>
    <row r="25" spans="1:4" x14ac:dyDescent="0.35">
      <c r="A25" s="10" t="s">
        <v>1915</v>
      </c>
      <c r="B25" s="28">
        <v>3</v>
      </c>
      <c r="C25" s="12">
        <v>37228.22</v>
      </c>
      <c r="D25" s="12">
        <v>12076.39</v>
      </c>
    </row>
    <row r="26" spans="1:4" x14ac:dyDescent="0.35">
      <c r="A26" s="10" t="s">
        <v>1916</v>
      </c>
      <c r="B26" s="28">
        <v>4</v>
      </c>
      <c r="C26" s="12">
        <v>65933.610000000015</v>
      </c>
      <c r="D26" s="12">
        <v>13878.97</v>
      </c>
    </row>
    <row r="27" spans="1:4" x14ac:dyDescent="0.35">
      <c r="A27" s="10" t="s">
        <v>1917</v>
      </c>
      <c r="B27" s="28">
        <v>7</v>
      </c>
      <c r="C27" s="12">
        <v>117967.59000000001</v>
      </c>
      <c r="D27" s="12">
        <v>39989.22</v>
      </c>
    </row>
    <row r="28" spans="1:4" x14ac:dyDescent="0.35">
      <c r="A28" s="10" t="s">
        <v>1918</v>
      </c>
      <c r="B28" s="28">
        <v>4</v>
      </c>
      <c r="C28" s="12">
        <v>62316.65</v>
      </c>
      <c r="D28" s="12">
        <v>17439.900000000001</v>
      </c>
    </row>
    <row r="29" spans="1:4" x14ac:dyDescent="0.35">
      <c r="A29" s="10" t="s">
        <v>1919</v>
      </c>
      <c r="B29" s="28">
        <v>2</v>
      </c>
      <c r="C29" s="12">
        <v>19595.150000000001</v>
      </c>
      <c r="D29" s="12">
        <v>7670.97</v>
      </c>
    </row>
    <row r="30" spans="1:4" x14ac:dyDescent="0.35">
      <c r="A30" s="10" t="s">
        <v>1920</v>
      </c>
      <c r="B30" s="28">
        <v>5</v>
      </c>
      <c r="C30" s="12">
        <v>54646.32</v>
      </c>
      <c r="D30" s="12">
        <v>15782.1</v>
      </c>
    </row>
    <row r="31" spans="1:4" x14ac:dyDescent="0.35">
      <c r="A31" s="10" t="s">
        <v>1921</v>
      </c>
      <c r="B31" s="28">
        <v>5</v>
      </c>
      <c r="C31" s="12">
        <v>87979.189999999988</v>
      </c>
      <c r="D31" s="12">
        <v>27037.89</v>
      </c>
    </row>
    <row r="32" spans="1:4" x14ac:dyDescent="0.35">
      <c r="A32" s="10" t="s">
        <v>1922</v>
      </c>
      <c r="B32" s="28">
        <v>1</v>
      </c>
      <c r="C32" s="12">
        <v>13748.13</v>
      </c>
      <c r="D32" s="12">
        <v>4967.59</v>
      </c>
    </row>
    <row r="33" spans="1:4" x14ac:dyDescent="0.35">
      <c r="A33" s="10" t="s">
        <v>1923</v>
      </c>
      <c r="B33" s="28">
        <v>1</v>
      </c>
      <c r="C33" s="12">
        <v>6298.21</v>
      </c>
      <c r="D33" s="12">
        <v>2247.2600000000002</v>
      </c>
    </row>
    <row r="34" spans="1:4" x14ac:dyDescent="0.35">
      <c r="A34" s="10" t="s">
        <v>1928</v>
      </c>
      <c r="B34" s="28">
        <v>1</v>
      </c>
      <c r="C34" s="12">
        <v>48626.99</v>
      </c>
      <c r="D34" s="12">
        <v>19781.990000000002</v>
      </c>
    </row>
    <row r="35" spans="1:4" x14ac:dyDescent="0.35">
      <c r="A35" s="10" t="s">
        <v>1929</v>
      </c>
      <c r="B35" s="28">
        <v>3</v>
      </c>
      <c r="C35" s="12">
        <v>45446.340000000004</v>
      </c>
      <c r="D35" s="12">
        <v>8877.91</v>
      </c>
    </row>
    <row r="36" spans="1:4" x14ac:dyDescent="0.35">
      <c r="A36" s="10" t="s">
        <v>1930</v>
      </c>
      <c r="B36" s="28">
        <v>6</v>
      </c>
      <c r="C36" s="12">
        <v>152996.56</v>
      </c>
      <c r="D36" s="12">
        <v>41780.699999999997</v>
      </c>
    </row>
    <row r="37" spans="1:4" x14ac:dyDescent="0.35">
      <c r="A37" s="10" t="s">
        <v>1931</v>
      </c>
      <c r="B37" s="28">
        <v>6</v>
      </c>
      <c r="C37" s="12">
        <v>144908.37</v>
      </c>
      <c r="D37" s="12">
        <v>37669.159999999996</v>
      </c>
    </row>
    <row r="38" spans="1:4" x14ac:dyDescent="0.35">
      <c r="A38" s="10" t="s">
        <v>1932</v>
      </c>
      <c r="B38" s="28">
        <v>6</v>
      </c>
      <c r="C38" s="12">
        <v>81498.14</v>
      </c>
      <c r="D38" s="12">
        <v>21894.829999999998</v>
      </c>
    </row>
    <row r="39" spans="1:4" x14ac:dyDescent="0.35">
      <c r="A39" s="10" t="s">
        <v>1933</v>
      </c>
      <c r="B39" s="28">
        <v>3</v>
      </c>
      <c r="C39" s="12">
        <v>35983.85</v>
      </c>
      <c r="D39" s="12">
        <v>11264.94</v>
      </c>
    </row>
    <row r="40" spans="1:4" x14ac:dyDescent="0.35">
      <c r="A40" s="10" t="s">
        <v>1934</v>
      </c>
      <c r="B40" s="28">
        <v>5</v>
      </c>
      <c r="C40" s="12">
        <v>81762.63</v>
      </c>
      <c r="D40" s="12">
        <v>26186.559999999994</v>
      </c>
    </row>
    <row r="41" spans="1:4" x14ac:dyDescent="0.35">
      <c r="A41" s="10" t="s">
        <v>1935</v>
      </c>
      <c r="B41" s="28">
        <v>10</v>
      </c>
      <c r="C41" s="12">
        <v>153718.95000000001</v>
      </c>
      <c r="D41" s="12">
        <v>42012.12</v>
      </c>
    </row>
    <row r="42" spans="1:4" x14ac:dyDescent="0.35">
      <c r="A42" s="10" t="s">
        <v>1936</v>
      </c>
      <c r="B42" s="28">
        <v>2</v>
      </c>
      <c r="C42" s="12">
        <v>12990.75</v>
      </c>
      <c r="D42" s="12">
        <v>3282.42</v>
      </c>
    </row>
    <row r="43" spans="1:4" x14ac:dyDescent="0.35">
      <c r="A43" s="10" t="s">
        <v>1937</v>
      </c>
      <c r="B43" s="28">
        <v>4</v>
      </c>
      <c r="C43" s="12">
        <v>55179.259999999995</v>
      </c>
      <c r="D43" s="12">
        <v>10841.419999999998</v>
      </c>
    </row>
    <row r="44" spans="1:4" x14ac:dyDescent="0.35">
      <c r="A44" s="10" t="s">
        <v>1938</v>
      </c>
      <c r="B44" s="28">
        <v>7</v>
      </c>
      <c r="C44" s="12">
        <v>93232.37999999999</v>
      </c>
      <c r="D44" s="12">
        <v>25187.61</v>
      </c>
    </row>
    <row r="45" spans="1:4" x14ac:dyDescent="0.35">
      <c r="A45" s="10" t="s">
        <v>1939</v>
      </c>
      <c r="B45" s="28">
        <v>2</v>
      </c>
      <c r="C45" s="12">
        <v>48582.7</v>
      </c>
      <c r="D45" s="12">
        <v>9016</v>
      </c>
    </row>
    <row r="46" spans="1:4" x14ac:dyDescent="0.35">
      <c r="A46" s="10" t="s">
        <v>1940</v>
      </c>
      <c r="B46" s="28">
        <v>5</v>
      </c>
      <c r="C46" s="12">
        <v>55594.19</v>
      </c>
      <c r="D46" s="12">
        <v>18051.260000000002</v>
      </c>
    </row>
    <row r="47" spans="1:4" x14ac:dyDescent="0.35">
      <c r="A47" s="10" t="s">
        <v>1941</v>
      </c>
      <c r="B47" s="28">
        <v>1</v>
      </c>
      <c r="C47" s="12">
        <v>32878.400000000001</v>
      </c>
      <c r="D47" s="12">
        <v>14518.9</v>
      </c>
    </row>
    <row r="48" spans="1:4" x14ac:dyDescent="0.35">
      <c r="A48" s="10" t="s">
        <v>1942</v>
      </c>
      <c r="B48" s="28">
        <v>4</v>
      </c>
      <c r="C48" s="12">
        <v>74441.62</v>
      </c>
      <c r="D48" s="12">
        <v>22056.27</v>
      </c>
    </row>
    <row r="49" spans="1:4" x14ac:dyDescent="0.35">
      <c r="A49" s="10" t="s">
        <v>1943</v>
      </c>
      <c r="B49" s="28">
        <v>7</v>
      </c>
      <c r="C49" s="12">
        <v>130310.32</v>
      </c>
      <c r="D49" s="12">
        <v>41774.11</v>
      </c>
    </row>
    <row r="50" spans="1:4" x14ac:dyDescent="0.35">
      <c r="A50" s="10" t="s">
        <v>1944</v>
      </c>
      <c r="B50" s="28">
        <v>3</v>
      </c>
      <c r="C50" s="12">
        <v>64680.09</v>
      </c>
      <c r="D50" s="12">
        <v>17838.16</v>
      </c>
    </row>
    <row r="51" spans="1:4" x14ac:dyDescent="0.35">
      <c r="A51" s="10" t="s">
        <v>1945</v>
      </c>
      <c r="B51" s="28">
        <v>4</v>
      </c>
      <c r="C51" s="12">
        <v>89802.85</v>
      </c>
      <c r="D51" s="12">
        <v>27557.870000000003</v>
      </c>
    </row>
    <row r="52" spans="1:4" x14ac:dyDescent="0.35">
      <c r="A52" s="10" t="s">
        <v>1946</v>
      </c>
      <c r="B52" s="28">
        <v>1</v>
      </c>
      <c r="C52" s="12">
        <v>2748.58</v>
      </c>
      <c r="D52" s="12">
        <v>372.78</v>
      </c>
    </row>
    <row r="53" spans="1:4" x14ac:dyDescent="0.35">
      <c r="A53" s="10" t="s">
        <v>1947</v>
      </c>
      <c r="B53" s="28">
        <v>8</v>
      </c>
      <c r="C53" s="12">
        <v>143691.59</v>
      </c>
      <c r="D53" s="12">
        <v>42066.740000000005</v>
      </c>
    </row>
    <row r="54" spans="1:4" x14ac:dyDescent="0.35">
      <c r="A54" s="10" t="s">
        <v>1948</v>
      </c>
      <c r="B54" s="28">
        <v>3</v>
      </c>
      <c r="C54" s="12">
        <v>62070.85</v>
      </c>
      <c r="D54" s="12">
        <v>10979.7</v>
      </c>
    </row>
    <row r="55" spans="1:4" x14ac:dyDescent="0.35">
      <c r="A55" s="10" t="s">
        <v>1949</v>
      </c>
      <c r="B55" s="28">
        <v>8</v>
      </c>
      <c r="C55" s="12">
        <v>113159.25000000001</v>
      </c>
      <c r="D55" s="12">
        <v>28182.29</v>
      </c>
    </row>
    <row r="56" spans="1:4" x14ac:dyDescent="0.35">
      <c r="A56" s="10" t="s">
        <v>1950</v>
      </c>
      <c r="B56" s="28">
        <v>8</v>
      </c>
      <c r="C56" s="12">
        <v>88621.87</v>
      </c>
      <c r="D56" s="12">
        <v>25459.13</v>
      </c>
    </row>
    <row r="57" spans="1:4" x14ac:dyDescent="0.35">
      <c r="A57" s="10" t="s">
        <v>1951</v>
      </c>
      <c r="B57" s="28">
        <v>5</v>
      </c>
      <c r="C57" s="12">
        <v>75770.87</v>
      </c>
      <c r="D57" s="12">
        <v>16221.17</v>
      </c>
    </row>
    <row r="58" spans="1:4" x14ac:dyDescent="0.35">
      <c r="A58" s="10" t="s">
        <v>1952</v>
      </c>
      <c r="B58" s="28">
        <v>2</v>
      </c>
      <c r="C58" s="12">
        <v>40010.06</v>
      </c>
      <c r="D58" s="12">
        <v>8301.11</v>
      </c>
    </row>
    <row r="59" spans="1:4" x14ac:dyDescent="0.35">
      <c r="A59" s="10" t="s">
        <v>1953</v>
      </c>
      <c r="B59" s="28">
        <v>2</v>
      </c>
      <c r="C59" s="12">
        <v>58814.960000000006</v>
      </c>
      <c r="D59" s="12">
        <v>12654.71</v>
      </c>
    </row>
    <row r="60" spans="1:4" x14ac:dyDescent="0.35">
      <c r="A60" s="10" t="s">
        <v>1954</v>
      </c>
      <c r="B60" s="28">
        <v>6</v>
      </c>
      <c r="C60" s="12">
        <v>121374.04000000001</v>
      </c>
      <c r="D60" s="12">
        <v>31597.920000000002</v>
      </c>
    </row>
    <row r="61" spans="1:4" x14ac:dyDescent="0.35">
      <c r="A61" s="10" t="s">
        <v>1955</v>
      </c>
      <c r="B61" s="28">
        <v>3</v>
      </c>
      <c r="C61" s="12">
        <v>37084.28</v>
      </c>
      <c r="D61" s="12">
        <v>8314.4500000000007</v>
      </c>
    </row>
    <row r="62" spans="1:4" x14ac:dyDescent="0.35">
      <c r="A62" s="10" t="s">
        <v>1956</v>
      </c>
      <c r="B62" s="28">
        <v>3</v>
      </c>
      <c r="C62" s="12">
        <v>37085.279999999999</v>
      </c>
      <c r="D62" s="12">
        <v>11843.26</v>
      </c>
    </row>
    <row r="63" spans="1:4" x14ac:dyDescent="0.35">
      <c r="A63" s="10" t="s">
        <v>1957</v>
      </c>
      <c r="B63" s="28">
        <v>3</v>
      </c>
      <c r="C63" s="12">
        <v>38166.5</v>
      </c>
      <c r="D63" s="12">
        <v>10924.09</v>
      </c>
    </row>
    <row r="64" spans="1:4" x14ac:dyDescent="0.35">
      <c r="A64" s="10" t="s">
        <v>1958</v>
      </c>
      <c r="B64" s="28">
        <v>5</v>
      </c>
      <c r="C64" s="12">
        <v>82238.320000000007</v>
      </c>
      <c r="D64" s="12">
        <v>21938.510000000002</v>
      </c>
    </row>
    <row r="65" spans="1:4" x14ac:dyDescent="0.35">
      <c r="A65" s="10" t="s">
        <v>1959</v>
      </c>
      <c r="B65" s="28">
        <v>8</v>
      </c>
      <c r="C65" s="12">
        <v>88029.23</v>
      </c>
      <c r="D65" s="12">
        <v>27179.57</v>
      </c>
    </row>
    <row r="66" spans="1:4" x14ac:dyDescent="0.35">
      <c r="A66" s="10" t="s">
        <v>1960</v>
      </c>
      <c r="B66" s="28">
        <v>1</v>
      </c>
      <c r="C66" s="12">
        <v>15932.89</v>
      </c>
      <c r="D66" s="12">
        <v>5794.22</v>
      </c>
    </row>
    <row r="67" spans="1:4" x14ac:dyDescent="0.35">
      <c r="A67" s="10" t="s">
        <v>1961</v>
      </c>
      <c r="B67" s="28">
        <v>3</v>
      </c>
      <c r="C67" s="12">
        <v>16423.899999999998</v>
      </c>
      <c r="D67" s="12">
        <v>3054.58</v>
      </c>
    </row>
    <row r="68" spans="1:4" x14ac:dyDescent="0.35">
      <c r="A68" s="10" t="s">
        <v>1962</v>
      </c>
      <c r="B68" s="28">
        <v>2</v>
      </c>
      <c r="C68" s="12">
        <v>61499.990000000005</v>
      </c>
      <c r="D68" s="12">
        <v>19789.349999999999</v>
      </c>
    </row>
    <row r="69" spans="1:4" x14ac:dyDescent="0.35">
      <c r="A69" s="10" t="s">
        <v>1963</v>
      </c>
      <c r="B69" s="28">
        <v>3</v>
      </c>
      <c r="C69" s="12">
        <v>65370.689999999995</v>
      </c>
      <c r="D69" s="12">
        <v>27107.659999999996</v>
      </c>
    </row>
    <row r="70" spans="1:4" x14ac:dyDescent="0.35">
      <c r="A70" s="10" t="s">
        <v>1964</v>
      </c>
      <c r="B70" s="28">
        <v>2</v>
      </c>
      <c r="C70" s="12">
        <v>36073.99</v>
      </c>
      <c r="D70" s="12">
        <v>10246.82</v>
      </c>
    </row>
    <row r="71" spans="1:4" x14ac:dyDescent="0.35">
      <c r="A71" s="10" t="s">
        <v>1965</v>
      </c>
      <c r="B71" s="28">
        <v>7</v>
      </c>
      <c r="C71" s="12">
        <v>174036.21</v>
      </c>
      <c r="D71" s="12">
        <v>36305.550000000003</v>
      </c>
    </row>
    <row r="72" spans="1:4" x14ac:dyDescent="0.35">
      <c r="A72" s="10" t="s">
        <v>1966</v>
      </c>
      <c r="B72" s="28">
        <v>2</v>
      </c>
      <c r="C72" s="12">
        <v>17548.97</v>
      </c>
      <c r="D72" s="12">
        <v>5383.81</v>
      </c>
    </row>
    <row r="73" spans="1:4" x14ac:dyDescent="0.35">
      <c r="A73" s="10" t="s">
        <v>1967</v>
      </c>
      <c r="B73" s="28">
        <v>2</v>
      </c>
      <c r="C73" s="12">
        <v>28866.03</v>
      </c>
      <c r="D73" s="12">
        <v>10278.06</v>
      </c>
    </row>
    <row r="74" spans="1:4" x14ac:dyDescent="0.35">
      <c r="A74" s="10" t="s">
        <v>1968</v>
      </c>
      <c r="B74" s="28">
        <v>2</v>
      </c>
      <c r="C74" s="12">
        <v>34816.97</v>
      </c>
      <c r="D74" s="12">
        <v>7952.52</v>
      </c>
    </row>
    <row r="75" spans="1:4" x14ac:dyDescent="0.35">
      <c r="A75" s="10" t="s">
        <v>1969</v>
      </c>
      <c r="B75" s="28">
        <v>1</v>
      </c>
      <c r="C75" s="12">
        <v>41796.85</v>
      </c>
      <c r="D75" s="12">
        <v>9093.4699999999993</v>
      </c>
    </row>
    <row r="76" spans="1:4" x14ac:dyDescent="0.35">
      <c r="A76" s="10" t="s">
        <v>1970</v>
      </c>
      <c r="B76" s="28">
        <v>6</v>
      </c>
      <c r="C76" s="12">
        <v>111773.23999999999</v>
      </c>
      <c r="D76" s="12">
        <v>32871.46</v>
      </c>
    </row>
    <row r="77" spans="1:4" x14ac:dyDescent="0.35">
      <c r="A77" s="10" t="s">
        <v>1971</v>
      </c>
      <c r="B77" s="28">
        <v>5</v>
      </c>
      <c r="C77" s="12">
        <v>38875.31</v>
      </c>
      <c r="D77" s="12">
        <v>8970.6700000000019</v>
      </c>
    </row>
    <row r="78" spans="1:4" x14ac:dyDescent="0.35">
      <c r="A78" s="10" t="s">
        <v>1972</v>
      </c>
      <c r="B78" s="28">
        <v>6</v>
      </c>
      <c r="C78" s="12">
        <v>82469.61</v>
      </c>
      <c r="D78" s="12">
        <v>27410.01</v>
      </c>
    </row>
    <row r="79" spans="1:4" x14ac:dyDescent="0.35">
      <c r="A79" s="10" t="s">
        <v>1973</v>
      </c>
      <c r="B79" s="28">
        <v>2</v>
      </c>
      <c r="C79" s="12">
        <v>5433.4400000000005</v>
      </c>
      <c r="D79" s="12">
        <v>2379.2399999999998</v>
      </c>
    </row>
    <row r="80" spans="1:4" x14ac:dyDescent="0.35">
      <c r="A80" s="10" t="s">
        <v>1974</v>
      </c>
      <c r="B80" s="28">
        <v>6</v>
      </c>
      <c r="C80" s="12">
        <v>89697.859999999986</v>
      </c>
      <c r="D80" s="12">
        <v>25401.85</v>
      </c>
    </row>
    <row r="81" spans="1:4" x14ac:dyDescent="0.35">
      <c r="A81" s="10" t="s">
        <v>1975</v>
      </c>
      <c r="B81" s="28">
        <v>3</v>
      </c>
      <c r="C81" s="12">
        <v>35757.629999999997</v>
      </c>
      <c r="D81" s="12">
        <v>7831.57</v>
      </c>
    </row>
    <row r="82" spans="1:4" x14ac:dyDescent="0.35">
      <c r="A82" s="10" t="s">
        <v>1976</v>
      </c>
      <c r="B82" s="28">
        <v>2</v>
      </c>
      <c r="C82" s="12">
        <v>72515.45</v>
      </c>
      <c r="D82" s="12">
        <v>23713.09</v>
      </c>
    </row>
    <row r="83" spans="1:4" x14ac:dyDescent="0.35">
      <c r="A83" s="10" t="s">
        <v>1977</v>
      </c>
      <c r="B83" s="28">
        <v>3</v>
      </c>
      <c r="C83" s="12">
        <v>48989.95</v>
      </c>
      <c r="D83" s="12">
        <v>15881.589999999998</v>
      </c>
    </row>
    <row r="84" spans="1:4" x14ac:dyDescent="0.35">
      <c r="A84" s="10" t="s">
        <v>1978</v>
      </c>
      <c r="B84" s="28">
        <v>2</v>
      </c>
      <c r="C84" s="12">
        <v>24782.95</v>
      </c>
      <c r="D84" s="12">
        <v>5787.83</v>
      </c>
    </row>
    <row r="85" spans="1:4" x14ac:dyDescent="0.35">
      <c r="A85" s="10" t="s">
        <v>1979</v>
      </c>
      <c r="B85" s="28">
        <v>5</v>
      </c>
      <c r="C85" s="12">
        <v>49720.130000000005</v>
      </c>
      <c r="D85" s="12">
        <v>12450.1</v>
      </c>
    </row>
    <row r="86" spans="1:4" x14ac:dyDescent="0.35">
      <c r="A86" s="10" t="s">
        <v>1980</v>
      </c>
      <c r="B86" s="28">
        <v>2</v>
      </c>
      <c r="C86" s="12">
        <v>21656.400000000001</v>
      </c>
      <c r="D86" s="12">
        <v>6245.11</v>
      </c>
    </row>
    <row r="87" spans="1:4" x14ac:dyDescent="0.35">
      <c r="A87" s="10" t="s">
        <v>1981</v>
      </c>
      <c r="B87" s="28">
        <v>2</v>
      </c>
      <c r="C87" s="12">
        <v>1551.7</v>
      </c>
      <c r="D87" s="12">
        <v>580.74</v>
      </c>
    </row>
    <row r="88" spans="1:4" x14ac:dyDescent="0.35">
      <c r="A88" s="10" t="s">
        <v>1982</v>
      </c>
      <c r="B88" s="28">
        <v>5</v>
      </c>
      <c r="C88" s="12">
        <v>56124.28</v>
      </c>
      <c r="D88" s="12">
        <v>10826.630000000001</v>
      </c>
    </row>
    <row r="89" spans="1:4" x14ac:dyDescent="0.35">
      <c r="A89" s="10" t="s">
        <v>1983</v>
      </c>
      <c r="B89" s="28">
        <v>5</v>
      </c>
      <c r="C89" s="12">
        <v>69155.649999999994</v>
      </c>
      <c r="D89" s="12">
        <v>21044.29</v>
      </c>
    </row>
    <row r="90" spans="1:4" x14ac:dyDescent="0.35">
      <c r="A90" s="10" t="s">
        <v>1984</v>
      </c>
      <c r="B90" s="28">
        <v>1</v>
      </c>
      <c r="C90" s="12">
        <v>16684.34</v>
      </c>
      <c r="D90" s="12">
        <v>4226.76</v>
      </c>
    </row>
    <row r="91" spans="1:4" x14ac:dyDescent="0.35">
      <c r="A91" s="10" t="s">
        <v>1985</v>
      </c>
      <c r="B91" s="28">
        <v>6</v>
      </c>
      <c r="C91" s="12">
        <v>49592.43</v>
      </c>
      <c r="D91" s="12">
        <v>18700.32</v>
      </c>
    </row>
    <row r="92" spans="1:4" x14ac:dyDescent="0.35">
      <c r="A92" s="10" t="s">
        <v>1986</v>
      </c>
      <c r="B92" s="28">
        <v>2</v>
      </c>
      <c r="C92" s="12">
        <v>51103.210000000006</v>
      </c>
      <c r="D92" s="12">
        <v>14551.34</v>
      </c>
    </row>
    <row r="93" spans="1:4" x14ac:dyDescent="0.35">
      <c r="A93" s="10" t="s">
        <v>1987</v>
      </c>
      <c r="B93" s="28">
        <v>3</v>
      </c>
      <c r="C93" s="12">
        <v>90287.319999999992</v>
      </c>
      <c r="D93" s="12">
        <v>18459.439999999999</v>
      </c>
    </row>
    <row r="94" spans="1:4" x14ac:dyDescent="0.35">
      <c r="A94" s="10" t="s">
        <v>1988</v>
      </c>
      <c r="B94" s="28">
        <v>7</v>
      </c>
      <c r="C94" s="12">
        <v>89638.39999999998</v>
      </c>
      <c r="D94" s="12">
        <v>23599.09</v>
      </c>
    </row>
    <row r="95" spans="1:4" x14ac:dyDescent="0.35">
      <c r="A95" s="10" t="s">
        <v>1989</v>
      </c>
      <c r="B95" s="28">
        <v>6</v>
      </c>
      <c r="C95" s="12">
        <v>85828.02</v>
      </c>
      <c r="D95" s="12">
        <v>25269.17</v>
      </c>
    </row>
    <row r="96" spans="1:4" x14ac:dyDescent="0.35">
      <c r="A96" s="10" t="s">
        <v>1990</v>
      </c>
      <c r="B96" s="28">
        <v>4</v>
      </c>
      <c r="C96" s="12">
        <v>80151.62000000001</v>
      </c>
      <c r="D96" s="12">
        <v>18693.769999999997</v>
      </c>
    </row>
    <row r="97" spans="1:4" x14ac:dyDescent="0.35">
      <c r="A97" s="10" t="s">
        <v>1991</v>
      </c>
      <c r="B97" s="28">
        <v>7</v>
      </c>
      <c r="C97" s="12">
        <v>75223.650000000009</v>
      </c>
      <c r="D97" s="12">
        <v>17420.829999999998</v>
      </c>
    </row>
    <row r="98" spans="1:4" x14ac:dyDescent="0.35">
      <c r="A98" s="10" t="s">
        <v>1992</v>
      </c>
      <c r="B98" s="28">
        <v>9</v>
      </c>
      <c r="C98" s="12">
        <v>158286.07999999999</v>
      </c>
      <c r="D98" s="12">
        <v>50192.040000000008</v>
      </c>
    </row>
    <row r="99" spans="1:4" x14ac:dyDescent="0.35">
      <c r="A99" s="10" t="s">
        <v>1993</v>
      </c>
      <c r="B99" s="28">
        <v>4</v>
      </c>
      <c r="C99" s="12">
        <v>75338.859999999986</v>
      </c>
      <c r="D99" s="12">
        <v>19426.41</v>
      </c>
    </row>
    <row r="100" spans="1:4" x14ac:dyDescent="0.35">
      <c r="A100" s="10" t="s">
        <v>1994</v>
      </c>
      <c r="B100" s="28">
        <v>8</v>
      </c>
      <c r="C100" s="12">
        <v>149494.54999999999</v>
      </c>
      <c r="D100" s="12">
        <v>30888.54</v>
      </c>
    </row>
    <row r="101" spans="1:4" x14ac:dyDescent="0.35">
      <c r="A101" s="10" t="s">
        <v>1995</v>
      </c>
      <c r="B101" s="28">
        <v>1</v>
      </c>
      <c r="C101" s="12">
        <v>44079.96</v>
      </c>
      <c r="D101" s="12">
        <v>15307.12</v>
      </c>
    </row>
    <row r="102" spans="1:4" x14ac:dyDescent="0.35">
      <c r="A102" s="10" t="s">
        <v>1996</v>
      </c>
      <c r="B102" s="28">
        <v>5</v>
      </c>
      <c r="C102" s="12">
        <v>65031.05</v>
      </c>
      <c r="D102" s="12">
        <v>14824.099999999999</v>
      </c>
    </row>
    <row r="103" spans="1:4" x14ac:dyDescent="0.35">
      <c r="A103" s="10" t="s">
        <v>1997</v>
      </c>
      <c r="B103" s="28">
        <v>8</v>
      </c>
      <c r="C103" s="12">
        <v>138887.83000000002</v>
      </c>
      <c r="D103" s="12">
        <v>42736.19</v>
      </c>
    </row>
    <row r="104" spans="1:4" x14ac:dyDescent="0.35">
      <c r="A104" s="10" t="s">
        <v>1998</v>
      </c>
      <c r="B104" s="28">
        <v>2</v>
      </c>
      <c r="C104" s="12">
        <v>18925.68</v>
      </c>
      <c r="D104" s="12">
        <v>5521.1299999999992</v>
      </c>
    </row>
    <row r="105" spans="1:4" x14ac:dyDescent="0.35">
      <c r="A105" s="10" t="s">
        <v>1999</v>
      </c>
      <c r="B105" s="28">
        <v>4</v>
      </c>
      <c r="C105" s="12">
        <v>61318.86</v>
      </c>
      <c r="D105" s="12">
        <v>20081.990000000002</v>
      </c>
    </row>
    <row r="106" spans="1:4" x14ac:dyDescent="0.35">
      <c r="A106" s="10" t="s">
        <v>2000</v>
      </c>
      <c r="B106" s="28">
        <v>2</v>
      </c>
      <c r="C106" s="12">
        <v>46972.93</v>
      </c>
      <c r="D106" s="12">
        <v>12539.29</v>
      </c>
    </row>
    <row r="107" spans="1:4" x14ac:dyDescent="0.35">
      <c r="A107" s="10" t="s">
        <v>2001</v>
      </c>
      <c r="B107" s="28">
        <v>5</v>
      </c>
      <c r="C107" s="12">
        <v>58892.03</v>
      </c>
      <c r="D107" s="12">
        <v>17979.059999999998</v>
      </c>
    </row>
    <row r="108" spans="1:4" x14ac:dyDescent="0.35">
      <c r="A108" s="10" t="s">
        <v>2002</v>
      </c>
      <c r="B108" s="28">
        <v>3</v>
      </c>
      <c r="C108" s="12">
        <v>66419.37</v>
      </c>
      <c r="D108" s="12">
        <v>12294.75</v>
      </c>
    </row>
    <row r="109" spans="1:4" x14ac:dyDescent="0.35">
      <c r="A109" s="10" t="s">
        <v>2003</v>
      </c>
      <c r="B109" s="28">
        <v>1</v>
      </c>
      <c r="C109" s="12">
        <v>4465.53</v>
      </c>
      <c r="D109" s="12">
        <v>1158.1199999999999</v>
      </c>
    </row>
    <row r="110" spans="1:4" x14ac:dyDescent="0.35">
      <c r="A110" s="10" t="s">
        <v>2004</v>
      </c>
      <c r="B110" s="28">
        <v>8</v>
      </c>
      <c r="C110" s="12">
        <v>148382.29</v>
      </c>
      <c r="D110" s="12">
        <v>46417.75</v>
      </c>
    </row>
    <row r="111" spans="1:4" x14ac:dyDescent="0.35">
      <c r="A111" s="10" t="s">
        <v>2005</v>
      </c>
      <c r="B111" s="28">
        <v>5</v>
      </c>
      <c r="C111" s="12">
        <v>30597.72</v>
      </c>
      <c r="D111" s="12">
        <v>12011.619999999999</v>
      </c>
    </row>
    <row r="112" spans="1:4" x14ac:dyDescent="0.35">
      <c r="A112" s="10" t="s">
        <v>2006</v>
      </c>
      <c r="B112" s="28">
        <v>9</v>
      </c>
      <c r="C112" s="12">
        <v>136857.17000000001</v>
      </c>
      <c r="D112" s="12">
        <v>44019.91</v>
      </c>
    </row>
    <row r="113" spans="1:4" x14ac:dyDescent="0.35">
      <c r="A113" s="10" t="s">
        <v>2007</v>
      </c>
      <c r="B113" s="28">
        <v>3</v>
      </c>
      <c r="C113" s="12">
        <v>37024.21</v>
      </c>
      <c r="D113" s="12">
        <v>10936.93</v>
      </c>
    </row>
    <row r="114" spans="1:4" x14ac:dyDescent="0.35">
      <c r="A114" s="10" t="s">
        <v>2008</v>
      </c>
      <c r="B114" s="28">
        <v>3</v>
      </c>
      <c r="C114" s="12">
        <v>22712.73</v>
      </c>
      <c r="D114" s="12">
        <v>3631.0299999999997</v>
      </c>
    </row>
    <row r="115" spans="1:4" x14ac:dyDescent="0.35">
      <c r="A115" s="10" t="s">
        <v>2009</v>
      </c>
      <c r="B115" s="28">
        <v>3</v>
      </c>
      <c r="C115" s="12">
        <v>42493.490000000005</v>
      </c>
      <c r="D115" s="12">
        <v>10347.93</v>
      </c>
    </row>
    <row r="116" spans="1:4" x14ac:dyDescent="0.35">
      <c r="A116" s="10" t="s">
        <v>2010</v>
      </c>
      <c r="B116" s="28">
        <v>5</v>
      </c>
      <c r="C116" s="12">
        <v>123088.82</v>
      </c>
      <c r="D116" s="12">
        <v>31477.409999999996</v>
      </c>
    </row>
    <row r="117" spans="1:4" x14ac:dyDescent="0.35">
      <c r="A117" s="10" t="s">
        <v>2011</v>
      </c>
      <c r="B117" s="28">
        <v>6</v>
      </c>
      <c r="C117" s="12">
        <v>48760.66</v>
      </c>
      <c r="D117" s="12">
        <v>14754.93</v>
      </c>
    </row>
    <row r="118" spans="1:4" x14ac:dyDescent="0.35">
      <c r="A118" s="10" t="s">
        <v>2012</v>
      </c>
      <c r="B118" s="28">
        <v>3</v>
      </c>
      <c r="C118" s="12">
        <v>48219.17</v>
      </c>
      <c r="D118" s="12">
        <v>17743.07</v>
      </c>
    </row>
    <row r="119" spans="1:4" x14ac:dyDescent="0.35">
      <c r="A119" s="10" t="s">
        <v>2013</v>
      </c>
      <c r="B119" s="28">
        <v>4</v>
      </c>
      <c r="C119" s="12">
        <v>32238.6</v>
      </c>
      <c r="D119" s="12">
        <v>10698.29</v>
      </c>
    </row>
    <row r="120" spans="1:4" x14ac:dyDescent="0.35">
      <c r="A120" s="10" t="s">
        <v>2014</v>
      </c>
      <c r="B120" s="28">
        <v>2</v>
      </c>
      <c r="C120" s="12">
        <v>41088.79</v>
      </c>
      <c r="D120" s="12">
        <v>9660.08</v>
      </c>
    </row>
    <row r="121" spans="1:4" x14ac:dyDescent="0.35">
      <c r="A121" s="10" t="s">
        <v>2015</v>
      </c>
      <c r="B121" s="28">
        <v>7</v>
      </c>
      <c r="C121" s="12">
        <v>101704.18</v>
      </c>
      <c r="D121" s="12">
        <v>30824.25</v>
      </c>
    </row>
    <row r="122" spans="1:4" x14ac:dyDescent="0.35">
      <c r="A122" s="10" t="s">
        <v>2016</v>
      </c>
      <c r="B122" s="28">
        <v>2</v>
      </c>
      <c r="C122" s="12">
        <v>23297.040000000001</v>
      </c>
      <c r="D122" s="12">
        <v>6534.91</v>
      </c>
    </row>
    <row r="123" spans="1:4" x14ac:dyDescent="0.35">
      <c r="A123" s="10" t="s">
        <v>2017</v>
      </c>
      <c r="B123" s="28">
        <v>2</v>
      </c>
      <c r="C123" s="12">
        <v>34162.47</v>
      </c>
      <c r="D123" s="12">
        <v>6781.25</v>
      </c>
    </row>
    <row r="124" spans="1:4" x14ac:dyDescent="0.35">
      <c r="A124" s="10" t="s">
        <v>2018</v>
      </c>
      <c r="B124" s="28">
        <v>2</v>
      </c>
      <c r="C124" s="12">
        <v>16477.18</v>
      </c>
      <c r="D124" s="12">
        <v>5386.62</v>
      </c>
    </row>
    <row r="125" spans="1:4" x14ac:dyDescent="0.35">
      <c r="A125" s="10" t="s">
        <v>2019</v>
      </c>
      <c r="B125" s="28">
        <v>6</v>
      </c>
      <c r="C125" s="12">
        <v>99100.48000000001</v>
      </c>
      <c r="D125" s="12">
        <v>28811.190000000002</v>
      </c>
    </row>
    <row r="126" spans="1:4" x14ac:dyDescent="0.35">
      <c r="A126" s="10" t="s">
        <v>2020</v>
      </c>
      <c r="B126" s="28">
        <v>4</v>
      </c>
      <c r="C126" s="12">
        <v>63343.65</v>
      </c>
      <c r="D126" s="12">
        <v>17481.88</v>
      </c>
    </row>
    <row r="127" spans="1:4" x14ac:dyDescent="0.35">
      <c r="A127" s="10" t="s">
        <v>2021</v>
      </c>
      <c r="B127" s="28">
        <v>7</v>
      </c>
      <c r="C127" s="12">
        <v>93602.02</v>
      </c>
      <c r="D127" s="12">
        <v>24663.51</v>
      </c>
    </row>
    <row r="128" spans="1:4" x14ac:dyDescent="0.35">
      <c r="A128" s="10" t="s">
        <v>2022</v>
      </c>
      <c r="B128" s="28">
        <v>4</v>
      </c>
      <c r="C128" s="12">
        <v>89819.049999999988</v>
      </c>
      <c r="D128" s="12">
        <v>30644.87</v>
      </c>
    </row>
    <row r="129" spans="1:4" x14ac:dyDescent="0.35">
      <c r="A129" s="10" t="s">
        <v>2023</v>
      </c>
      <c r="B129" s="28">
        <v>5</v>
      </c>
      <c r="C129" s="12">
        <v>75952.7</v>
      </c>
      <c r="D129" s="12">
        <v>25116.489999999998</v>
      </c>
    </row>
    <row r="130" spans="1:4" x14ac:dyDescent="0.35">
      <c r="A130" s="10" t="s">
        <v>2024</v>
      </c>
      <c r="B130" s="28">
        <v>7</v>
      </c>
      <c r="C130" s="12">
        <v>159403.99</v>
      </c>
      <c r="D130" s="12">
        <v>35803.75</v>
      </c>
    </row>
    <row r="131" spans="1:4" x14ac:dyDescent="0.35">
      <c r="A131" s="10" t="s">
        <v>2025</v>
      </c>
      <c r="B131" s="28">
        <v>3</v>
      </c>
      <c r="C131" s="12">
        <v>73695.69</v>
      </c>
      <c r="D131" s="12">
        <v>25706.240000000002</v>
      </c>
    </row>
    <row r="132" spans="1:4" x14ac:dyDescent="0.35">
      <c r="A132" s="10" t="s">
        <v>2026</v>
      </c>
      <c r="B132" s="28">
        <v>6</v>
      </c>
      <c r="C132" s="12">
        <v>96413.640000000014</v>
      </c>
      <c r="D132" s="12">
        <v>30314.92</v>
      </c>
    </row>
    <row r="133" spans="1:4" x14ac:dyDescent="0.35">
      <c r="A133" s="10" t="s">
        <v>2027</v>
      </c>
      <c r="B133" s="28">
        <v>6</v>
      </c>
      <c r="C133" s="12">
        <v>122830</v>
      </c>
      <c r="D133" s="12">
        <v>37867.899999999994</v>
      </c>
    </row>
    <row r="134" spans="1:4" x14ac:dyDescent="0.35">
      <c r="A134" s="10" t="s">
        <v>2028</v>
      </c>
      <c r="B134" s="28">
        <v>3</v>
      </c>
      <c r="C134" s="12">
        <v>73804.350000000006</v>
      </c>
      <c r="D134" s="12">
        <v>20119.11</v>
      </c>
    </row>
    <row r="135" spans="1:4" x14ac:dyDescent="0.35">
      <c r="A135" s="10" t="s">
        <v>2029</v>
      </c>
      <c r="B135" s="28">
        <v>4</v>
      </c>
      <c r="C135" s="12">
        <v>74499.749999999985</v>
      </c>
      <c r="D135" s="12">
        <v>23541.870000000003</v>
      </c>
    </row>
    <row r="136" spans="1:4" x14ac:dyDescent="0.35">
      <c r="A136" s="10" t="s">
        <v>2030</v>
      </c>
      <c r="B136" s="28">
        <v>5</v>
      </c>
      <c r="C136" s="12">
        <v>72689.489999999991</v>
      </c>
      <c r="D136" s="12">
        <v>22739.840000000004</v>
      </c>
    </row>
    <row r="137" spans="1:4" x14ac:dyDescent="0.35">
      <c r="A137" s="10" t="s">
        <v>2031</v>
      </c>
      <c r="B137" s="28">
        <v>2</v>
      </c>
      <c r="C137" s="12">
        <v>31324.239999999998</v>
      </c>
      <c r="D137" s="12">
        <v>5963.6600000000008</v>
      </c>
    </row>
    <row r="138" spans="1:4" x14ac:dyDescent="0.35">
      <c r="A138" s="10" t="s">
        <v>2032</v>
      </c>
      <c r="B138" s="28">
        <v>2</v>
      </c>
      <c r="C138" s="12">
        <v>60043.31</v>
      </c>
      <c r="D138" s="12">
        <v>21375.38</v>
      </c>
    </row>
    <row r="139" spans="1:4" x14ac:dyDescent="0.35">
      <c r="A139" s="10" t="s">
        <v>2033</v>
      </c>
      <c r="B139" s="28">
        <v>2</v>
      </c>
      <c r="C139" s="12">
        <v>20087.04</v>
      </c>
      <c r="D139" s="12">
        <v>4906.1100000000006</v>
      </c>
    </row>
    <row r="140" spans="1:4" x14ac:dyDescent="0.35">
      <c r="A140" s="10" t="s">
        <v>2034</v>
      </c>
      <c r="B140" s="28">
        <v>5</v>
      </c>
      <c r="C140" s="12">
        <v>58567.73</v>
      </c>
      <c r="D140" s="12">
        <v>16897.990000000002</v>
      </c>
    </row>
    <row r="141" spans="1:4" x14ac:dyDescent="0.35">
      <c r="A141" s="10" t="s">
        <v>2035</v>
      </c>
      <c r="B141" s="28">
        <v>2</v>
      </c>
      <c r="C141" s="12">
        <v>27175.25</v>
      </c>
      <c r="D141" s="12">
        <v>4093.22</v>
      </c>
    </row>
    <row r="142" spans="1:4" x14ac:dyDescent="0.35">
      <c r="A142" s="10" t="s">
        <v>2036</v>
      </c>
      <c r="B142" s="28">
        <v>5</v>
      </c>
      <c r="C142" s="12">
        <v>35427</v>
      </c>
      <c r="D142" s="12">
        <v>11256.82</v>
      </c>
    </row>
    <row r="143" spans="1:4" x14ac:dyDescent="0.35">
      <c r="A143" s="10" t="s">
        <v>2037</v>
      </c>
      <c r="B143" s="28">
        <v>8</v>
      </c>
      <c r="C143" s="12">
        <v>149970.01</v>
      </c>
      <c r="D143" s="12">
        <v>46949.11</v>
      </c>
    </row>
    <row r="144" spans="1:4" x14ac:dyDescent="0.35">
      <c r="A144" s="10" t="s">
        <v>2038</v>
      </c>
      <c r="B144" s="28">
        <v>6</v>
      </c>
      <c r="C144" s="12">
        <v>113065.16</v>
      </c>
      <c r="D144" s="12">
        <v>29311.939999999995</v>
      </c>
    </row>
    <row r="145" spans="1:4" x14ac:dyDescent="0.35">
      <c r="A145" s="10" t="s">
        <v>2039</v>
      </c>
      <c r="B145" s="28">
        <v>4</v>
      </c>
      <c r="C145" s="12">
        <v>89737.73000000001</v>
      </c>
      <c r="D145" s="12">
        <v>21772.14</v>
      </c>
    </row>
    <row r="146" spans="1:4" x14ac:dyDescent="0.35">
      <c r="A146" s="10" t="s">
        <v>2040</v>
      </c>
      <c r="B146" s="28">
        <v>7</v>
      </c>
      <c r="C146" s="12">
        <v>163041.86000000002</v>
      </c>
      <c r="D146" s="12">
        <v>54459.25</v>
      </c>
    </row>
    <row r="147" spans="1:4" x14ac:dyDescent="0.35">
      <c r="A147" s="10" t="s">
        <v>2041</v>
      </c>
      <c r="B147" s="28">
        <v>6</v>
      </c>
      <c r="C147" s="12">
        <v>44766.12</v>
      </c>
      <c r="D147" s="12">
        <v>8594.81</v>
      </c>
    </row>
    <row r="148" spans="1:4" x14ac:dyDescent="0.35">
      <c r="A148" s="10" t="s">
        <v>2042</v>
      </c>
      <c r="B148" s="28">
        <v>4</v>
      </c>
      <c r="C148" s="12">
        <v>24492.1</v>
      </c>
      <c r="D148" s="12">
        <v>5955.369999999999</v>
      </c>
    </row>
    <row r="149" spans="1:4" x14ac:dyDescent="0.35">
      <c r="A149" s="10" t="s">
        <v>2043</v>
      </c>
      <c r="B149" s="28">
        <v>4</v>
      </c>
      <c r="C149" s="12">
        <v>31344.21</v>
      </c>
      <c r="D149" s="12">
        <v>8275.85</v>
      </c>
    </row>
    <row r="150" spans="1:4" x14ac:dyDescent="0.35">
      <c r="A150" s="10" t="s">
        <v>2044</v>
      </c>
      <c r="B150" s="28">
        <v>6</v>
      </c>
      <c r="C150" s="12">
        <v>80526.950000000012</v>
      </c>
      <c r="D150" s="12">
        <v>24103.010000000002</v>
      </c>
    </row>
    <row r="151" spans="1:4" x14ac:dyDescent="0.35">
      <c r="A151" s="10" t="s">
        <v>2045</v>
      </c>
      <c r="B151" s="28">
        <v>9</v>
      </c>
      <c r="C151" s="12">
        <v>166822.42000000001</v>
      </c>
      <c r="D151" s="12">
        <v>49618.67</v>
      </c>
    </row>
    <row r="152" spans="1:4" x14ac:dyDescent="0.35">
      <c r="A152" s="10" t="s">
        <v>2046</v>
      </c>
      <c r="B152" s="28">
        <v>4</v>
      </c>
      <c r="C152" s="12">
        <v>29015.78</v>
      </c>
      <c r="D152" s="12">
        <v>7207.0300000000007</v>
      </c>
    </row>
    <row r="153" spans="1:4" x14ac:dyDescent="0.35">
      <c r="A153" s="10" t="s">
        <v>2047</v>
      </c>
      <c r="B153" s="28">
        <v>7</v>
      </c>
      <c r="C153" s="12">
        <v>148017.77000000002</v>
      </c>
      <c r="D153" s="12">
        <v>40309.07</v>
      </c>
    </row>
    <row r="154" spans="1:4" x14ac:dyDescent="0.35">
      <c r="A154" s="10" t="s">
        <v>2048</v>
      </c>
      <c r="B154" s="28">
        <v>2</v>
      </c>
      <c r="C154" s="12">
        <v>49177.36</v>
      </c>
      <c r="D154" s="12">
        <v>14487.5</v>
      </c>
    </row>
    <row r="155" spans="1:4" x14ac:dyDescent="0.35">
      <c r="A155" s="10" t="s">
        <v>2049</v>
      </c>
      <c r="B155" s="28">
        <v>2</v>
      </c>
      <c r="C155" s="12">
        <v>15881.380000000001</v>
      </c>
      <c r="D155" s="12">
        <v>5590.05</v>
      </c>
    </row>
    <row r="156" spans="1:4" x14ac:dyDescent="0.35">
      <c r="A156" s="10" t="s">
        <v>2050</v>
      </c>
      <c r="B156" s="28">
        <v>5</v>
      </c>
      <c r="C156" s="12">
        <v>23768.239999999998</v>
      </c>
      <c r="D156" s="12">
        <v>7345.5800000000008</v>
      </c>
    </row>
    <row r="157" spans="1:4" x14ac:dyDescent="0.35">
      <c r="A157" s="10" t="s">
        <v>2051</v>
      </c>
      <c r="B157" s="28">
        <v>5</v>
      </c>
      <c r="C157" s="12">
        <v>142178.46</v>
      </c>
      <c r="D157" s="12">
        <v>41903.269999999997</v>
      </c>
    </row>
    <row r="158" spans="1:4" x14ac:dyDescent="0.35">
      <c r="A158" s="10" t="s">
        <v>2052</v>
      </c>
      <c r="B158" s="28">
        <v>2</v>
      </c>
      <c r="C158" s="12">
        <v>34318.270000000004</v>
      </c>
      <c r="D158" s="12">
        <v>7724.74</v>
      </c>
    </row>
    <row r="159" spans="1:4" x14ac:dyDescent="0.35">
      <c r="A159" s="10" t="s">
        <v>2053</v>
      </c>
      <c r="B159" s="28">
        <v>7</v>
      </c>
      <c r="C159" s="12">
        <v>120249.82</v>
      </c>
      <c r="D159" s="12">
        <v>32247.010000000002</v>
      </c>
    </row>
    <row r="160" spans="1:4" x14ac:dyDescent="0.35">
      <c r="A160" s="10" t="s">
        <v>2054</v>
      </c>
      <c r="B160" s="28">
        <v>8</v>
      </c>
      <c r="C160" s="12">
        <v>167774.76</v>
      </c>
      <c r="D160" s="12">
        <v>61528.38</v>
      </c>
    </row>
    <row r="161" spans="1:4" x14ac:dyDescent="0.35">
      <c r="A161" s="10" t="s">
        <v>2055</v>
      </c>
      <c r="B161" s="28">
        <v>3</v>
      </c>
      <c r="C161" s="12">
        <v>24283.82</v>
      </c>
      <c r="D161" s="12">
        <v>6050.5400000000009</v>
      </c>
    </row>
    <row r="162" spans="1:4" x14ac:dyDescent="0.35">
      <c r="A162" s="10" t="s">
        <v>2056</v>
      </c>
      <c r="B162" s="28">
        <v>4</v>
      </c>
      <c r="C162" s="12">
        <v>89284.37000000001</v>
      </c>
      <c r="D162" s="12">
        <v>35762.869999999995</v>
      </c>
    </row>
    <row r="163" spans="1:4" x14ac:dyDescent="0.35">
      <c r="A163" s="10" t="s">
        <v>2057</v>
      </c>
      <c r="B163" s="28">
        <v>4</v>
      </c>
      <c r="C163" s="12">
        <v>71519.460000000006</v>
      </c>
      <c r="D163" s="12">
        <v>19632.689999999999</v>
      </c>
    </row>
    <row r="164" spans="1:4" x14ac:dyDescent="0.35">
      <c r="A164" s="10" t="s">
        <v>2058</v>
      </c>
      <c r="B164" s="28">
        <v>6</v>
      </c>
      <c r="C164" s="12">
        <v>124753.95999999999</v>
      </c>
      <c r="D164" s="12">
        <v>33908.9</v>
      </c>
    </row>
    <row r="165" spans="1:4" x14ac:dyDescent="0.35">
      <c r="A165" s="10" t="s">
        <v>2059</v>
      </c>
      <c r="B165" s="28">
        <v>2</v>
      </c>
      <c r="C165" s="12">
        <v>29057.119999999999</v>
      </c>
      <c r="D165" s="12">
        <v>5053.33</v>
      </c>
    </row>
    <row r="166" spans="1:4" x14ac:dyDescent="0.35">
      <c r="A166" s="10" t="s">
        <v>2060</v>
      </c>
      <c r="B166" s="28">
        <v>2</v>
      </c>
      <c r="C166" s="12">
        <v>43208.69</v>
      </c>
      <c r="D166" s="12">
        <v>8071.44</v>
      </c>
    </row>
    <row r="167" spans="1:4" x14ac:dyDescent="0.35">
      <c r="A167" s="10" t="s">
        <v>2061</v>
      </c>
      <c r="B167" s="28">
        <v>4</v>
      </c>
      <c r="C167" s="12">
        <v>39883.57</v>
      </c>
      <c r="D167" s="12">
        <v>10573.86</v>
      </c>
    </row>
    <row r="168" spans="1:4" x14ac:dyDescent="0.35">
      <c r="A168" s="10" t="s">
        <v>2062</v>
      </c>
      <c r="B168" s="28">
        <v>1</v>
      </c>
      <c r="C168" s="12">
        <v>6979.56</v>
      </c>
      <c r="D168" s="12">
        <v>1406.87</v>
      </c>
    </row>
    <row r="169" spans="1:4" x14ac:dyDescent="0.35">
      <c r="A169" s="10" t="s">
        <v>2063</v>
      </c>
      <c r="B169" s="28">
        <v>7</v>
      </c>
      <c r="C169" s="12">
        <v>45207.329999999994</v>
      </c>
      <c r="D169" s="12">
        <v>8486.7099999999991</v>
      </c>
    </row>
    <row r="170" spans="1:4" x14ac:dyDescent="0.35">
      <c r="A170" s="10" t="s">
        <v>2064</v>
      </c>
      <c r="B170" s="28">
        <v>3</v>
      </c>
      <c r="C170" s="12">
        <v>104513.10999999999</v>
      </c>
      <c r="D170" s="12">
        <v>28923.120000000003</v>
      </c>
    </row>
    <row r="171" spans="1:4" x14ac:dyDescent="0.35">
      <c r="A171" s="10" t="s">
        <v>2065</v>
      </c>
      <c r="B171" s="28">
        <v>6</v>
      </c>
      <c r="C171" s="12">
        <v>124621.18000000001</v>
      </c>
      <c r="D171" s="12">
        <v>36898.520000000004</v>
      </c>
    </row>
    <row r="172" spans="1:4" x14ac:dyDescent="0.35">
      <c r="A172" s="10" t="s">
        <v>2066</v>
      </c>
      <c r="B172" s="28">
        <v>8</v>
      </c>
      <c r="C172" s="12">
        <v>109539.38</v>
      </c>
      <c r="D172" s="12">
        <v>39768.71</v>
      </c>
    </row>
    <row r="173" spans="1:4" x14ac:dyDescent="0.35">
      <c r="A173" s="10" t="s">
        <v>2067</v>
      </c>
      <c r="B173" s="28">
        <v>2</v>
      </c>
      <c r="C173" s="12">
        <v>38396.409999999996</v>
      </c>
      <c r="D173" s="12">
        <v>10225.719999999999</v>
      </c>
    </row>
    <row r="174" spans="1:4" x14ac:dyDescent="0.35">
      <c r="A174" s="10" t="s">
        <v>2068</v>
      </c>
      <c r="B174" s="28">
        <v>2</v>
      </c>
      <c r="C174" s="12">
        <v>50909.58</v>
      </c>
      <c r="D174" s="12">
        <v>13927.11</v>
      </c>
    </row>
    <row r="175" spans="1:4" x14ac:dyDescent="0.35">
      <c r="A175" s="10" t="s">
        <v>2069</v>
      </c>
      <c r="B175" s="28">
        <v>3</v>
      </c>
      <c r="C175" s="12">
        <v>17538.45</v>
      </c>
      <c r="D175" s="12">
        <v>3161.5299999999997</v>
      </c>
    </row>
    <row r="176" spans="1:4" x14ac:dyDescent="0.35">
      <c r="A176" s="10" t="s">
        <v>2070</v>
      </c>
      <c r="B176" s="28">
        <v>6</v>
      </c>
      <c r="C176" s="12">
        <v>83880.259999999995</v>
      </c>
      <c r="D176" s="12">
        <v>20382.759999999998</v>
      </c>
    </row>
    <row r="177" spans="1:4" x14ac:dyDescent="0.35">
      <c r="A177" s="10" t="s">
        <v>2071</v>
      </c>
      <c r="B177" s="28">
        <v>4</v>
      </c>
      <c r="C177" s="12">
        <v>31998.98</v>
      </c>
      <c r="D177" s="12">
        <v>6870.5300000000007</v>
      </c>
    </row>
    <row r="178" spans="1:4" x14ac:dyDescent="0.35">
      <c r="A178" s="10" t="s">
        <v>2072</v>
      </c>
      <c r="B178" s="28">
        <v>5</v>
      </c>
      <c r="C178" s="12">
        <v>131487.29999999999</v>
      </c>
      <c r="D178" s="12">
        <v>32614.36</v>
      </c>
    </row>
    <row r="179" spans="1:4" x14ac:dyDescent="0.35">
      <c r="A179" s="10" t="s">
        <v>2073</v>
      </c>
      <c r="B179" s="28">
        <v>6</v>
      </c>
      <c r="C179" s="12">
        <v>59680.209999999992</v>
      </c>
      <c r="D179" s="12">
        <v>14933.06</v>
      </c>
    </row>
    <row r="180" spans="1:4" x14ac:dyDescent="0.35">
      <c r="A180" s="10" t="s">
        <v>2074</v>
      </c>
      <c r="B180" s="28">
        <v>3</v>
      </c>
      <c r="C180" s="12">
        <v>65735.28</v>
      </c>
      <c r="D180" s="12">
        <v>25723.370000000003</v>
      </c>
    </row>
    <row r="181" spans="1:4" x14ac:dyDescent="0.35">
      <c r="A181" s="10" t="s">
        <v>2075</v>
      </c>
      <c r="B181" s="28">
        <v>4</v>
      </c>
      <c r="C181" s="12">
        <v>70186.63</v>
      </c>
      <c r="D181" s="12">
        <v>18179.400000000001</v>
      </c>
    </row>
    <row r="182" spans="1:4" x14ac:dyDescent="0.35">
      <c r="A182" s="10" t="s">
        <v>2076</v>
      </c>
      <c r="B182" s="28">
        <v>3</v>
      </c>
      <c r="C182" s="12">
        <v>50182.53</v>
      </c>
      <c r="D182" s="12">
        <v>12219.63</v>
      </c>
    </row>
    <row r="183" spans="1:4" x14ac:dyDescent="0.35">
      <c r="A183" s="10" t="s">
        <v>2077</v>
      </c>
      <c r="B183" s="28">
        <v>4</v>
      </c>
      <c r="C183" s="12">
        <v>65371.94</v>
      </c>
      <c r="D183" s="12">
        <v>13834.5</v>
      </c>
    </row>
    <row r="184" spans="1:4" x14ac:dyDescent="0.35">
      <c r="A184" s="10" t="s">
        <v>2078</v>
      </c>
      <c r="B184" s="28">
        <v>1</v>
      </c>
      <c r="C184" s="12">
        <v>28822.75</v>
      </c>
      <c r="D184" s="12">
        <v>11370.11</v>
      </c>
    </row>
    <row r="185" spans="1:4" x14ac:dyDescent="0.35">
      <c r="A185" s="10" t="s">
        <v>2079</v>
      </c>
      <c r="B185" s="28">
        <v>3</v>
      </c>
      <c r="C185" s="12">
        <v>91632.25</v>
      </c>
      <c r="D185" s="12">
        <v>25523.71</v>
      </c>
    </row>
    <row r="186" spans="1:4" x14ac:dyDescent="0.35">
      <c r="A186" s="10" t="s">
        <v>2080</v>
      </c>
      <c r="B186" s="28">
        <v>6</v>
      </c>
      <c r="C186" s="12">
        <v>87159.81</v>
      </c>
      <c r="D186" s="12">
        <v>21717.300000000003</v>
      </c>
    </row>
    <row r="187" spans="1:4" x14ac:dyDescent="0.35">
      <c r="A187" s="10" t="s">
        <v>2081</v>
      </c>
      <c r="B187" s="28">
        <v>5</v>
      </c>
      <c r="C187" s="12">
        <v>131901.41</v>
      </c>
      <c r="D187" s="12">
        <v>37603.300000000003</v>
      </c>
    </row>
    <row r="188" spans="1:4" x14ac:dyDescent="0.35">
      <c r="A188" s="10" t="s">
        <v>2082</v>
      </c>
      <c r="B188" s="28">
        <v>3</v>
      </c>
      <c r="C188" s="12">
        <v>23902.91</v>
      </c>
      <c r="D188" s="12">
        <v>8646.1400000000012</v>
      </c>
    </row>
    <row r="189" spans="1:4" x14ac:dyDescent="0.35">
      <c r="A189" s="10" t="s">
        <v>2083</v>
      </c>
      <c r="B189" s="28">
        <v>7</v>
      </c>
      <c r="C189" s="12">
        <v>84898.659999999989</v>
      </c>
      <c r="D189" s="12">
        <v>17826.29</v>
      </c>
    </row>
    <row r="190" spans="1:4" x14ac:dyDescent="0.35">
      <c r="A190" s="10" t="s">
        <v>2084</v>
      </c>
      <c r="B190" s="28">
        <v>3</v>
      </c>
      <c r="C190" s="12">
        <v>22432.55</v>
      </c>
      <c r="D190" s="12">
        <v>7164.380000000001</v>
      </c>
    </row>
    <row r="191" spans="1:4" x14ac:dyDescent="0.35">
      <c r="A191" s="10" t="s">
        <v>2085</v>
      </c>
      <c r="B191" s="28">
        <v>7</v>
      </c>
      <c r="C191" s="12">
        <v>77468.23</v>
      </c>
      <c r="D191" s="12">
        <v>19236.79</v>
      </c>
    </row>
    <row r="192" spans="1:4" x14ac:dyDescent="0.35">
      <c r="A192" s="10" t="s">
        <v>2086</v>
      </c>
      <c r="B192" s="28">
        <v>1</v>
      </c>
      <c r="C192" s="12">
        <v>36179.22</v>
      </c>
      <c r="D192" s="12">
        <v>7512.49</v>
      </c>
    </row>
    <row r="193" spans="1:4" x14ac:dyDescent="0.35">
      <c r="A193" s="10" t="s">
        <v>2087</v>
      </c>
      <c r="B193" s="28">
        <v>4</v>
      </c>
      <c r="C193" s="12">
        <v>49356.08</v>
      </c>
      <c r="D193" s="12">
        <v>16401.829999999998</v>
      </c>
    </row>
    <row r="194" spans="1:4" x14ac:dyDescent="0.35">
      <c r="A194" s="10" t="s">
        <v>2088</v>
      </c>
      <c r="B194" s="28">
        <v>4</v>
      </c>
      <c r="C194" s="12">
        <v>46435.85</v>
      </c>
      <c r="D194" s="12">
        <v>14114.57</v>
      </c>
    </row>
    <row r="195" spans="1:4" x14ac:dyDescent="0.35">
      <c r="A195" s="10" t="s">
        <v>2089</v>
      </c>
      <c r="B195" s="28">
        <v>3</v>
      </c>
      <c r="C195" s="12">
        <v>26107.14</v>
      </c>
      <c r="D195" s="12">
        <v>7873.36</v>
      </c>
    </row>
    <row r="196" spans="1:4" x14ac:dyDescent="0.35">
      <c r="A196" s="10" t="s">
        <v>2090</v>
      </c>
      <c r="B196" s="28">
        <v>3</v>
      </c>
      <c r="C196" s="12">
        <v>36750.18</v>
      </c>
      <c r="D196" s="12">
        <v>11799.250000000002</v>
      </c>
    </row>
    <row r="197" spans="1:4" x14ac:dyDescent="0.35">
      <c r="A197" s="10" t="s">
        <v>2091</v>
      </c>
      <c r="B197" s="28">
        <v>7</v>
      </c>
      <c r="C197" s="12">
        <v>89426.61</v>
      </c>
      <c r="D197" s="12">
        <v>29083.99</v>
      </c>
    </row>
    <row r="198" spans="1:4" x14ac:dyDescent="0.35">
      <c r="A198" s="10" t="s">
        <v>2092</v>
      </c>
      <c r="B198" s="28">
        <v>2</v>
      </c>
      <c r="C198" s="12">
        <v>66457.59</v>
      </c>
      <c r="D198" s="12">
        <v>25165.95</v>
      </c>
    </row>
    <row r="199" spans="1:4" x14ac:dyDescent="0.35">
      <c r="A199" s="10" t="s">
        <v>2093</v>
      </c>
      <c r="B199" s="28">
        <v>2</v>
      </c>
      <c r="C199" s="12">
        <v>23356.35</v>
      </c>
      <c r="D199" s="12">
        <v>5215.43</v>
      </c>
    </row>
    <row r="200" spans="1:4" x14ac:dyDescent="0.35">
      <c r="A200" s="10" t="s">
        <v>2094</v>
      </c>
      <c r="B200" s="28">
        <v>6</v>
      </c>
      <c r="C200" s="12">
        <v>62983.590000000004</v>
      </c>
      <c r="D200" s="12">
        <v>16704.48</v>
      </c>
    </row>
    <row r="201" spans="1:4" x14ac:dyDescent="0.35">
      <c r="A201" s="10" t="s">
        <v>2095</v>
      </c>
      <c r="B201" s="28">
        <v>6</v>
      </c>
      <c r="C201" s="12">
        <v>84315.44</v>
      </c>
      <c r="D201" s="12">
        <v>34596.75</v>
      </c>
    </row>
    <row r="202" spans="1:4" x14ac:dyDescent="0.35">
      <c r="A202" s="10" t="s">
        <v>2096</v>
      </c>
      <c r="B202" s="28">
        <v>3</v>
      </c>
      <c r="C202" s="12">
        <v>22689.97</v>
      </c>
      <c r="D202" s="12">
        <v>8138.619999999999</v>
      </c>
    </row>
    <row r="203" spans="1:4" x14ac:dyDescent="0.35">
      <c r="A203" s="10" t="s">
        <v>2097</v>
      </c>
      <c r="B203" s="28">
        <v>1</v>
      </c>
      <c r="C203" s="12">
        <v>35516.74</v>
      </c>
      <c r="D203" s="12">
        <v>6914.98</v>
      </c>
    </row>
    <row r="204" spans="1:4" x14ac:dyDescent="0.35">
      <c r="A204" s="10" t="s">
        <v>2098</v>
      </c>
      <c r="B204" s="28">
        <v>2</v>
      </c>
      <c r="C204" s="12">
        <v>17099.91</v>
      </c>
      <c r="D204" s="12">
        <v>3876.0499999999997</v>
      </c>
    </row>
    <row r="205" spans="1:4" x14ac:dyDescent="0.35">
      <c r="A205" s="10" t="s">
        <v>2099</v>
      </c>
      <c r="B205" s="28">
        <v>2</v>
      </c>
      <c r="C205" s="12">
        <v>17489.599999999999</v>
      </c>
      <c r="D205" s="12">
        <v>4495.16</v>
      </c>
    </row>
    <row r="206" spans="1:4" x14ac:dyDescent="0.35">
      <c r="A206" s="10" t="s">
        <v>2100</v>
      </c>
      <c r="B206" s="28">
        <v>3</v>
      </c>
      <c r="C206" s="12">
        <v>54893.2</v>
      </c>
      <c r="D206" s="12">
        <v>16060.75</v>
      </c>
    </row>
    <row r="207" spans="1:4" x14ac:dyDescent="0.35">
      <c r="A207" s="10" t="s">
        <v>2101</v>
      </c>
      <c r="B207" s="28">
        <v>3</v>
      </c>
      <c r="C207" s="12">
        <v>32420.15</v>
      </c>
      <c r="D207" s="12">
        <v>11439.04</v>
      </c>
    </row>
    <row r="208" spans="1:4" x14ac:dyDescent="0.35">
      <c r="A208" s="10" t="s">
        <v>2102</v>
      </c>
      <c r="B208" s="28">
        <v>2</v>
      </c>
      <c r="C208" s="12">
        <v>24078.59</v>
      </c>
      <c r="D208" s="12">
        <v>3020.29</v>
      </c>
    </row>
    <row r="209" spans="1:4" x14ac:dyDescent="0.35">
      <c r="A209" s="10" t="s">
        <v>2103</v>
      </c>
      <c r="B209" s="28">
        <v>3</v>
      </c>
      <c r="C209" s="12">
        <v>68405.66</v>
      </c>
      <c r="D209" s="12">
        <v>22529.15</v>
      </c>
    </row>
    <row r="210" spans="1:4" x14ac:dyDescent="0.35">
      <c r="A210" s="10" t="s">
        <v>2104</v>
      </c>
      <c r="B210" s="28">
        <v>1</v>
      </c>
      <c r="C210" s="12">
        <v>220.77</v>
      </c>
      <c r="D210" s="12">
        <v>58.93</v>
      </c>
    </row>
    <row r="211" spans="1:4" x14ac:dyDescent="0.35">
      <c r="A211" s="10" t="s">
        <v>2105</v>
      </c>
      <c r="B211" s="28">
        <v>3</v>
      </c>
      <c r="C211" s="12">
        <v>50214.8</v>
      </c>
      <c r="D211" s="12">
        <v>9789.92</v>
      </c>
    </row>
    <row r="212" spans="1:4" x14ac:dyDescent="0.35">
      <c r="A212" s="10" t="s">
        <v>2106</v>
      </c>
      <c r="B212" s="28">
        <v>3</v>
      </c>
      <c r="C212" s="12">
        <v>28742.32</v>
      </c>
      <c r="D212" s="12">
        <v>7423.25</v>
      </c>
    </row>
    <row r="213" spans="1:4" x14ac:dyDescent="0.35">
      <c r="A213" s="10" t="s">
        <v>2107</v>
      </c>
      <c r="B213" s="28">
        <v>4</v>
      </c>
      <c r="C213" s="12">
        <v>93726.78</v>
      </c>
      <c r="D213" s="12">
        <v>31568.91</v>
      </c>
    </row>
    <row r="214" spans="1:4" x14ac:dyDescent="0.35">
      <c r="A214" s="10" t="s">
        <v>2108</v>
      </c>
      <c r="B214" s="28">
        <v>10</v>
      </c>
      <c r="C214" s="12">
        <v>170700.62000000002</v>
      </c>
      <c r="D214" s="12">
        <v>52102.330000000009</v>
      </c>
    </row>
    <row r="215" spans="1:4" x14ac:dyDescent="0.35">
      <c r="A215" s="10" t="s">
        <v>2109</v>
      </c>
      <c r="B215" s="28">
        <v>4</v>
      </c>
      <c r="C215" s="12">
        <v>36903.31</v>
      </c>
      <c r="D215" s="12">
        <v>9796.02</v>
      </c>
    </row>
    <row r="216" spans="1:4" x14ac:dyDescent="0.35">
      <c r="A216" s="10" t="s">
        <v>2110</v>
      </c>
      <c r="B216" s="28">
        <v>7</v>
      </c>
      <c r="C216" s="12">
        <v>131235.81</v>
      </c>
      <c r="D216" s="12">
        <v>35985.000000000007</v>
      </c>
    </row>
    <row r="217" spans="1:4" x14ac:dyDescent="0.35">
      <c r="A217" s="10" t="s">
        <v>2111</v>
      </c>
      <c r="B217" s="28">
        <v>6</v>
      </c>
      <c r="C217" s="12">
        <v>146074.65000000002</v>
      </c>
      <c r="D217" s="12">
        <v>43670.74</v>
      </c>
    </row>
    <row r="218" spans="1:4" x14ac:dyDescent="0.35">
      <c r="A218" s="10" t="s">
        <v>2112</v>
      </c>
      <c r="B218" s="28">
        <v>1</v>
      </c>
      <c r="C218" s="12">
        <v>3102.98</v>
      </c>
      <c r="D218" s="12">
        <v>650.49</v>
      </c>
    </row>
    <row r="219" spans="1:4" x14ac:dyDescent="0.35">
      <c r="A219" s="10" t="s">
        <v>2113</v>
      </c>
      <c r="B219" s="28">
        <v>7</v>
      </c>
      <c r="C219" s="12">
        <v>187539.59000000003</v>
      </c>
      <c r="D219" s="12">
        <v>59723.26</v>
      </c>
    </row>
    <row r="220" spans="1:4" x14ac:dyDescent="0.35">
      <c r="A220" s="10" t="s">
        <v>2114</v>
      </c>
      <c r="B220" s="28">
        <v>1</v>
      </c>
      <c r="C220" s="12">
        <v>8009.63</v>
      </c>
      <c r="D220" s="12">
        <v>3106.44</v>
      </c>
    </row>
    <row r="221" spans="1:4" x14ac:dyDescent="0.35">
      <c r="A221" s="10" t="s">
        <v>2115</v>
      </c>
      <c r="B221" s="28">
        <v>5</v>
      </c>
      <c r="C221" s="12">
        <v>59685.549999999996</v>
      </c>
      <c r="D221" s="12">
        <v>16763.41</v>
      </c>
    </row>
    <row r="222" spans="1:4" x14ac:dyDescent="0.35">
      <c r="A222" s="10" t="s">
        <v>2116</v>
      </c>
      <c r="B222" s="28">
        <v>7</v>
      </c>
      <c r="C222" s="12">
        <v>61520.81</v>
      </c>
      <c r="D222" s="12">
        <v>18042.670000000002</v>
      </c>
    </row>
    <row r="223" spans="1:4" x14ac:dyDescent="0.35">
      <c r="A223" s="10" t="s">
        <v>2117</v>
      </c>
      <c r="B223" s="28">
        <v>6</v>
      </c>
      <c r="C223" s="12">
        <v>56692.97</v>
      </c>
      <c r="D223" s="12">
        <v>17011.09</v>
      </c>
    </row>
    <row r="224" spans="1:4" x14ac:dyDescent="0.35">
      <c r="A224" s="10" t="s">
        <v>2118</v>
      </c>
      <c r="B224" s="28">
        <v>5</v>
      </c>
      <c r="C224" s="12">
        <v>100911.74</v>
      </c>
      <c r="D224" s="12">
        <v>25659.51</v>
      </c>
    </row>
    <row r="225" spans="1:4" x14ac:dyDescent="0.35">
      <c r="A225" s="10" t="s">
        <v>2119</v>
      </c>
      <c r="B225" s="28">
        <v>4</v>
      </c>
      <c r="C225" s="12">
        <v>83012.44</v>
      </c>
      <c r="D225" s="12">
        <v>24007.670000000002</v>
      </c>
    </row>
    <row r="226" spans="1:4" x14ac:dyDescent="0.35">
      <c r="A226" s="10" t="s">
        <v>2120</v>
      </c>
      <c r="B226" s="28">
        <v>8</v>
      </c>
      <c r="C226" s="12">
        <v>161615.18</v>
      </c>
      <c r="D226" s="12">
        <v>44390.16</v>
      </c>
    </row>
    <row r="227" spans="1:4" x14ac:dyDescent="0.35">
      <c r="A227" s="10" t="s">
        <v>2121</v>
      </c>
      <c r="B227" s="28">
        <v>3</v>
      </c>
      <c r="C227" s="12">
        <v>58091.56</v>
      </c>
      <c r="D227" s="12">
        <v>19127.89</v>
      </c>
    </row>
    <row r="228" spans="1:4" x14ac:dyDescent="0.35">
      <c r="A228" s="10" t="s">
        <v>2122</v>
      </c>
      <c r="B228" s="28">
        <v>8</v>
      </c>
      <c r="C228" s="12">
        <v>145761.12</v>
      </c>
      <c r="D228" s="12">
        <v>35973.550000000003</v>
      </c>
    </row>
    <row r="229" spans="1:4" x14ac:dyDescent="0.35">
      <c r="A229" s="10" t="s">
        <v>2123</v>
      </c>
      <c r="B229" s="28">
        <v>2</v>
      </c>
      <c r="C229" s="12">
        <v>13057.46</v>
      </c>
      <c r="D229" s="12">
        <v>4853.9000000000005</v>
      </c>
    </row>
    <row r="230" spans="1:4" x14ac:dyDescent="0.35">
      <c r="A230" s="10" t="s">
        <v>2124</v>
      </c>
      <c r="B230" s="28">
        <v>6</v>
      </c>
      <c r="C230" s="12">
        <v>142329.44</v>
      </c>
      <c r="D230" s="12">
        <v>26974.66</v>
      </c>
    </row>
    <row r="231" spans="1:4" x14ac:dyDescent="0.35">
      <c r="A231" s="10" t="s">
        <v>2125</v>
      </c>
      <c r="B231" s="28">
        <v>1</v>
      </c>
      <c r="C231" s="12">
        <v>12106.4</v>
      </c>
      <c r="D231" s="12">
        <v>2244.81</v>
      </c>
    </row>
    <row r="232" spans="1:4" x14ac:dyDescent="0.35">
      <c r="A232" s="10" t="s">
        <v>2126</v>
      </c>
      <c r="B232" s="28">
        <v>8</v>
      </c>
      <c r="C232" s="12">
        <v>66614.47</v>
      </c>
      <c r="D232" s="12">
        <v>20239.28</v>
      </c>
    </row>
    <row r="233" spans="1:4" x14ac:dyDescent="0.35">
      <c r="A233" s="10" t="s">
        <v>2127</v>
      </c>
      <c r="B233" s="28">
        <v>2</v>
      </c>
      <c r="C233" s="12">
        <v>26787.600000000002</v>
      </c>
      <c r="D233" s="12">
        <v>4915.17</v>
      </c>
    </row>
    <row r="234" spans="1:4" x14ac:dyDescent="0.35">
      <c r="A234" s="10" t="s">
        <v>2128</v>
      </c>
      <c r="B234" s="28">
        <v>3</v>
      </c>
      <c r="C234" s="12">
        <v>41888.699999999997</v>
      </c>
      <c r="D234" s="12">
        <v>16095.93</v>
      </c>
    </row>
    <row r="235" spans="1:4" x14ac:dyDescent="0.35">
      <c r="A235" s="10" t="s">
        <v>2129</v>
      </c>
      <c r="B235" s="28">
        <v>4</v>
      </c>
      <c r="C235" s="12">
        <v>25547.41</v>
      </c>
      <c r="D235" s="12">
        <v>9559.6299999999992</v>
      </c>
    </row>
    <row r="236" spans="1:4" x14ac:dyDescent="0.35">
      <c r="A236" s="10" t="s">
        <v>2130</v>
      </c>
      <c r="B236" s="28">
        <v>6</v>
      </c>
      <c r="C236" s="12">
        <v>77258.06</v>
      </c>
      <c r="D236" s="12">
        <v>20534.229999999996</v>
      </c>
    </row>
    <row r="237" spans="1:4" x14ac:dyDescent="0.35">
      <c r="A237" s="10" t="s">
        <v>2131</v>
      </c>
      <c r="B237" s="28">
        <v>3</v>
      </c>
      <c r="C237" s="12">
        <v>49572.770000000004</v>
      </c>
      <c r="D237" s="12">
        <v>16455.64</v>
      </c>
    </row>
    <row r="238" spans="1:4" x14ac:dyDescent="0.35">
      <c r="A238" s="10" t="s">
        <v>2132</v>
      </c>
      <c r="B238" s="28">
        <v>7</v>
      </c>
      <c r="C238" s="12">
        <v>136886.1</v>
      </c>
      <c r="D238" s="12">
        <v>37057.780000000006</v>
      </c>
    </row>
    <row r="239" spans="1:4" x14ac:dyDescent="0.35">
      <c r="A239" s="10" t="s">
        <v>2133</v>
      </c>
      <c r="B239" s="28">
        <v>3</v>
      </c>
      <c r="C239" s="12">
        <v>17020.45</v>
      </c>
      <c r="D239" s="12">
        <v>5621.89</v>
      </c>
    </row>
    <row r="240" spans="1:4" x14ac:dyDescent="0.35">
      <c r="A240" s="10" t="s">
        <v>2134</v>
      </c>
      <c r="B240" s="28">
        <v>1</v>
      </c>
      <c r="C240" s="12">
        <v>17457.48</v>
      </c>
      <c r="D240" s="12">
        <v>4104.46</v>
      </c>
    </row>
    <row r="241" spans="1:4" x14ac:dyDescent="0.35">
      <c r="A241" s="10" t="s">
        <v>2135</v>
      </c>
      <c r="B241" s="28">
        <v>4</v>
      </c>
      <c r="C241" s="12">
        <v>78066.959999999992</v>
      </c>
      <c r="D241" s="12">
        <v>25188.559999999998</v>
      </c>
    </row>
    <row r="242" spans="1:4" x14ac:dyDescent="0.35">
      <c r="A242" s="10" t="s">
        <v>2136</v>
      </c>
      <c r="B242" s="28">
        <v>3</v>
      </c>
      <c r="C242" s="12">
        <v>26029.119999999999</v>
      </c>
      <c r="D242" s="12">
        <v>5865.41</v>
      </c>
    </row>
    <row r="243" spans="1:4" x14ac:dyDescent="0.35">
      <c r="A243" s="10" t="s">
        <v>2137</v>
      </c>
      <c r="B243" s="28">
        <v>3</v>
      </c>
      <c r="C243" s="12">
        <v>21843.64</v>
      </c>
      <c r="D243" s="12">
        <v>4180.45</v>
      </c>
    </row>
    <row r="244" spans="1:4" x14ac:dyDescent="0.35">
      <c r="A244" s="10" t="s">
        <v>2138</v>
      </c>
      <c r="B244" s="28">
        <v>4</v>
      </c>
      <c r="C244" s="12">
        <v>71857.5</v>
      </c>
      <c r="D244" s="12">
        <v>13480.98</v>
      </c>
    </row>
    <row r="245" spans="1:4" x14ac:dyDescent="0.35">
      <c r="A245" s="10" t="s">
        <v>2139</v>
      </c>
      <c r="B245" s="28">
        <v>8</v>
      </c>
      <c r="C245" s="12">
        <v>114693.73999999999</v>
      </c>
      <c r="D245" s="12">
        <v>27916.71</v>
      </c>
    </row>
    <row r="246" spans="1:4" x14ac:dyDescent="0.35">
      <c r="A246" s="10" t="s">
        <v>2140</v>
      </c>
      <c r="B246" s="28">
        <v>5</v>
      </c>
      <c r="C246" s="12">
        <v>33536</v>
      </c>
      <c r="D246" s="12">
        <v>8880.44</v>
      </c>
    </row>
    <row r="247" spans="1:4" x14ac:dyDescent="0.35">
      <c r="A247" s="10" t="s">
        <v>2141</v>
      </c>
      <c r="B247" s="28">
        <v>5</v>
      </c>
      <c r="C247" s="12">
        <v>118471.06999999999</v>
      </c>
      <c r="D247" s="12">
        <v>28591.41</v>
      </c>
    </row>
    <row r="248" spans="1:4" x14ac:dyDescent="0.35">
      <c r="A248" s="10" t="s">
        <v>2142</v>
      </c>
      <c r="B248" s="28">
        <v>4</v>
      </c>
      <c r="C248" s="12">
        <v>69745.36</v>
      </c>
      <c r="D248" s="12">
        <v>17399.79</v>
      </c>
    </row>
    <row r="249" spans="1:4" x14ac:dyDescent="0.35">
      <c r="A249" s="10" t="s">
        <v>2143</v>
      </c>
      <c r="B249" s="28">
        <v>7</v>
      </c>
      <c r="C249" s="12">
        <v>128438.69</v>
      </c>
      <c r="D249" s="12">
        <v>44734.270000000004</v>
      </c>
    </row>
    <row r="250" spans="1:4" x14ac:dyDescent="0.35">
      <c r="A250" s="10" t="s">
        <v>2144</v>
      </c>
      <c r="B250" s="28">
        <v>6</v>
      </c>
      <c r="C250" s="12">
        <v>85137.12</v>
      </c>
      <c r="D250" s="12">
        <v>25667.479999999996</v>
      </c>
    </row>
    <row r="251" spans="1:4" x14ac:dyDescent="0.35">
      <c r="A251" s="10" t="s">
        <v>2145</v>
      </c>
      <c r="B251" s="28">
        <v>5</v>
      </c>
      <c r="C251" s="12">
        <v>46305.78</v>
      </c>
      <c r="D251" s="12">
        <v>12795.36</v>
      </c>
    </row>
    <row r="252" spans="1:4" x14ac:dyDescent="0.35">
      <c r="A252" s="10" t="s">
        <v>2146</v>
      </c>
      <c r="B252" s="28">
        <v>4</v>
      </c>
      <c r="C252" s="12">
        <v>46995.619999999995</v>
      </c>
      <c r="D252" s="12">
        <v>10973.88</v>
      </c>
    </row>
    <row r="253" spans="1:4" x14ac:dyDescent="0.35">
      <c r="A253" s="10" t="s">
        <v>2147</v>
      </c>
      <c r="B253" s="28">
        <v>3</v>
      </c>
      <c r="C253" s="12">
        <v>91099.87999999999</v>
      </c>
      <c r="D253" s="12">
        <v>22420.690000000002</v>
      </c>
    </row>
    <row r="254" spans="1:4" x14ac:dyDescent="0.35">
      <c r="A254" s="10" t="s">
        <v>2148</v>
      </c>
      <c r="B254" s="28">
        <v>6</v>
      </c>
      <c r="C254" s="12">
        <v>118857.49</v>
      </c>
      <c r="D254" s="12">
        <v>27112.920000000002</v>
      </c>
    </row>
    <row r="255" spans="1:4" x14ac:dyDescent="0.35">
      <c r="A255" s="10" t="s">
        <v>2149</v>
      </c>
      <c r="B255" s="28">
        <v>2</v>
      </c>
      <c r="C255" s="12">
        <v>5080.04</v>
      </c>
      <c r="D255" s="12">
        <v>1178.21</v>
      </c>
    </row>
    <row r="256" spans="1:4" x14ac:dyDescent="0.35">
      <c r="A256" s="10" t="s">
        <v>2150</v>
      </c>
      <c r="B256" s="28">
        <v>6</v>
      </c>
      <c r="C256" s="12">
        <v>89486.569999999992</v>
      </c>
      <c r="D256" s="12">
        <v>17087.03</v>
      </c>
    </row>
    <row r="257" spans="1:4" x14ac:dyDescent="0.35">
      <c r="A257" s="10" t="s">
        <v>2151</v>
      </c>
      <c r="B257" s="28">
        <v>2</v>
      </c>
      <c r="C257" s="12">
        <v>28987.98</v>
      </c>
      <c r="D257" s="12">
        <v>3520.4100000000003</v>
      </c>
    </row>
    <row r="258" spans="1:4" x14ac:dyDescent="0.35">
      <c r="A258" s="10" t="s">
        <v>2152</v>
      </c>
      <c r="B258" s="28">
        <v>4</v>
      </c>
      <c r="C258" s="12">
        <v>31906.229999999996</v>
      </c>
      <c r="D258" s="12">
        <v>7983.7900000000009</v>
      </c>
    </row>
    <row r="259" spans="1:4" x14ac:dyDescent="0.35">
      <c r="A259" s="10" t="s">
        <v>2153</v>
      </c>
      <c r="B259" s="28">
        <v>2</v>
      </c>
      <c r="C259" s="12">
        <v>38499.939999999995</v>
      </c>
      <c r="D259" s="12">
        <v>9941.34</v>
      </c>
    </row>
    <row r="260" spans="1:4" x14ac:dyDescent="0.35">
      <c r="A260" s="10" t="s">
        <v>2154</v>
      </c>
      <c r="B260" s="28">
        <v>2</v>
      </c>
      <c r="C260" s="12">
        <v>45033.53</v>
      </c>
      <c r="D260" s="12">
        <v>19708.32</v>
      </c>
    </row>
    <row r="261" spans="1:4" x14ac:dyDescent="0.35">
      <c r="A261" s="10" t="s">
        <v>2155</v>
      </c>
      <c r="B261" s="28">
        <v>9</v>
      </c>
      <c r="C261" s="12">
        <v>129743.58999999998</v>
      </c>
      <c r="D261" s="12">
        <v>45805.070000000007</v>
      </c>
    </row>
    <row r="262" spans="1:4" x14ac:dyDescent="0.35">
      <c r="A262" s="10" t="s">
        <v>2156</v>
      </c>
      <c r="B262" s="28">
        <v>3</v>
      </c>
      <c r="C262" s="12">
        <v>63425.61</v>
      </c>
      <c r="D262" s="12">
        <v>20401.64</v>
      </c>
    </row>
    <row r="263" spans="1:4" x14ac:dyDescent="0.35">
      <c r="A263" s="10" t="s">
        <v>2157</v>
      </c>
      <c r="B263" s="28">
        <v>2</v>
      </c>
      <c r="C263" s="12">
        <v>28626.77</v>
      </c>
      <c r="D263" s="12">
        <v>6684.8799999999992</v>
      </c>
    </row>
    <row r="264" spans="1:4" x14ac:dyDescent="0.35">
      <c r="A264" s="10" t="s">
        <v>2158</v>
      </c>
      <c r="B264" s="28">
        <v>5</v>
      </c>
      <c r="C264" s="12">
        <v>63523.56</v>
      </c>
      <c r="D264" s="12">
        <v>21763.920000000002</v>
      </c>
    </row>
    <row r="265" spans="1:4" x14ac:dyDescent="0.35">
      <c r="A265" s="10" t="s">
        <v>2159</v>
      </c>
      <c r="B265" s="28">
        <v>7</v>
      </c>
      <c r="C265" s="12">
        <v>116363.87000000001</v>
      </c>
      <c r="D265" s="12">
        <v>36307.910000000003</v>
      </c>
    </row>
    <row r="266" spans="1:4" x14ac:dyDescent="0.35">
      <c r="A266" s="10" t="s">
        <v>2160</v>
      </c>
      <c r="B266" s="28">
        <v>2</v>
      </c>
      <c r="C266" s="12">
        <v>18171.990000000002</v>
      </c>
      <c r="D266" s="12">
        <v>3566.76</v>
      </c>
    </row>
    <row r="267" spans="1:4" x14ac:dyDescent="0.35">
      <c r="A267" s="10" t="s">
        <v>2161</v>
      </c>
      <c r="B267" s="28">
        <v>3</v>
      </c>
      <c r="C267" s="12">
        <v>37049.440000000002</v>
      </c>
      <c r="D267" s="12">
        <v>13825.87</v>
      </c>
    </row>
    <row r="268" spans="1:4" x14ac:dyDescent="0.35">
      <c r="A268" s="10" t="s">
        <v>2162</v>
      </c>
      <c r="B268" s="28">
        <v>4</v>
      </c>
      <c r="C268" s="12">
        <v>75426.510000000009</v>
      </c>
      <c r="D268" s="12">
        <v>16583.669999999998</v>
      </c>
    </row>
    <row r="269" spans="1:4" x14ac:dyDescent="0.35">
      <c r="A269" s="10" t="s">
        <v>2163</v>
      </c>
      <c r="B269" s="28">
        <v>2</v>
      </c>
      <c r="C269" s="12">
        <v>7166.91</v>
      </c>
      <c r="D269" s="12">
        <v>1217.46</v>
      </c>
    </row>
    <row r="270" spans="1:4" x14ac:dyDescent="0.35">
      <c r="A270" s="10" t="s">
        <v>2164</v>
      </c>
      <c r="B270" s="28">
        <v>6</v>
      </c>
      <c r="C270" s="12">
        <v>127637.33000000002</v>
      </c>
      <c r="D270" s="12">
        <v>48398.470000000008</v>
      </c>
    </row>
    <row r="271" spans="1:4" x14ac:dyDescent="0.35">
      <c r="A271" s="10" t="s">
        <v>2165</v>
      </c>
      <c r="B271" s="28">
        <v>2</v>
      </c>
      <c r="C271" s="12">
        <v>20182.52</v>
      </c>
      <c r="D271" s="12">
        <v>5302.95</v>
      </c>
    </row>
    <row r="272" spans="1:4" x14ac:dyDescent="0.35">
      <c r="A272" s="10" t="s">
        <v>2166</v>
      </c>
      <c r="B272" s="28">
        <v>4</v>
      </c>
      <c r="C272" s="12">
        <v>23390.879999999997</v>
      </c>
      <c r="D272" s="12">
        <v>6621.08</v>
      </c>
    </row>
    <row r="273" spans="1:4" x14ac:dyDescent="0.35">
      <c r="A273" s="10" t="s">
        <v>2167</v>
      </c>
      <c r="B273" s="28">
        <v>6</v>
      </c>
      <c r="C273" s="12">
        <v>87073.27</v>
      </c>
      <c r="D273" s="12">
        <v>29388.540000000005</v>
      </c>
    </row>
    <row r="274" spans="1:4" x14ac:dyDescent="0.35">
      <c r="A274" s="10" t="s">
        <v>2168</v>
      </c>
      <c r="B274" s="28">
        <v>2</v>
      </c>
      <c r="C274" s="12">
        <v>36004.880000000005</v>
      </c>
      <c r="D274" s="12">
        <v>14801.93</v>
      </c>
    </row>
    <row r="275" spans="1:4" x14ac:dyDescent="0.35">
      <c r="A275" s="10" t="s">
        <v>2169</v>
      </c>
      <c r="B275" s="28">
        <v>2</v>
      </c>
      <c r="C275" s="12">
        <v>54895.05</v>
      </c>
      <c r="D275" s="12">
        <v>14044.86</v>
      </c>
    </row>
    <row r="276" spans="1:4" x14ac:dyDescent="0.35">
      <c r="A276" s="10" t="s">
        <v>2170</v>
      </c>
      <c r="B276" s="28">
        <v>6</v>
      </c>
      <c r="C276" s="12">
        <v>113716.19000000002</v>
      </c>
      <c r="D276" s="12">
        <v>36572.86</v>
      </c>
    </row>
    <row r="277" spans="1:4" x14ac:dyDescent="0.35">
      <c r="A277" s="10" t="s">
        <v>2171</v>
      </c>
      <c r="B277" s="28">
        <v>3</v>
      </c>
      <c r="C277" s="12">
        <v>52388.2</v>
      </c>
      <c r="D277" s="12">
        <v>18273.61</v>
      </c>
    </row>
    <row r="278" spans="1:4" x14ac:dyDescent="0.35">
      <c r="A278" s="10" t="s">
        <v>2172</v>
      </c>
      <c r="B278" s="28">
        <v>6</v>
      </c>
      <c r="C278" s="12">
        <v>57828.479999999996</v>
      </c>
      <c r="D278" s="12">
        <v>18971.04</v>
      </c>
    </row>
    <row r="279" spans="1:4" x14ac:dyDescent="0.35">
      <c r="A279" s="10" t="s">
        <v>2173</v>
      </c>
      <c r="B279" s="28">
        <v>6</v>
      </c>
      <c r="C279" s="12">
        <v>92439.98000000001</v>
      </c>
      <c r="D279" s="12">
        <v>28510.620000000003</v>
      </c>
    </row>
    <row r="280" spans="1:4" x14ac:dyDescent="0.35">
      <c r="A280" s="10" t="s">
        <v>2174</v>
      </c>
      <c r="B280" s="28">
        <v>4</v>
      </c>
      <c r="C280" s="12">
        <v>50908.990000000005</v>
      </c>
      <c r="D280" s="12">
        <v>11767.189999999999</v>
      </c>
    </row>
    <row r="281" spans="1:4" x14ac:dyDescent="0.35">
      <c r="A281" s="10" t="s">
        <v>2175</v>
      </c>
      <c r="B281" s="28">
        <v>6</v>
      </c>
      <c r="C281" s="12">
        <v>20153.52</v>
      </c>
      <c r="D281" s="12">
        <v>5174.33</v>
      </c>
    </row>
    <row r="282" spans="1:4" x14ac:dyDescent="0.35">
      <c r="A282" s="10" t="s">
        <v>2176</v>
      </c>
      <c r="B282" s="28">
        <v>7</v>
      </c>
      <c r="C282" s="12">
        <v>61587.08</v>
      </c>
      <c r="D282" s="12">
        <v>14839.77</v>
      </c>
    </row>
    <row r="283" spans="1:4" x14ac:dyDescent="0.35">
      <c r="A283" s="10" t="s">
        <v>2177</v>
      </c>
      <c r="B283" s="28">
        <v>2</v>
      </c>
      <c r="C283" s="12">
        <v>81025.63</v>
      </c>
      <c r="D283" s="12">
        <v>15226.67</v>
      </c>
    </row>
    <row r="284" spans="1:4" x14ac:dyDescent="0.35">
      <c r="A284" s="10" t="s">
        <v>2178</v>
      </c>
      <c r="B284" s="28">
        <v>8</v>
      </c>
      <c r="C284" s="12">
        <v>122179.21999999999</v>
      </c>
      <c r="D284" s="12">
        <v>37417.33</v>
      </c>
    </row>
    <row r="285" spans="1:4" x14ac:dyDescent="0.35">
      <c r="A285" s="10" t="s">
        <v>2179</v>
      </c>
      <c r="B285" s="28">
        <v>8</v>
      </c>
      <c r="C285" s="12">
        <v>101093.43000000001</v>
      </c>
      <c r="D285" s="12">
        <v>23668.66</v>
      </c>
    </row>
    <row r="286" spans="1:4" x14ac:dyDescent="0.35">
      <c r="A286" s="10" t="s">
        <v>2180</v>
      </c>
      <c r="B286" s="28">
        <v>2</v>
      </c>
      <c r="C286" s="12">
        <v>23261.4</v>
      </c>
      <c r="D286" s="12">
        <v>5264.61</v>
      </c>
    </row>
    <row r="287" spans="1:4" x14ac:dyDescent="0.35">
      <c r="A287" s="10" t="s">
        <v>2181</v>
      </c>
      <c r="B287" s="28">
        <v>4</v>
      </c>
      <c r="C287" s="12">
        <v>37051.53</v>
      </c>
      <c r="D287" s="12">
        <v>12183.84</v>
      </c>
    </row>
    <row r="288" spans="1:4" x14ac:dyDescent="0.35">
      <c r="A288" s="10" t="s">
        <v>2182</v>
      </c>
      <c r="B288" s="28">
        <v>4</v>
      </c>
      <c r="C288" s="12">
        <v>76619.490000000005</v>
      </c>
      <c r="D288" s="12">
        <v>16083.970000000001</v>
      </c>
    </row>
    <row r="289" spans="1:4" x14ac:dyDescent="0.35">
      <c r="A289" s="10" t="s">
        <v>2183</v>
      </c>
      <c r="B289" s="28">
        <v>6</v>
      </c>
      <c r="C289" s="12">
        <v>169221.3</v>
      </c>
      <c r="D289" s="12">
        <v>41738.22</v>
      </c>
    </row>
    <row r="290" spans="1:4" x14ac:dyDescent="0.35">
      <c r="A290" s="10" t="s">
        <v>2184</v>
      </c>
      <c r="B290" s="28">
        <v>6</v>
      </c>
      <c r="C290" s="12">
        <v>81944.13</v>
      </c>
      <c r="D290" s="12">
        <v>28340.98</v>
      </c>
    </row>
    <row r="291" spans="1:4" x14ac:dyDescent="0.35">
      <c r="A291" s="10" t="s">
        <v>2185</v>
      </c>
      <c r="B291" s="28">
        <v>3</v>
      </c>
      <c r="C291" s="12">
        <v>63885.919999999998</v>
      </c>
      <c r="D291" s="12">
        <v>13036.960000000001</v>
      </c>
    </row>
    <row r="292" spans="1:4" x14ac:dyDescent="0.35">
      <c r="A292" s="10" t="s">
        <v>2186</v>
      </c>
      <c r="B292" s="28">
        <v>6</v>
      </c>
      <c r="C292" s="12">
        <v>60619.490000000005</v>
      </c>
      <c r="D292" s="12">
        <v>14798.769999999999</v>
      </c>
    </row>
    <row r="293" spans="1:4" x14ac:dyDescent="0.35">
      <c r="A293" s="10" t="s">
        <v>2187</v>
      </c>
      <c r="B293" s="28">
        <v>1</v>
      </c>
      <c r="C293" s="12">
        <v>11526.99</v>
      </c>
      <c r="D293" s="12">
        <v>3820.93</v>
      </c>
    </row>
    <row r="294" spans="1:4" x14ac:dyDescent="0.35">
      <c r="A294" s="10" t="s">
        <v>2188</v>
      </c>
      <c r="B294" s="28">
        <v>1</v>
      </c>
      <c r="C294" s="12">
        <v>15401.72</v>
      </c>
      <c r="D294" s="12">
        <v>5665.58</v>
      </c>
    </row>
    <row r="295" spans="1:4" x14ac:dyDescent="0.35">
      <c r="A295" s="10" t="s">
        <v>2189</v>
      </c>
      <c r="B295" s="28">
        <v>2</v>
      </c>
      <c r="C295" s="12">
        <v>27321.820000000003</v>
      </c>
      <c r="D295" s="12">
        <v>4159.37</v>
      </c>
    </row>
    <row r="296" spans="1:4" x14ac:dyDescent="0.35">
      <c r="A296" s="10" t="s">
        <v>2190</v>
      </c>
      <c r="B296" s="28">
        <v>2</v>
      </c>
      <c r="C296" s="12">
        <v>51348.43</v>
      </c>
      <c r="D296" s="12">
        <v>15540.85</v>
      </c>
    </row>
    <row r="297" spans="1:4" x14ac:dyDescent="0.35">
      <c r="A297" s="10" t="s">
        <v>2191</v>
      </c>
      <c r="B297" s="28">
        <v>4</v>
      </c>
      <c r="C297" s="12">
        <v>42521.56</v>
      </c>
      <c r="D297" s="12">
        <v>11147.93</v>
      </c>
    </row>
    <row r="298" spans="1:4" x14ac:dyDescent="0.35">
      <c r="A298" s="10" t="s">
        <v>2192</v>
      </c>
      <c r="B298" s="28">
        <v>5</v>
      </c>
      <c r="C298" s="12">
        <v>37531</v>
      </c>
      <c r="D298" s="12">
        <v>11042.460000000001</v>
      </c>
    </row>
    <row r="299" spans="1:4" x14ac:dyDescent="0.35">
      <c r="A299" s="10" t="s">
        <v>2193</v>
      </c>
      <c r="B299" s="28">
        <v>8</v>
      </c>
      <c r="C299" s="12">
        <v>90646.090000000011</v>
      </c>
      <c r="D299" s="12">
        <v>32290.82</v>
      </c>
    </row>
    <row r="300" spans="1:4" x14ac:dyDescent="0.35">
      <c r="A300" s="10" t="s">
        <v>2194</v>
      </c>
      <c r="B300" s="28">
        <v>5</v>
      </c>
      <c r="C300" s="12">
        <v>96459.48</v>
      </c>
      <c r="D300" s="12">
        <v>31975.53</v>
      </c>
    </row>
    <row r="301" spans="1:4" x14ac:dyDescent="0.35">
      <c r="A301" s="10" t="s">
        <v>2195</v>
      </c>
      <c r="B301" s="28">
        <v>5</v>
      </c>
      <c r="C301" s="12">
        <v>49234.240000000005</v>
      </c>
      <c r="D301" s="12">
        <v>10656.779999999999</v>
      </c>
    </row>
    <row r="302" spans="1:4" x14ac:dyDescent="0.35">
      <c r="A302" s="10" t="s">
        <v>2196</v>
      </c>
      <c r="B302" s="28">
        <v>3</v>
      </c>
      <c r="C302" s="12">
        <v>10479.599999999999</v>
      </c>
      <c r="D302" s="12">
        <v>3593.22</v>
      </c>
    </row>
    <row r="303" spans="1:4" x14ac:dyDescent="0.35">
      <c r="A303" s="10" t="s">
        <v>2197</v>
      </c>
      <c r="B303" s="28">
        <v>3</v>
      </c>
      <c r="C303" s="12">
        <v>15116.35</v>
      </c>
      <c r="D303" s="12">
        <v>4261.79</v>
      </c>
    </row>
    <row r="304" spans="1:4" x14ac:dyDescent="0.35">
      <c r="A304" s="10" t="s">
        <v>2198</v>
      </c>
      <c r="B304" s="28">
        <v>3</v>
      </c>
      <c r="C304" s="12">
        <v>48442.020000000004</v>
      </c>
      <c r="D304" s="12">
        <v>14336.84</v>
      </c>
    </row>
    <row r="305" spans="1:4" x14ac:dyDescent="0.35">
      <c r="A305" s="10" t="s">
        <v>2199</v>
      </c>
      <c r="B305" s="28">
        <v>4</v>
      </c>
      <c r="C305" s="12">
        <v>50702.48</v>
      </c>
      <c r="D305" s="12">
        <v>11659</v>
      </c>
    </row>
    <row r="306" spans="1:4" x14ac:dyDescent="0.35">
      <c r="A306" s="10" t="s">
        <v>2200</v>
      </c>
      <c r="B306" s="28">
        <v>4</v>
      </c>
      <c r="C306" s="12">
        <v>57850.729999999996</v>
      </c>
      <c r="D306" s="12">
        <v>17931.13</v>
      </c>
    </row>
    <row r="307" spans="1:4" x14ac:dyDescent="0.35">
      <c r="A307" s="10" t="s">
        <v>2201</v>
      </c>
      <c r="B307" s="28">
        <v>6</v>
      </c>
      <c r="C307" s="12">
        <v>55117.709999999992</v>
      </c>
      <c r="D307" s="12">
        <v>17325.900000000001</v>
      </c>
    </row>
    <row r="308" spans="1:4" x14ac:dyDescent="0.35">
      <c r="A308" s="10" t="s">
        <v>2202</v>
      </c>
      <c r="B308" s="28">
        <v>4</v>
      </c>
      <c r="C308" s="12">
        <v>97518.46</v>
      </c>
      <c r="D308" s="12">
        <v>24785.11</v>
      </c>
    </row>
    <row r="309" spans="1:4" x14ac:dyDescent="0.35">
      <c r="A309" s="10" t="s">
        <v>2203</v>
      </c>
      <c r="B309" s="28">
        <v>6</v>
      </c>
      <c r="C309" s="12">
        <v>121583.76999999999</v>
      </c>
      <c r="D309" s="12">
        <v>33563.089999999997</v>
      </c>
    </row>
    <row r="310" spans="1:4" x14ac:dyDescent="0.35">
      <c r="A310" s="10" t="s">
        <v>2204</v>
      </c>
      <c r="B310" s="28">
        <v>3</v>
      </c>
      <c r="C310" s="12">
        <v>84998.75</v>
      </c>
      <c r="D310" s="12">
        <v>26612.519999999997</v>
      </c>
    </row>
    <row r="311" spans="1:4" x14ac:dyDescent="0.35">
      <c r="A311" s="10" t="s">
        <v>2205</v>
      </c>
      <c r="B311" s="28">
        <v>4</v>
      </c>
      <c r="C311" s="12">
        <v>62116.11</v>
      </c>
      <c r="D311" s="12">
        <v>18623.510000000002</v>
      </c>
    </row>
    <row r="312" spans="1:4" x14ac:dyDescent="0.35">
      <c r="A312" s="10" t="s">
        <v>2206</v>
      </c>
      <c r="B312" s="28">
        <v>5</v>
      </c>
      <c r="C312" s="12">
        <v>86231.77</v>
      </c>
      <c r="D312" s="12">
        <v>25317.74</v>
      </c>
    </row>
    <row r="313" spans="1:4" x14ac:dyDescent="0.35">
      <c r="A313" s="10" t="s">
        <v>2207</v>
      </c>
      <c r="B313" s="28">
        <v>4</v>
      </c>
      <c r="C313" s="12">
        <v>34396.25</v>
      </c>
      <c r="D313" s="12">
        <v>12798.11</v>
      </c>
    </row>
    <row r="314" spans="1:4" x14ac:dyDescent="0.35">
      <c r="A314" s="10" t="s">
        <v>2208</v>
      </c>
      <c r="B314" s="28">
        <v>7</v>
      </c>
      <c r="C314" s="12">
        <v>113091.12</v>
      </c>
      <c r="D314" s="12">
        <v>27858.76</v>
      </c>
    </row>
    <row r="315" spans="1:4" x14ac:dyDescent="0.35">
      <c r="A315" s="10" t="s">
        <v>2209</v>
      </c>
      <c r="B315" s="28">
        <v>5</v>
      </c>
      <c r="C315" s="12">
        <v>85816.63</v>
      </c>
      <c r="D315" s="12">
        <v>24011.760000000002</v>
      </c>
    </row>
    <row r="316" spans="1:4" x14ac:dyDescent="0.35">
      <c r="A316" s="10" t="s">
        <v>2210</v>
      </c>
      <c r="B316" s="28">
        <v>5</v>
      </c>
      <c r="C316" s="12">
        <v>107467.23000000001</v>
      </c>
      <c r="D316" s="12">
        <v>32874.380000000005</v>
      </c>
    </row>
    <row r="317" spans="1:4" x14ac:dyDescent="0.35">
      <c r="A317" s="10" t="s">
        <v>2211</v>
      </c>
      <c r="B317" s="28">
        <v>4</v>
      </c>
      <c r="C317" s="12">
        <v>52686.259999999995</v>
      </c>
      <c r="D317" s="12">
        <v>11522.579999999998</v>
      </c>
    </row>
    <row r="318" spans="1:4" x14ac:dyDescent="0.35">
      <c r="A318" s="10" t="s">
        <v>2212</v>
      </c>
      <c r="B318" s="28">
        <v>3</v>
      </c>
      <c r="C318" s="12">
        <v>68639.78</v>
      </c>
      <c r="D318" s="12">
        <v>24285.489999999998</v>
      </c>
    </row>
    <row r="319" spans="1:4" x14ac:dyDescent="0.35">
      <c r="A319" s="10" t="s">
        <v>2213</v>
      </c>
      <c r="B319" s="28">
        <v>4</v>
      </c>
      <c r="C319" s="12">
        <v>94057.72</v>
      </c>
      <c r="D319" s="12">
        <v>24704.69</v>
      </c>
    </row>
    <row r="320" spans="1:4" x14ac:dyDescent="0.35">
      <c r="A320" s="10" t="s">
        <v>2214</v>
      </c>
      <c r="B320" s="28">
        <v>4</v>
      </c>
      <c r="C320" s="12">
        <v>47661.99</v>
      </c>
      <c r="D320" s="12">
        <v>13885.76</v>
      </c>
    </row>
    <row r="321" spans="1:4" x14ac:dyDescent="0.35">
      <c r="A321" s="10" t="s">
        <v>2215</v>
      </c>
      <c r="B321" s="28">
        <v>3</v>
      </c>
      <c r="C321" s="12">
        <v>46552.090000000004</v>
      </c>
      <c r="D321" s="12">
        <v>14848.919999999998</v>
      </c>
    </row>
    <row r="322" spans="1:4" x14ac:dyDescent="0.35">
      <c r="A322" s="10" t="s">
        <v>2216</v>
      </c>
      <c r="B322" s="28">
        <v>5</v>
      </c>
      <c r="C322" s="12">
        <v>23822.25</v>
      </c>
      <c r="D322" s="12">
        <v>6519.13</v>
      </c>
    </row>
    <row r="323" spans="1:4" x14ac:dyDescent="0.35">
      <c r="A323" s="10" t="s">
        <v>2217</v>
      </c>
      <c r="B323" s="28">
        <v>4</v>
      </c>
      <c r="C323" s="12">
        <v>34214.54</v>
      </c>
      <c r="D323" s="12">
        <v>10267.959999999999</v>
      </c>
    </row>
    <row r="324" spans="1:4" x14ac:dyDescent="0.35">
      <c r="A324" s="10" t="s">
        <v>2218</v>
      </c>
      <c r="B324" s="28">
        <v>6</v>
      </c>
      <c r="C324" s="12">
        <v>116016.4</v>
      </c>
      <c r="D324" s="12">
        <v>30467.059999999998</v>
      </c>
    </row>
    <row r="325" spans="1:4" x14ac:dyDescent="0.35">
      <c r="A325" s="10" t="s">
        <v>2219</v>
      </c>
      <c r="B325" s="28">
        <v>2</v>
      </c>
      <c r="C325" s="12">
        <v>91084.549999999988</v>
      </c>
      <c r="D325" s="12">
        <v>26289.25</v>
      </c>
    </row>
    <row r="326" spans="1:4" x14ac:dyDescent="0.35">
      <c r="A326" s="10" t="s">
        <v>2220</v>
      </c>
      <c r="B326" s="28">
        <v>7</v>
      </c>
      <c r="C326" s="12">
        <v>112381.25</v>
      </c>
      <c r="D326" s="12">
        <v>34137.450000000004</v>
      </c>
    </row>
    <row r="327" spans="1:4" x14ac:dyDescent="0.35">
      <c r="A327" s="10" t="s">
        <v>2221</v>
      </c>
      <c r="B327" s="28">
        <v>4</v>
      </c>
      <c r="C327" s="12">
        <v>114280.45999999999</v>
      </c>
      <c r="D327" s="12">
        <v>30565.279999999999</v>
      </c>
    </row>
    <row r="328" spans="1:4" x14ac:dyDescent="0.35">
      <c r="A328" s="10" t="s">
        <v>2222</v>
      </c>
      <c r="B328" s="28">
        <v>1</v>
      </c>
      <c r="C328" s="12">
        <v>8222.94</v>
      </c>
      <c r="D328" s="12">
        <v>1199.95</v>
      </c>
    </row>
    <row r="329" spans="1:4" x14ac:dyDescent="0.35">
      <c r="A329" s="10" t="s">
        <v>2223</v>
      </c>
      <c r="B329" s="28">
        <v>1</v>
      </c>
      <c r="C329" s="12">
        <v>2482.5300000000002</v>
      </c>
      <c r="D329" s="12">
        <v>1084.8499999999999</v>
      </c>
    </row>
    <row r="330" spans="1:4" x14ac:dyDescent="0.35">
      <c r="A330" s="10" t="s">
        <v>2224</v>
      </c>
      <c r="B330" s="28">
        <v>1</v>
      </c>
      <c r="C330" s="12">
        <v>9768.17</v>
      </c>
      <c r="D330" s="12">
        <v>3662.72</v>
      </c>
    </row>
    <row r="331" spans="1:4" x14ac:dyDescent="0.35">
      <c r="A331" s="10" t="s">
        <v>2225</v>
      </c>
      <c r="B331" s="28">
        <v>5</v>
      </c>
      <c r="C331" s="12">
        <v>82745.210000000006</v>
      </c>
      <c r="D331" s="12">
        <v>30124.07</v>
      </c>
    </row>
    <row r="332" spans="1:4" x14ac:dyDescent="0.35">
      <c r="A332" s="10" t="s">
        <v>2226</v>
      </c>
      <c r="B332" s="28">
        <v>2</v>
      </c>
      <c r="C332" s="12">
        <v>13770.81</v>
      </c>
      <c r="D332" s="12">
        <v>5346.88</v>
      </c>
    </row>
    <row r="333" spans="1:4" x14ac:dyDescent="0.35">
      <c r="A333" s="10" t="s">
        <v>2227</v>
      </c>
      <c r="B333" s="28">
        <v>4</v>
      </c>
      <c r="C333" s="12">
        <v>81434.38</v>
      </c>
      <c r="D333" s="12">
        <v>29007.57</v>
      </c>
    </row>
    <row r="334" spans="1:4" x14ac:dyDescent="0.35">
      <c r="A334" s="10" t="s">
        <v>2228</v>
      </c>
      <c r="B334" s="28">
        <v>4</v>
      </c>
      <c r="C334" s="12">
        <v>42607.100000000006</v>
      </c>
      <c r="D334" s="12">
        <v>9466.3799999999992</v>
      </c>
    </row>
    <row r="335" spans="1:4" x14ac:dyDescent="0.35">
      <c r="A335" s="10" t="s">
        <v>2229</v>
      </c>
      <c r="B335" s="28">
        <v>4</v>
      </c>
      <c r="C335" s="12">
        <v>37990.720000000001</v>
      </c>
      <c r="D335" s="12">
        <v>7785.33</v>
      </c>
    </row>
    <row r="336" spans="1:4" x14ac:dyDescent="0.35">
      <c r="A336" s="10" t="s">
        <v>2230</v>
      </c>
      <c r="B336" s="28">
        <v>5</v>
      </c>
      <c r="C336" s="12">
        <v>57961.880000000005</v>
      </c>
      <c r="D336" s="12">
        <v>15213.989999999998</v>
      </c>
    </row>
    <row r="337" spans="1:4" x14ac:dyDescent="0.35">
      <c r="A337" s="10" t="s">
        <v>2231</v>
      </c>
      <c r="B337" s="28">
        <v>4</v>
      </c>
      <c r="C337" s="12">
        <v>72626.7</v>
      </c>
      <c r="D337" s="12">
        <v>19954.86</v>
      </c>
    </row>
    <row r="338" spans="1:4" x14ac:dyDescent="0.35">
      <c r="A338" s="10" t="s">
        <v>2232</v>
      </c>
      <c r="B338" s="28">
        <v>9</v>
      </c>
      <c r="C338" s="12">
        <v>205464.54</v>
      </c>
      <c r="D338" s="12">
        <v>69177.400000000009</v>
      </c>
    </row>
    <row r="339" spans="1:4" x14ac:dyDescent="0.35">
      <c r="A339" s="10" t="s">
        <v>2233</v>
      </c>
      <c r="B339" s="28">
        <v>1</v>
      </c>
      <c r="C339" s="12">
        <v>17717.7</v>
      </c>
      <c r="D339" s="12">
        <v>2706.91</v>
      </c>
    </row>
    <row r="340" spans="1:4" x14ac:dyDescent="0.35">
      <c r="A340" s="10" t="s">
        <v>2234</v>
      </c>
      <c r="B340" s="28">
        <v>3</v>
      </c>
      <c r="C340" s="12">
        <v>49363.19</v>
      </c>
      <c r="D340" s="12">
        <v>18077.36</v>
      </c>
    </row>
    <row r="341" spans="1:4" x14ac:dyDescent="0.35">
      <c r="A341" s="10" t="s">
        <v>2235</v>
      </c>
      <c r="B341" s="28">
        <v>2</v>
      </c>
      <c r="C341" s="12">
        <v>14700.23</v>
      </c>
      <c r="D341" s="12">
        <v>4836.33</v>
      </c>
    </row>
    <row r="342" spans="1:4" x14ac:dyDescent="0.35">
      <c r="A342" s="10" t="s">
        <v>2236</v>
      </c>
      <c r="B342" s="28">
        <v>9</v>
      </c>
      <c r="C342" s="12">
        <v>179026.94999999998</v>
      </c>
      <c r="D342" s="12">
        <v>52697.35</v>
      </c>
    </row>
    <row r="343" spans="1:4" x14ac:dyDescent="0.35">
      <c r="A343" s="10" t="s">
        <v>2237</v>
      </c>
      <c r="B343" s="28">
        <v>2</v>
      </c>
      <c r="C343" s="12">
        <v>32050.589999999997</v>
      </c>
      <c r="D343" s="12">
        <v>13158.59</v>
      </c>
    </row>
    <row r="344" spans="1:4" x14ac:dyDescent="0.35">
      <c r="A344" s="10" t="s">
        <v>2238</v>
      </c>
      <c r="B344" s="28">
        <v>4</v>
      </c>
      <c r="C344" s="12">
        <v>67438.44</v>
      </c>
      <c r="D344" s="12">
        <v>16640.97</v>
      </c>
    </row>
    <row r="345" spans="1:4" x14ac:dyDescent="0.35">
      <c r="A345" s="10" t="s">
        <v>2239</v>
      </c>
      <c r="B345" s="28">
        <v>8</v>
      </c>
      <c r="C345" s="12">
        <v>94134.62999999999</v>
      </c>
      <c r="D345" s="12">
        <v>28314.61</v>
      </c>
    </row>
    <row r="346" spans="1:4" x14ac:dyDescent="0.35">
      <c r="A346" s="10" t="s">
        <v>2240</v>
      </c>
      <c r="B346" s="28">
        <v>4</v>
      </c>
      <c r="C346" s="12">
        <v>55837.729999999996</v>
      </c>
      <c r="D346" s="12">
        <v>15370.67</v>
      </c>
    </row>
    <row r="347" spans="1:4" x14ac:dyDescent="0.35">
      <c r="A347" s="10" t="s">
        <v>2241</v>
      </c>
      <c r="B347" s="28">
        <v>2</v>
      </c>
      <c r="C347" s="12">
        <v>4018.91</v>
      </c>
      <c r="D347" s="12">
        <v>1231.3400000000001</v>
      </c>
    </row>
    <row r="348" spans="1:4" x14ac:dyDescent="0.35">
      <c r="A348" s="10" t="s">
        <v>2242</v>
      </c>
      <c r="B348" s="28">
        <v>3</v>
      </c>
      <c r="C348" s="12">
        <v>71183.75</v>
      </c>
      <c r="D348" s="12">
        <v>13074.11</v>
      </c>
    </row>
    <row r="349" spans="1:4" x14ac:dyDescent="0.35">
      <c r="A349" s="10" t="s">
        <v>2243</v>
      </c>
      <c r="B349" s="28">
        <v>2</v>
      </c>
      <c r="C349" s="12">
        <v>39492.69</v>
      </c>
      <c r="D349" s="12">
        <v>13965.41</v>
      </c>
    </row>
    <row r="350" spans="1:4" x14ac:dyDescent="0.35">
      <c r="A350" s="10" t="s">
        <v>2244</v>
      </c>
      <c r="B350" s="28">
        <v>2</v>
      </c>
      <c r="C350" s="12">
        <v>18327.170000000002</v>
      </c>
      <c r="D350" s="12">
        <v>4316.8599999999997</v>
      </c>
    </row>
    <row r="351" spans="1:4" x14ac:dyDescent="0.35">
      <c r="A351" s="10" t="s">
        <v>2245</v>
      </c>
      <c r="B351" s="28">
        <v>5</v>
      </c>
      <c r="C351" s="12">
        <v>81370.3</v>
      </c>
      <c r="D351" s="12">
        <v>20176.59</v>
      </c>
    </row>
    <row r="352" spans="1:4" x14ac:dyDescent="0.35">
      <c r="A352" s="10" t="s">
        <v>2246</v>
      </c>
      <c r="B352" s="28">
        <v>3</v>
      </c>
      <c r="C352" s="12">
        <v>31787.549999999996</v>
      </c>
      <c r="D352" s="12">
        <v>12393.92</v>
      </c>
    </row>
    <row r="353" spans="1:4" x14ac:dyDescent="0.35">
      <c r="A353" s="10" t="s">
        <v>2247</v>
      </c>
      <c r="B353" s="28">
        <v>3</v>
      </c>
      <c r="C353" s="12">
        <v>30475.11</v>
      </c>
      <c r="D353" s="12">
        <v>6596.1</v>
      </c>
    </row>
    <row r="354" spans="1:4" x14ac:dyDescent="0.35">
      <c r="A354" s="10" t="s">
        <v>2248</v>
      </c>
      <c r="B354" s="28">
        <v>2</v>
      </c>
      <c r="C354" s="12">
        <v>4317.95</v>
      </c>
      <c r="D354" s="12">
        <v>1608.42</v>
      </c>
    </row>
    <row r="355" spans="1:4" x14ac:dyDescent="0.35">
      <c r="A355" s="10" t="s">
        <v>2249</v>
      </c>
      <c r="B355" s="28">
        <v>4</v>
      </c>
      <c r="C355" s="12">
        <v>75312.659999999989</v>
      </c>
      <c r="D355" s="12">
        <v>16137.59</v>
      </c>
    </row>
    <row r="356" spans="1:4" x14ac:dyDescent="0.35">
      <c r="A356" s="10" t="s">
        <v>2250</v>
      </c>
      <c r="B356" s="28">
        <v>8</v>
      </c>
      <c r="C356" s="12">
        <v>143807.52000000002</v>
      </c>
      <c r="D356" s="12">
        <v>30511.84</v>
      </c>
    </row>
    <row r="357" spans="1:4" x14ac:dyDescent="0.35">
      <c r="A357" s="10" t="s">
        <v>2251</v>
      </c>
      <c r="B357" s="28">
        <v>4</v>
      </c>
      <c r="C357" s="12">
        <v>41870.490000000005</v>
      </c>
      <c r="D357" s="12">
        <v>15890.22</v>
      </c>
    </row>
    <row r="358" spans="1:4" x14ac:dyDescent="0.35">
      <c r="A358" s="10" t="s">
        <v>2252</v>
      </c>
      <c r="B358" s="28">
        <v>1</v>
      </c>
      <c r="C358" s="12">
        <v>9726.08</v>
      </c>
      <c r="D358" s="12">
        <v>3880.87</v>
      </c>
    </row>
    <row r="359" spans="1:4" x14ac:dyDescent="0.35">
      <c r="A359" s="10" t="s">
        <v>2253</v>
      </c>
      <c r="B359" s="28">
        <v>3</v>
      </c>
      <c r="C359" s="12">
        <v>38723.519999999997</v>
      </c>
      <c r="D359" s="12">
        <v>8815.68</v>
      </c>
    </row>
    <row r="360" spans="1:4" x14ac:dyDescent="0.35">
      <c r="A360" s="10" t="s">
        <v>2254</v>
      </c>
      <c r="B360" s="28">
        <v>5</v>
      </c>
      <c r="C360" s="12">
        <v>43951.21</v>
      </c>
      <c r="D360" s="12">
        <v>9855.4399999999987</v>
      </c>
    </row>
    <row r="361" spans="1:4" x14ac:dyDescent="0.35">
      <c r="A361" s="10" t="s">
        <v>2255</v>
      </c>
      <c r="B361" s="28">
        <v>9</v>
      </c>
      <c r="C361" s="12">
        <v>146910.15000000002</v>
      </c>
      <c r="D361" s="12">
        <v>48146.21</v>
      </c>
    </row>
    <row r="362" spans="1:4" x14ac:dyDescent="0.35">
      <c r="A362" s="10" t="s">
        <v>1892</v>
      </c>
      <c r="B362" s="28">
        <v>1500</v>
      </c>
      <c r="C362" s="12">
        <v>23345848.499999959</v>
      </c>
      <c r="D362" s="12">
        <v>6635112.3800000073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0085D4-ABAB-48A4-89FA-E8749210FD12}">
  <dimension ref="A2:E13"/>
  <sheetViews>
    <sheetView workbookViewId="0">
      <selection activeCell="A2" sqref="A2"/>
    </sheetView>
  </sheetViews>
  <sheetFormatPr defaultRowHeight="14.5" x14ac:dyDescent="0.35"/>
  <cols>
    <col min="1" max="1" width="10.36328125" bestFit="1" customWidth="1"/>
    <col min="2" max="2" width="6.36328125" bestFit="1" customWidth="1"/>
    <col min="3" max="3" width="14.453125" bestFit="1" customWidth="1"/>
    <col min="4" max="4" width="12.90625" bestFit="1" customWidth="1"/>
    <col min="5" max="5" width="12.26953125" bestFit="1" customWidth="1"/>
  </cols>
  <sheetData>
    <row r="2" spans="1:5" x14ac:dyDescent="0.35">
      <c r="A2" s="9" t="s">
        <v>1927</v>
      </c>
      <c r="B2" t="s">
        <v>1925</v>
      </c>
      <c r="C2" t="s">
        <v>2256</v>
      </c>
      <c r="D2" t="s">
        <v>1926</v>
      </c>
      <c r="E2" t="s">
        <v>2269</v>
      </c>
    </row>
    <row r="3" spans="1:5" x14ac:dyDescent="0.35">
      <c r="A3" s="10" t="s">
        <v>77</v>
      </c>
      <c r="B3" s="28">
        <v>140</v>
      </c>
      <c r="C3" s="4">
        <v>2355527.2100000009</v>
      </c>
      <c r="D3" s="4">
        <v>643043.24999999977</v>
      </c>
      <c r="E3" s="11">
        <v>28.478571428571428</v>
      </c>
    </row>
    <row r="4" spans="1:5" x14ac:dyDescent="0.35">
      <c r="A4" s="10" t="s">
        <v>63</v>
      </c>
      <c r="B4" s="28">
        <v>158</v>
      </c>
      <c r="C4" s="4">
        <v>2318881.8099999996</v>
      </c>
      <c r="D4" s="4">
        <v>711453.24000000034</v>
      </c>
      <c r="E4" s="11">
        <v>28.632911392405063</v>
      </c>
    </row>
    <row r="5" spans="1:5" x14ac:dyDescent="0.35">
      <c r="A5" s="10" t="s">
        <v>68</v>
      </c>
      <c r="B5" s="28">
        <v>152</v>
      </c>
      <c r="C5" s="4">
        <v>2238015.7699999991</v>
      </c>
      <c r="D5" s="4">
        <v>638006.4500000003</v>
      </c>
      <c r="E5" s="11">
        <v>26.80263157894737</v>
      </c>
    </row>
    <row r="6" spans="1:5" x14ac:dyDescent="0.35">
      <c r="A6" s="10" t="s">
        <v>38</v>
      </c>
      <c r="B6" s="28">
        <v>135</v>
      </c>
      <c r="C6" s="4">
        <v>2094507.71</v>
      </c>
      <c r="D6" s="4">
        <v>595309.54</v>
      </c>
      <c r="E6" s="11">
        <v>24.192592592592593</v>
      </c>
    </row>
    <row r="7" spans="1:5" x14ac:dyDescent="0.35">
      <c r="A7" s="10" t="s">
        <v>149</v>
      </c>
      <c r="B7" s="28">
        <v>149</v>
      </c>
      <c r="C7" s="4">
        <v>2216433.4299999992</v>
      </c>
      <c r="D7" s="4">
        <v>647303.12999999966</v>
      </c>
      <c r="E7" s="11">
        <v>26.825503355704697</v>
      </c>
    </row>
    <row r="8" spans="1:5" x14ac:dyDescent="0.35">
      <c r="A8" s="10" t="s">
        <v>58</v>
      </c>
      <c r="B8" s="28">
        <v>161</v>
      </c>
      <c r="C8" s="4">
        <v>2716608.5199999996</v>
      </c>
      <c r="D8" s="4">
        <v>791525.47000000009</v>
      </c>
      <c r="E8" s="11">
        <v>31.260869565217391</v>
      </c>
    </row>
    <row r="9" spans="1:5" x14ac:dyDescent="0.35">
      <c r="A9" s="10" t="s">
        <v>45</v>
      </c>
      <c r="B9" s="28">
        <v>161</v>
      </c>
      <c r="C9" s="4">
        <v>2398533.6099999989</v>
      </c>
      <c r="D9" s="4">
        <v>699046.15000000014</v>
      </c>
      <c r="E9" s="11">
        <v>30.074534161490682</v>
      </c>
    </row>
    <row r="10" spans="1:5" x14ac:dyDescent="0.35">
      <c r="A10" s="10" t="s">
        <v>30</v>
      </c>
      <c r="B10" s="28">
        <v>148</v>
      </c>
      <c r="C10" s="4">
        <v>2453861.75</v>
      </c>
      <c r="D10" s="4">
        <v>687592.69000000006</v>
      </c>
      <c r="E10" s="11">
        <v>25.628378378378379</v>
      </c>
    </row>
    <row r="11" spans="1:5" x14ac:dyDescent="0.35">
      <c r="A11" s="10" t="s">
        <v>21</v>
      </c>
      <c r="B11" s="28">
        <v>158</v>
      </c>
      <c r="C11" s="4">
        <v>2525430.6399999992</v>
      </c>
      <c r="D11" s="4">
        <v>688931.41999999958</v>
      </c>
      <c r="E11" s="11">
        <v>31.848101265822784</v>
      </c>
    </row>
    <row r="12" spans="1:5" x14ac:dyDescent="0.35">
      <c r="A12" s="10" t="s">
        <v>51</v>
      </c>
      <c r="B12" s="28">
        <v>138</v>
      </c>
      <c r="C12" s="4">
        <v>2028048.05</v>
      </c>
      <c r="D12" s="4">
        <v>532901.03999999969</v>
      </c>
      <c r="E12" s="11">
        <v>28.152173913043477</v>
      </c>
    </row>
    <row r="13" spans="1:5" x14ac:dyDescent="0.35">
      <c r="A13" s="10" t="s">
        <v>1892</v>
      </c>
      <c r="B13" s="28">
        <v>1500</v>
      </c>
      <c r="C13" s="4">
        <v>23345848.500000026</v>
      </c>
      <c r="D13" s="4">
        <v>6635112.3800000045</v>
      </c>
      <c r="E13" s="11">
        <v>28.288666666666668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E929A-0AC8-4370-BF24-C133AC8BC931}">
  <dimension ref="A1:D19"/>
  <sheetViews>
    <sheetView workbookViewId="0">
      <selection activeCell="A6" sqref="A6"/>
    </sheetView>
  </sheetViews>
  <sheetFormatPr defaultRowHeight="14.5" x14ac:dyDescent="0.35"/>
  <cols>
    <col min="1" max="1" width="12.453125" bestFit="1" customWidth="1"/>
    <col min="2" max="2" width="6.36328125" bestFit="1" customWidth="1"/>
    <col min="3" max="3" width="14.453125" bestFit="1" customWidth="1"/>
    <col min="4" max="4" width="12.26953125" bestFit="1" customWidth="1"/>
    <col min="5" max="5" width="12.90625" bestFit="1" customWidth="1"/>
    <col min="6" max="6" width="14.453125" bestFit="1" customWidth="1"/>
    <col min="7" max="1500" width="15.6328125" bestFit="1" customWidth="1"/>
    <col min="1501" max="1501" width="10.36328125" bestFit="1" customWidth="1"/>
    <col min="1502" max="1791" width="10.08984375" bestFit="1" customWidth="1"/>
    <col min="1792" max="1792" width="19.90625" bestFit="1" customWidth="1"/>
    <col min="1793" max="1793" width="16.1796875" bestFit="1" customWidth="1"/>
    <col min="1794" max="1794" width="20.1796875" bestFit="1" customWidth="1"/>
    <col min="1795" max="1795" width="19.453125" bestFit="1" customWidth="1"/>
    <col min="1796" max="1796" width="20.26953125" bestFit="1" customWidth="1"/>
  </cols>
  <sheetData>
    <row r="1" spans="1:4" x14ac:dyDescent="0.35">
      <c r="A1" s="9" t="s">
        <v>13</v>
      </c>
      <c r="B1" t="s">
        <v>1893</v>
      </c>
    </row>
    <row r="2" spans="1:4" x14ac:dyDescent="0.35">
      <c r="A2" s="9" t="s">
        <v>6</v>
      </c>
      <c r="B2" t="s">
        <v>1893</v>
      </c>
    </row>
    <row r="3" spans="1:4" x14ac:dyDescent="0.35">
      <c r="A3" s="9" t="s">
        <v>4</v>
      </c>
      <c r="B3" t="s">
        <v>1893</v>
      </c>
    </row>
    <row r="4" spans="1:4" x14ac:dyDescent="0.35">
      <c r="A4" s="9" t="s">
        <v>3</v>
      </c>
      <c r="B4" t="s">
        <v>1893</v>
      </c>
    </row>
    <row r="6" spans="1:4" x14ac:dyDescent="0.35">
      <c r="A6" s="9" t="s">
        <v>1924</v>
      </c>
      <c r="B6" t="s">
        <v>1925</v>
      </c>
      <c r="C6" t="s">
        <v>2270</v>
      </c>
      <c r="D6" t="s">
        <v>2269</v>
      </c>
    </row>
    <row r="7" spans="1:4" x14ac:dyDescent="0.35">
      <c r="A7" s="10" t="s">
        <v>65</v>
      </c>
      <c r="B7" s="28">
        <v>123</v>
      </c>
      <c r="C7" s="4">
        <v>1881520.2699999984</v>
      </c>
      <c r="D7" s="11">
        <v>26.59349593495935</v>
      </c>
    </row>
    <row r="8" spans="1:4" x14ac:dyDescent="0.35">
      <c r="A8" s="10" t="s">
        <v>139</v>
      </c>
      <c r="B8" s="28">
        <v>125</v>
      </c>
      <c r="C8" s="4">
        <v>2145980.7400000002</v>
      </c>
      <c r="D8" s="11">
        <v>27.175999999999998</v>
      </c>
    </row>
    <row r="9" spans="1:4" x14ac:dyDescent="0.35">
      <c r="A9" s="10" t="s">
        <v>54</v>
      </c>
      <c r="B9" s="28">
        <v>98</v>
      </c>
      <c r="C9" s="4">
        <v>1446389.42</v>
      </c>
      <c r="D9" s="11">
        <v>26.663265306122447</v>
      </c>
    </row>
    <row r="10" spans="1:4" x14ac:dyDescent="0.35">
      <c r="A10" s="10" t="s">
        <v>26</v>
      </c>
      <c r="B10" s="28">
        <v>137</v>
      </c>
      <c r="C10" s="4">
        <v>2096996.5799999991</v>
      </c>
      <c r="D10" s="11">
        <v>30.021897810218977</v>
      </c>
    </row>
    <row r="11" spans="1:4" x14ac:dyDescent="0.35">
      <c r="A11" s="10" t="s">
        <v>74</v>
      </c>
      <c r="B11" s="28">
        <v>138</v>
      </c>
      <c r="C11" s="4">
        <v>2241453.1800000002</v>
      </c>
      <c r="D11" s="11">
        <v>31.427536231884059</v>
      </c>
    </row>
    <row r="12" spans="1:4" x14ac:dyDescent="0.35">
      <c r="A12" s="10" t="s">
        <v>99</v>
      </c>
      <c r="B12" s="28">
        <v>132</v>
      </c>
      <c r="C12" s="4">
        <v>2189682.2800000003</v>
      </c>
      <c r="D12" s="11">
        <v>27.083333333333332</v>
      </c>
    </row>
    <row r="13" spans="1:4" x14ac:dyDescent="0.35">
      <c r="A13" s="10" t="s">
        <v>60</v>
      </c>
      <c r="B13" s="28">
        <v>107</v>
      </c>
      <c r="C13" s="4">
        <v>1578357.1100000003</v>
      </c>
      <c r="D13" s="11">
        <v>29.560747663551403</v>
      </c>
    </row>
    <row r="14" spans="1:4" x14ac:dyDescent="0.35">
      <c r="A14" s="10" t="s">
        <v>80</v>
      </c>
      <c r="B14" s="28">
        <v>142</v>
      </c>
      <c r="C14" s="4">
        <v>2263949.4799999995</v>
      </c>
      <c r="D14" s="11">
        <v>25.767605633802816</v>
      </c>
    </row>
    <row r="15" spans="1:4" x14ac:dyDescent="0.35">
      <c r="A15" s="10" t="s">
        <v>41</v>
      </c>
      <c r="B15" s="28">
        <v>121</v>
      </c>
      <c r="C15" s="4">
        <v>1853111.7600000005</v>
      </c>
      <c r="D15" s="11">
        <v>28.041322314049587</v>
      </c>
    </row>
    <row r="16" spans="1:4" x14ac:dyDescent="0.35">
      <c r="A16" s="10" t="s">
        <v>116</v>
      </c>
      <c r="B16" s="28">
        <v>131</v>
      </c>
      <c r="C16" s="4">
        <v>1860227.6699999995</v>
      </c>
      <c r="D16" s="11">
        <v>28.213740458015266</v>
      </c>
    </row>
    <row r="17" spans="1:4" x14ac:dyDescent="0.35">
      <c r="A17" s="10" t="s">
        <v>86</v>
      </c>
      <c r="B17" s="28">
        <v>120</v>
      </c>
      <c r="C17" s="4">
        <v>1902034.15</v>
      </c>
      <c r="D17" s="11">
        <v>30.058333333333334</v>
      </c>
    </row>
    <row r="18" spans="1:4" x14ac:dyDescent="0.35">
      <c r="A18" s="10" t="s">
        <v>34</v>
      </c>
      <c r="B18" s="28">
        <v>126</v>
      </c>
      <c r="C18" s="4">
        <v>1886145.8599999999</v>
      </c>
      <c r="D18" s="11">
        <v>28.642857142857142</v>
      </c>
    </row>
    <row r="19" spans="1:4" x14ac:dyDescent="0.35">
      <c r="A19" s="10" t="s">
        <v>1892</v>
      </c>
      <c r="B19" s="28">
        <v>1500</v>
      </c>
      <c r="C19" s="4">
        <v>23345848.49999997</v>
      </c>
      <c r="D19" s="11">
        <v>28.288666666666668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3607A-B74C-4C74-BB65-CF64875820F0}">
  <dimension ref="A3:D16"/>
  <sheetViews>
    <sheetView workbookViewId="0">
      <selection activeCell="B3" sqref="B3"/>
    </sheetView>
  </sheetViews>
  <sheetFormatPr defaultRowHeight="14.5" x14ac:dyDescent="0.35"/>
  <cols>
    <col min="1" max="1" width="10.36328125" bestFit="1" customWidth="1"/>
    <col min="2" max="2" width="6.36328125" bestFit="1" customWidth="1"/>
    <col min="3" max="3" width="11.81640625" bestFit="1" customWidth="1"/>
    <col min="4" max="4" width="10.26953125" bestFit="1" customWidth="1"/>
  </cols>
  <sheetData>
    <row r="3" spans="1:4" x14ac:dyDescent="0.35">
      <c r="A3" s="9" t="s">
        <v>16</v>
      </c>
      <c r="B3" t="s">
        <v>1925</v>
      </c>
      <c r="C3" t="s">
        <v>2256</v>
      </c>
      <c r="D3" t="s">
        <v>1926</v>
      </c>
    </row>
    <row r="4" spans="1:4" x14ac:dyDescent="0.35">
      <c r="A4" s="10" t="s">
        <v>65</v>
      </c>
      <c r="B4" s="28">
        <v>123</v>
      </c>
      <c r="C4" s="12">
        <v>1881520.2699999984</v>
      </c>
      <c r="D4" s="12">
        <v>558167.25999999989</v>
      </c>
    </row>
    <row r="5" spans="1:4" x14ac:dyDescent="0.35">
      <c r="A5" s="10" t="s">
        <v>139</v>
      </c>
      <c r="B5" s="28">
        <v>125</v>
      </c>
      <c r="C5" s="12">
        <v>2145980.7400000002</v>
      </c>
      <c r="D5" s="12">
        <v>583742.2300000001</v>
      </c>
    </row>
    <row r="6" spans="1:4" x14ac:dyDescent="0.35">
      <c r="A6" s="10" t="s">
        <v>54</v>
      </c>
      <c r="B6" s="28">
        <v>98</v>
      </c>
      <c r="C6" s="12">
        <v>1446389.42</v>
      </c>
      <c r="D6" s="12">
        <v>408285.65000000008</v>
      </c>
    </row>
    <row r="7" spans="1:4" x14ac:dyDescent="0.35">
      <c r="A7" s="10" t="s">
        <v>26</v>
      </c>
      <c r="B7" s="28">
        <v>137</v>
      </c>
      <c r="C7" s="12">
        <v>2096996.5799999991</v>
      </c>
      <c r="D7" s="12">
        <v>585908.33000000007</v>
      </c>
    </row>
    <row r="8" spans="1:4" x14ac:dyDescent="0.35">
      <c r="A8" s="10" t="s">
        <v>74</v>
      </c>
      <c r="B8" s="28">
        <v>138</v>
      </c>
      <c r="C8" s="12">
        <v>2241453.1800000002</v>
      </c>
      <c r="D8" s="12">
        <v>645913.34</v>
      </c>
    </row>
    <row r="9" spans="1:4" x14ac:dyDescent="0.35">
      <c r="A9" s="10" t="s">
        <v>99</v>
      </c>
      <c r="B9" s="28">
        <v>132</v>
      </c>
      <c r="C9" s="12">
        <v>2189682.2800000003</v>
      </c>
      <c r="D9" s="12">
        <v>630337.29999999993</v>
      </c>
    </row>
    <row r="10" spans="1:4" x14ac:dyDescent="0.35">
      <c r="A10" s="10" t="s">
        <v>60</v>
      </c>
      <c r="B10" s="28">
        <v>107</v>
      </c>
      <c r="C10" s="12">
        <v>1578357.1100000003</v>
      </c>
      <c r="D10" s="12">
        <v>448112.54000000004</v>
      </c>
    </row>
    <row r="11" spans="1:4" x14ac:dyDescent="0.35">
      <c r="A11" s="10" t="s">
        <v>80</v>
      </c>
      <c r="B11" s="28">
        <v>142</v>
      </c>
      <c r="C11" s="12">
        <v>2263949.4799999995</v>
      </c>
      <c r="D11" s="12">
        <v>644713.74</v>
      </c>
    </row>
    <row r="12" spans="1:4" x14ac:dyDescent="0.35">
      <c r="A12" s="10" t="s">
        <v>41</v>
      </c>
      <c r="B12" s="28">
        <v>121</v>
      </c>
      <c r="C12" s="12">
        <v>1853111.7600000005</v>
      </c>
      <c r="D12" s="12">
        <v>518129.13000000006</v>
      </c>
    </row>
    <row r="13" spans="1:4" x14ac:dyDescent="0.35">
      <c r="A13" s="10" t="s">
        <v>116</v>
      </c>
      <c r="B13" s="28">
        <v>131</v>
      </c>
      <c r="C13" s="12">
        <v>1860227.6699999995</v>
      </c>
      <c r="D13" s="12">
        <v>527672.25999999966</v>
      </c>
    </row>
    <row r="14" spans="1:4" x14ac:dyDescent="0.35">
      <c r="A14" s="10" t="s">
        <v>86</v>
      </c>
      <c r="B14" s="28">
        <v>120</v>
      </c>
      <c r="C14" s="12">
        <v>1902034.15</v>
      </c>
      <c r="D14" s="12">
        <v>539650.72999999963</v>
      </c>
    </row>
    <row r="15" spans="1:4" x14ac:dyDescent="0.35">
      <c r="A15" s="10" t="s">
        <v>34</v>
      </c>
      <c r="B15" s="28">
        <v>126</v>
      </c>
      <c r="C15" s="12">
        <v>1886145.8599999999</v>
      </c>
      <c r="D15" s="12">
        <v>544479.87000000011</v>
      </c>
    </row>
    <row r="16" spans="1:4" x14ac:dyDescent="0.35">
      <c r="A16" s="10" t="s">
        <v>1892</v>
      </c>
      <c r="B16" s="28">
        <v>1500</v>
      </c>
      <c r="C16" s="12">
        <v>23345848.49999997</v>
      </c>
      <c r="D16" s="12">
        <v>6635112.3800000064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5669CD-BF41-4CE7-ABDD-2E633E8C494B}">
  <dimension ref="A2:B8"/>
  <sheetViews>
    <sheetView workbookViewId="0">
      <selection activeCell="A2" sqref="A2"/>
    </sheetView>
  </sheetViews>
  <sheetFormatPr defaultRowHeight="14.5" x14ac:dyDescent="0.35"/>
  <cols>
    <col min="1" max="1" width="13.7265625" bestFit="1" customWidth="1"/>
    <col min="2" max="2" width="11.81640625" bestFit="1" customWidth="1"/>
  </cols>
  <sheetData>
    <row r="2" spans="1:2" x14ac:dyDescent="0.35">
      <c r="A2" s="9" t="s">
        <v>5</v>
      </c>
      <c r="B2" t="s">
        <v>2256</v>
      </c>
    </row>
    <row r="3" spans="1:2" x14ac:dyDescent="0.35">
      <c r="A3" s="10" t="s">
        <v>23</v>
      </c>
      <c r="B3" s="12">
        <v>4478609.8900000015</v>
      </c>
    </row>
    <row r="4" spans="1:2" x14ac:dyDescent="0.35">
      <c r="A4" s="10" t="s">
        <v>32</v>
      </c>
      <c r="B4" s="12">
        <v>5092164.9499999983</v>
      </c>
    </row>
    <row r="5" spans="1:2" x14ac:dyDescent="0.35">
      <c r="A5" s="10" t="s">
        <v>72</v>
      </c>
      <c r="B5" s="12">
        <v>4610228.4399999995</v>
      </c>
    </row>
    <row r="6" spans="1:2" x14ac:dyDescent="0.35">
      <c r="A6" s="10" t="s">
        <v>83</v>
      </c>
      <c r="B6" s="12">
        <v>4106242.8499999982</v>
      </c>
    </row>
    <row r="7" spans="1:2" x14ac:dyDescent="0.35">
      <c r="A7" s="10" t="s">
        <v>39</v>
      </c>
      <c r="B7" s="12">
        <v>5058602.370000002</v>
      </c>
    </row>
    <row r="8" spans="1:2" x14ac:dyDescent="0.35">
      <c r="A8" s="10" t="s">
        <v>1892</v>
      </c>
      <c r="B8" s="12">
        <v>23345848.5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DB913-11F7-4BDB-A6E6-8C9E8713FBCE}">
  <dimension ref="A2:B11"/>
  <sheetViews>
    <sheetView workbookViewId="0">
      <selection activeCell="B2" sqref="B2"/>
    </sheetView>
  </sheetViews>
  <sheetFormatPr defaultRowHeight="14.5" x14ac:dyDescent="0.35"/>
  <cols>
    <col min="1" max="1" width="10.453125" bestFit="1" customWidth="1"/>
    <col min="2" max="2" width="11.54296875" bestFit="1" customWidth="1"/>
  </cols>
  <sheetData>
    <row r="2" spans="1:2" x14ac:dyDescent="0.35">
      <c r="A2" s="9" t="s">
        <v>4</v>
      </c>
      <c r="B2" t="s">
        <v>2268</v>
      </c>
    </row>
    <row r="3" spans="1:2" x14ac:dyDescent="0.35">
      <c r="A3" s="10" t="s">
        <v>78</v>
      </c>
      <c r="B3" s="12">
        <v>827521.93999999971</v>
      </c>
    </row>
    <row r="4" spans="1:2" x14ac:dyDescent="0.35">
      <c r="A4" s="10" t="s">
        <v>59</v>
      </c>
      <c r="B4" s="12">
        <v>937402.82999999984</v>
      </c>
    </row>
    <row r="5" spans="1:2" x14ac:dyDescent="0.35">
      <c r="A5" s="10" t="s">
        <v>31</v>
      </c>
      <c r="B5" s="12">
        <v>867964.17999999959</v>
      </c>
    </row>
    <row r="6" spans="1:2" x14ac:dyDescent="0.35">
      <c r="A6" s="10" t="s">
        <v>22</v>
      </c>
      <c r="B6" s="12">
        <v>808320.68000000028</v>
      </c>
    </row>
    <row r="7" spans="1:2" x14ac:dyDescent="0.35">
      <c r="A7" s="10" t="s">
        <v>113</v>
      </c>
      <c r="B7" s="12">
        <v>846620.28000000038</v>
      </c>
    </row>
    <row r="8" spans="1:2" x14ac:dyDescent="0.35">
      <c r="A8" s="10" t="s">
        <v>46</v>
      </c>
      <c r="B8" s="12">
        <v>828194.89999999991</v>
      </c>
    </row>
    <row r="9" spans="1:2" x14ac:dyDescent="0.35">
      <c r="A9" s="10" t="s">
        <v>52</v>
      </c>
      <c r="B9" s="12">
        <v>672916.47000000009</v>
      </c>
    </row>
    <row r="10" spans="1:2" x14ac:dyDescent="0.35">
      <c r="A10" s="10" t="s">
        <v>92</v>
      </c>
      <c r="B10" s="12">
        <v>846171.1</v>
      </c>
    </row>
    <row r="11" spans="1:2" x14ac:dyDescent="0.35">
      <c r="A11" s="10" t="s">
        <v>1892</v>
      </c>
      <c r="B11" s="12">
        <v>6635112.3799999999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D676F-7090-4E36-8862-2A1E6BEC819B}">
  <dimension ref="B4:O5"/>
  <sheetViews>
    <sheetView tabSelected="1" zoomScale="79" workbookViewId="0">
      <selection activeCell="R19" sqref="R19"/>
    </sheetView>
  </sheetViews>
  <sheetFormatPr defaultRowHeight="14.5" x14ac:dyDescent="0.35"/>
  <cols>
    <col min="1" max="1" width="14.26953125" customWidth="1"/>
    <col min="8" max="8" width="10.54296875" customWidth="1"/>
    <col min="9" max="9" width="11.81640625" customWidth="1"/>
    <col min="10" max="10" width="10.81640625" customWidth="1"/>
    <col min="11" max="11" width="10.26953125" customWidth="1"/>
  </cols>
  <sheetData>
    <row r="4" spans="2:15" x14ac:dyDescent="0.35">
      <c r="B4" s="24" t="s">
        <v>2262</v>
      </c>
      <c r="C4" s="24"/>
      <c r="D4" s="24" t="s">
        <v>2261</v>
      </c>
      <c r="E4" s="24"/>
      <c r="F4" s="24" t="s">
        <v>2263</v>
      </c>
      <c r="G4" s="24"/>
      <c r="H4" s="24" t="s">
        <v>2264</v>
      </c>
      <c r="I4" s="24"/>
      <c r="J4" s="24" t="s">
        <v>2265</v>
      </c>
      <c r="K4" s="24"/>
      <c r="L4" s="24" t="s">
        <v>2266</v>
      </c>
      <c r="M4" s="24"/>
      <c r="N4" s="24" t="s">
        <v>2267</v>
      </c>
      <c r="O4" s="24"/>
    </row>
    <row r="5" spans="2:15" x14ac:dyDescent="0.35">
      <c r="B5" s="24">
        <f>COUNTA(orders[Order_ID])</f>
        <v>1500</v>
      </c>
      <c r="C5" s="24"/>
      <c r="D5" s="25">
        <f>SUM(orders[Net_Sales])</f>
        <v>23345848.499999978</v>
      </c>
      <c r="E5" s="25"/>
      <c r="F5" s="25">
        <f>SUM(orders[Profit])</f>
        <v>6635112.3800000064</v>
      </c>
      <c r="G5" s="25"/>
      <c r="H5" s="24">
        <f>COUNTIF(orders[Status],"Completed")</f>
        <v>851</v>
      </c>
      <c r="I5" s="24"/>
      <c r="J5" s="24">
        <f>COUNTIF(orders[Status],"Pending")</f>
        <v>201</v>
      </c>
      <c r="K5" s="24"/>
      <c r="L5" s="26">
        <f>AVERAGE(orders[TAT_Hours])</f>
        <v>28.288666666666668</v>
      </c>
      <c r="M5" s="26"/>
      <c r="N5" s="27">
        <f>COUNTIF(orders[Status],"Completed")/COUNTA(orders[Order_ID])</f>
        <v>0.56733333333333336</v>
      </c>
      <c r="O5" s="27"/>
    </row>
  </sheetData>
  <mergeCells count="14">
    <mergeCell ref="F5:G5"/>
    <mergeCell ref="H5:I5"/>
    <mergeCell ref="J5:K5"/>
    <mergeCell ref="L5:M5"/>
    <mergeCell ref="N4:O4"/>
    <mergeCell ref="N5:O5"/>
    <mergeCell ref="B4:C4"/>
    <mergeCell ref="D4:E4"/>
    <mergeCell ref="F4:G4"/>
    <mergeCell ref="H4:I4"/>
    <mergeCell ref="J4:K4"/>
    <mergeCell ref="L4:M4"/>
    <mergeCell ref="B5:C5"/>
    <mergeCell ref="D5:E5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306282F-E5DB-4076-B4D0-82BE669CDBF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Raw_Orders </vt:lpstr>
      <vt:lpstr>KPI'S</vt:lpstr>
      <vt:lpstr>Daily_MIS</vt:lpstr>
      <vt:lpstr>Employee_Performance</vt:lpstr>
      <vt:lpstr>Exception_Report</vt:lpstr>
      <vt:lpstr>Monthly MIS</vt:lpstr>
      <vt:lpstr>Category  wise sales</vt:lpstr>
      <vt:lpstr>City wise performance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SIRAJ</dc:creator>
  <cp:lastModifiedBy>Sirajuddin Shaik</cp:lastModifiedBy>
  <dcterms:created xsi:type="dcterms:W3CDTF">2026-08-11T08:17:13Z</dcterms:created>
  <dcterms:modified xsi:type="dcterms:W3CDTF">2026-08-12T07:25:03Z</dcterms:modified>
</cp:coreProperties>
</file>